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6.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0.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1.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1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3.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checkCompatibility="1" defaultThemeVersion="124226"/>
  <mc:AlternateContent xmlns:mc="http://schemas.openxmlformats.org/markup-compatibility/2006">
    <mc:Choice Requires="x15">
      <x15ac:absPath xmlns:x15ac="http://schemas.microsoft.com/office/spreadsheetml/2010/11/ac" url="P:\LOGISTIC\CPT Plants and Ports\"/>
    </mc:Choice>
  </mc:AlternateContent>
  <bookViews>
    <workbookView xWindow="0" yWindow="0" windowWidth="28800" windowHeight="12300" tabRatio="547" activeTab="11"/>
  </bookViews>
  <sheets>
    <sheet name="TICKETS" sheetId="30" r:id="rId1"/>
    <sheet name="Preview" sheetId="29" state="hidden" r:id="rId2"/>
    <sheet name="Quality" sheetId="28" state="hidden" r:id="rId3"/>
    <sheet name="Avlita" sheetId="2" state="hidden" r:id="rId4"/>
    <sheet name="STT-MMK" sheetId="5" state="hidden" r:id="rId5"/>
    <sheet name="STT-SRZ" sheetId="6" state="hidden" r:id="rId6"/>
    <sheet name="Kherson" sheetId="31" state="hidden" r:id="rId7"/>
    <sheet name="Kherson-2" sheetId="33" state="hidden" r:id="rId8"/>
    <sheet name="TIS" sheetId="7" state="hidden" r:id="rId9"/>
    <sheet name="Odesa" sheetId="35" state="hidden" r:id="rId10"/>
    <sheet name="Novoaleks" sheetId="53" state="hidden" r:id="rId11"/>
    <sheet name="DSSK" sheetId="273" r:id="rId12"/>
    <sheet name="Report" sheetId="1" r:id="rId13"/>
    <sheet name="12_09" sheetId="289" r:id="rId14"/>
    <sheet name="09_09" sheetId="288" r:id="rId15"/>
    <sheet name="08_09" sheetId="287" r:id="rId16"/>
    <sheet name="Nika-Tera" sheetId="56" state="hidden" r:id="rId17"/>
    <sheet name="Borivazh" sheetId="57" state="hidden" r:id="rId18"/>
    <sheet name="07_09" sheetId="286" r:id="rId19"/>
    <sheet name="06_09" sheetId="285" r:id="rId20"/>
    <sheet name="05_09" sheetId="284" r:id="rId21"/>
    <sheet name="01_09" sheetId="283" r:id="rId22"/>
    <sheet name="31_08" sheetId="282" r:id="rId23"/>
    <sheet name="30_08" sheetId="281" r:id="rId24"/>
    <sheet name="29_08" sheetId="280" r:id="rId25"/>
    <sheet name="26_08" sheetId="279" r:id="rId26"/>
    <sheet name="25_08" sheetId="278" r:id="rId27"/>
    <sheet name="23_08" sheetId="277" r:id="rId28"/>
    <sheet name="20_08" sheetId="276" r:id="rId29"/>
    <sheet name="19_08" sheetId="275" r:id="rId30"/>
    <sheet name="18_08" sheetId="274" r:id="rId31"/>
  </sheets>
  <externalReferences>
    <externalReference r:id="rId32"/>
    <externalReference r:id="rId33"/>
  </externalReferences>
  <definedNames>
    <definedName name="_xlnm._FilterDatabase" localSheetId="20" hidden="1">'05_09'!$A$4:$M$23</definedName>
    <definedName name="_xlnm._FilterDatabase" localSheetId="13" hidden="1">'12_09'!$A$2:$O$22</definedName>
    <definedName name="_xlnm._FilterDatabase" localSheetId="3" hidden="1">Avlita!$A$10:$AG$111</definedName>
    <definedName name="_xlnm._FilterDatabase" localSheetId="17" hidden="1">Borivazh!$A$10:$AI$20</definedName>
    <definedName name="_xlnm._FilterDatabase" localSheetId="11" hidden="1">DSSK!$A$9:$BD$182</definedName>
    <definedName name="_xlnm._FilterDatabase" localSheetId="6" hidden="1">Kherson!$A$10:$X$81</definedName>
    <definedName name="_xlnm._FilterDatabase" localSheetId="7" hidden="1">'Kherson-2'!$A$9:$O$10</definedName>
    <definedName name="_xlnm._FilterDatabase" localSheetId="16" hidden="1">'Nika-Tera'!$A$9:$AD$95</definedName>
    <definedName name="_xlnm._FilterDatabase" localSheetId="10" hidden="1">Novoaleks!$A$10:$Q$56</definedName>
    <definedName name="_xlnm._FilterDatabase" localSheetId="9" hidden="1">Odesa!$A$10:$Q$70</definedName>
    <definedName name="_xlnm._FilterDatabase" localSheetId="12" hidden="1">Report!$A$5:$M$35</definedName>
    <definedName name="_xlnm._FilterDatabase" localSheetId="4" hidden="1">'STT-MMK'!$A$9:$Y$60</definedName>
    <definedName name="_xlnm._FilterDatabase" localSheetId="5" hidden="1">'STT-SRZ'!$A$9:$X$159</definedName>
    <definedName name="_xlnm._FilterDatabase" localSheetId="0" hidden="1">TICKETS!$A$10:$N$1631</definedName>
    <definedName name="_xlnm._FilterDatabase" localSheetId="8" hidden="1">TIS!$A$10:$O$60</definedName>
    <definedName name="_xlnm.Print_Area" localSheetId="17">Borivazh!$A$1:$Z$10</definedName>
    <definedName name="_xlnm.Print_Area" localSheetId="11">DSSK!$A$1:$V$9</definedName>
    <definedName name="_xlnm.Print_Area" localSheetId="16">'Nika-Tera'!$A$1:$V$10</definedName>
    <definedName name="_xlnm.Print_Area" localSheetId="5">'STT-SRZ'!$A$1:$Z$10</definedName>
    <definedName name="q">OFFSET([1]info!$A$2,0,0,COUNTA([1]info!$A$2:$A$12),1)</definedName>
    <definedName name="Z_114004CD_1BCE_4A58_AA19_85DC27C0946F_.wvu.FilterData" localSheetId="12" hidden="1">Report!$A$5:$O$5</definedName>
    <definedName name="Z_11BCD2E0_C9BD_4CB4_A320_32E821CE3BB3_.wvu.FilterData" localSheetId="12" hidden="1">Report!$A$5:$O$5</definedName>
    <definedName name="Z_167580C6_A10C_427F_B554_1D35D74FFEDE_.wvu.FilterData" localSheetId="12" hidden="1">Report!$A$5:$O$5</definedName>
    <definedName name="Z_2527107E_9D0B_4093_B4A8_CF38BFB15F1C_.wvu.FilterData" localSheetId="3" hidden="1">Avlita!$A$10:$M$10</definedName>
    <definedName name="Z_2527107E_9D0B_4093_B4A8_CF38BFB15F1C_.wvu.FilterData" localSheetId="17" hidden="1">Borivazh!$A$9:$Z$10</definedName>
    <definedName name="Z_2527107E_9D0B_4093_B4A8_CF38BFB15F1C_.wvu.FilterData" localSheetId="11" hidden="1">DSSK!$A$9:$V$9</definedName>
    <definedName name="Z_2527107E_9D0B_4093_B4A8_CF38BFB15F1C_.wvu.FilterData" localSheetId="6" hidden="1">Kherson!#REF!</definedName>
    <definedName name="Z_2527107E_9D0B_4093_B4A8_CF38BFB15F1C_.wvu.FilterData" localSheetId="7" hidden="1">'Kherson-2'!#REF!</definedName>
    <definedName name="Z_2527107E_9D0B_4093_B4A8_CF38BFB15F1C_.wvu.FilterData" localSheetId="16" hidden="1">'Nika-Tera'!$A$9:$V$10</definedName>
    <definedName name="Z_2527107E_9D0B_4093_B4A8_CF38BFB15F1C_.wvu.FilterData" localSheetId="10" hidden="1">Novoaleks!#REF!</definedName>
    <definedName name="Z_2527107E_9D0B_4093_B4A8_CF38BFB15F1C_.wvu.FilterData" localSheetId="9" hidden="1">Odesa!#REF!</definedName>
    <definedName name="Z_2527107E_9D0B_4093_B4A8_CF38BFB15F1C_.wvu.FilterData" localSheetId="12" hidden="1">Report!$A$5:$O$5</definedName>
    <definedName name="Z_2527107E_9D0B_4093_B4A8_CF38BFB15F1C_.wvu.FilterData" localSheetId="4" hidden="1">'STT-MMK'!$A$9:$Y$10</definedName>
    <definedName name="Z_2527107E_9D0B_4093_B4A8_CF38BFB15F1C_.wvu.FilterData" localSheetId="5" hidden="1">'STT-SRZ'!$A$9:$X$10</definedName>
    <definedName name="Z_2527107E_9D0B_4093_B4A8_CF38BFB15F1C_.wvu.FilterData" localSheetId="8" hidden="1">TIS!$A$10:$O$10</definedName>
    <definedName name="Z_2A02D960_F729_4728_ADD3_F7445C1E0BCB_.wvu.FilterData" localSheetId="12" hidden="1">Report!$A$5:$O$5</definedName>
    <definedName name="Z_2A386099_67C9_4197_BABC_8811B04DBFC8_.wvu.FilterData" localSheetId="12" hidden="1">Report!$A$5:$O$5</definedName>
    <definedName name="Z_37C8BBFF_E501_46A4_83F3_36E0E999C6CB_.wvu.FilterData" localSheetId="12" hidden="1">Report!$A$5:$O$5</definedName>
    <definedName name="Z_37C8BBFF_E501_46A4_83F3_36E0E999C6CB_.wvu.FilterData" localSheetId="4" hidden="1">'STT-MMK'!$A$9:$Y$10</definedName>
    <definedName name="Z_4B3F3122_A2CB_4D4C_9787_603A25DD9E63_.wvu.FilterData" localSheetId="12" hidden="1">Report!$A$5:$O$5</definedName>
    <definedName name="Z_54469326_C59B_4001_8411_FC7DC76B4456_.wvu.FilterData" localSheetId="12" hidden="1">Report!$A$5:$O$5</definedName>
    <definedName name="Z_71057062_F9AA_471E_B6CE_F30E9DE3C5B0_.wvu.FilterData" localSheetId="12" hidden="1">Report!$A$5:$O$5</definedName>
    <definedName name="Z_776D3366_1254_4976_AFCE_BC395C40A084_.wvu.FilterData" localSheetId="12" hidden="1">Report!$A$5:$O$5</definedName>
    <definedName name="Z_79D07B17_80BF_4D69_99CD_A9D5580263C2_.wvu.FilterData" localSheetId="12" hidden="1">Report!$A$5:$O$5</definedName>
    <definedName name="Z_7B8795DD_AE23_4EE9_88EB_E2BD8BD94E9F_.wvu.FilterData" localSheetId="12" hidden="1">Report!$A$5:$O$5</definedName>
    <definedName name="Z_7D07A65A_63F9_4A71_9039_2DCC2F4ABF4C_.wvu.FilterData" localSheetId="3" hidden="1">Avlita!$A$10:$M$10</definedName>
    <definedName name="Z_7D07A65A_63F9_4A71_9039_2DCC2F4ABF4C_.wvu.FilterData" localSheetId="17" hidden="1">Borivazh!$A$9:$Z$10</definedName>
    <definedName name="Z_7D07A65A_63F9_4A71_9039_2DCC2F4ABF4C_.wvu.FilterData" localSheetId="11" hidden="1">DSSK!$A$9:$V$9</definedName>
    <definedName name="Z_7D07A65A_63F9_4A71_9039_2DCC2F4ABF4C_.wvu.FilterData" localSheetId="6" hidden="1">Kherson!#REF!</definedName>
    <definedName name="Z_7D07A65A_63F9_4A71_9039_2DCC2F4ABF4C_.wvu.FilterData" localSheetId="7" hidden="1">'Kherson-2'!#REF!</definedName>
    <definedName name="Z_7D07A65A_63F9_4A71_9039_2DCC2F4ABF4C_.wvu.FilterData" localSheetId="16" hidden="1">'Nika-Tera'!$A$9:$V$10</definedName>
    <definedName name="Z_7D07A65A_63F9_4A71_9039_2DCC2F4ABF4C_.wvu.FilterData" localSheetId="10" hidden="1">Novoaleks!#REF!</definedName>
    <definedName name="Z_7D07A65A_63F9_4A71_9039_2DCC2F4ABF4C_.wvu.FilterData" localSheetId="9" hidden="1">Odesa!#REF!</definedName>
    <definedName name="Z_7D07A65A_63F9_4A71_9039_2DCC2F4ABF4C_.wvu.FilterData" localSheetId="12" hidden="1">Report!$A$5:$O$5</definedName>
    <definedName name="Z_7D07A65A_63F9_4A71_9039_2DCC2F4ABF4C_.wvu.FilterData" localSheetId="4" hidden="1">'STT-MMK'!$A$9:$Y$10</definedName>
    <definedName name="Z_7D07A65A_63F9_4A71_9039_2DCC2F4ABF4C_.wvu.FilterData" localSheetId="5" hidden="1">'STT-SRZ'!$A$9:$X$10</definedName>
    <definedName name="Z_7D07A65A_63F9_4A71_9039_2DCC2F4ABF4C_.wvu.FilterData" localSheetId="8" hidden="1">TIS!$A$10:$O$10</definedName>
    <definedName name="Z_7FD6CFCF_DA2C_422E_AD7B_6A9FBBECCAAA_.wvu.FilterData" localSheetId="12" hidden="1">Report!$A$5:$O$5</definedName>
    <definedName name="Z_84D1F9EA_216A_4B66_BDFC_764EB2431940_.wvu.FilterData" localSheetId="12" hidden="1">Report!$A$5:$O$5</definedName>
    <definedName name="Z_85D4BD6E_AB3B_4015_853B_62AA983D7053_.wvu.FilterData" localSheetId="12" hidden="1">Report!$A$5:$O$5</definedName>
    <definedName name="Z_8B3E191B_AA02_4326_B289_1FF89B562CE3_.wvu.FilterData" localSheetId="12" hidden="1">Report!$A$5:$O$5</definedName>
    <definedName name="Z_8D8F9819_0E72_417A_908C_B5A8F0F23F34_.wvu.FilterData" localSheetId="3" hidden="1">Avlita!$A$10:$M$10</definedName>
    <definedName name="Z_8D8F9819_0E72_417A_908C_B5A8F0F23F34_.wvu.FilterData" localSheetId="17" hidden="1">Borivazh!$A$9:$Z$10</definedName>
    <definedName name="Z_8D8F9819_0E72_417A_908C_B5A8F0F23F34_.wvu.FilterData" localSheetId="11" hidden="1">DSSK!$A$9:$V$9</definedName>
    <definedName name="Z_8D8F9819_0E72_417A_908C_B5A8F0F23F34_.wvu.FilterData" localSheetId="6" hidden="1">Kherson!#REF!</definedName>
    <definedName name="Z_8D8F9819_0E72_417A_908C_B5A8F0F23F34_.wvu.FilterData" localSheetId="7" hidden="1">'Kherson-2'!#REF!</definedName>
    <definedName name="Z_8D8F9819_0E72_417A_908C_B5A8F0F23F34_.wvu.FilterData" localSheetId="16" hidden="1">'Nika-Tera'!$A$9:$V$10</definedName>
    <definedName name="Z_8D8F9819_0E72_417A_908C_B5A8F0F23F34_.wvu.FilterData" localSheetId="10" hidden="1">Novoaleks!#REF!</definedName>
    <definedName name="Z_8D8F9819_0E72_417A_908C_B5A8F0F23F34_.wvu.FilterData" localSheetId="9" hidden="1">Odesa!#REF!</definedName>
    <definedName name="Z_8D8F9819_0E72_417A_908C_B5A8F0F23F34_.wvu.FilterData" localSheetId="12" hidden="1">Report!$A$5:$O$5</definedName>
    <definedName name="Z_8D8F9819_0E72_417A_908C_B5A8F0F23F34_.wvu.FilterData" localSheetId="4" hidden="1">'STT-MMK'!$A$9:$Y$10</definedName>
    <definedName name="Z_8D8F9819_0E72_417A_908C_B5A8F0F23F34_.wvu.FilterData" localSheetId="5" hidden="1">'STT-SRZ'!$A$9:$X$10</definedName>
    <definedName name="Z_8D8F9819_0E72_417A_908C_B5A8F0F23F34_.wvu.FilterData" localSheetId="8" hidden="1">TIS!$A$10:$O$10</definedName>
    <definedName name="Z_8E6D9953_A53E_4F66_B9BF_B6A2A10A039B_.wvu.FilterData" localSheetId="12" hidden="1">Report!$A$5:$O$5</definedName>
    <definedName name="Z_8EAB11F8_8E4E_4A74_9C8C_AAE82763D220_.wvu.FilterData" localSheetId="12" hidden="1">Report!$A$5:$O$5</definedName>
    <definedName name="Z_925FFED1_1A1D_41EF_87EC_DA30C34B3282_.wvu.FilterData" localSheetId="12" hidden="1">Report!$A$5:$O$5</definedName>
    <definedName name="Z_ADE400F8_D95C_46BC_A44D_BCC9A4530169_.wvu.FilterData" localSheetId="3" hidden="1">Avlita!$A$10:$M$10</definedName>
    <definedName name="Z_ADE400F8_D95C_46BC_A44D_BCC9A4530169_.wvu.FilterData" localSheetId="17" hidden="1">Borivazh!$A$9:$Z$10</definedName>
    <definedName name="Z_ADE400F8_D95C_46BC_A44D_BCC9A4530169_.wvu.FilterData" localSheetId="11" hidden="1">DSSK!$A$9:$V$9</definedName>
    <definedName name="Z_ADE400F8_D95C_46BC_A44D_BCC9A4530169_.wvu.FilterData" localSheetId="6" hidden="1">Kherson!#REF!</definedName>
    <definedName name="Z_ADE400F8_D95C_46BC_A44D_BCC9A4530169_.wvu.FilterData" localSheetId="7" hidden="1">'Kherson-2'!#REF!</definedName>
    <definedName name="Z_ADE400F8_D95C_46BC_A44D_BCC9A4530169_.wvu.FilterData" localSheetId="16" hidden="1">'Nika-Tera'!$A$9:$V$10</definedName>
    <definedName name="Z_ADE400F8_D95C_46BC_A44D_BCC9A4530169_.wvu.FilterData" localSheetId="10" hidden="1">Novoaleks!#REF!</definedName>
    <definedName name="Z_ADE400F8_D95C_46BC_A44D_BCC9A4530169_.wvu.FilterData" localSheetId="9" hidden="1">Odesa!#REF!</definedName>
    <definedName name="Z_ADE400F8_D95C_46BC_A44D_BCC9A4530169_.wvu.FilterData" localSheetId="12" hidden="1">Report!$A$5:$O$5</definedName>
    <definedName name="Z_ADE400F8_D95C_46BC_A44D_BCC9A4530169_.wvu.FilterData" localSheetId="4" hidden="1">'STT-MMK'!$A$9:$Y$10</definedName>
    <definedName name="Z_ADE400F8_D95C_46BC_A44D_BCC9A4530169_.wvu.FilterData" localSheetId="5" hidden="1">'STT-SRZ'!$A$9:$X$10</definedName>
    <definedName name="Z_ADE400F8_D95C_46BC_A44D_BCC9A4530169_.wvu.FilterData" localSheetId="8" hidden="1">TIS!$A$10:$O$10</definedName>
    <definedName name="Z_B0C2FF15_D88B_437C_AD13_5E399D59BE03_.wvu.FilterData" localSheetId="12" hidden="1">Report!$A$5:$O$5</definedName>
    <definedName name="Z_B716C37D_B80C_430F_B48B_219BCE75A0B8_.wvu.FilterData" localSheetId="12" hidden="1">Report!$A$5:$O$5</definedName>
    <definedName name="Z_BB51187F_F952_4CF7_8259_0528BD15FC85_.wvu.FilterData" localSheetId="12" hidden="1">Report!$A$5:$O$5</definedName>
    <definedName name="Z_BF847939_C7AB_4EB8_9932_E4ABBC03D9FE_.wvu.FilterData" localSheetId="12" hidden="1">Report!$A$5:$O$5</definedName>
    <definedName name="Z_C0D7176F_207C_4D89_8E98_20FDF5DD0F24_.wvu.FilterData" localSheetId="12" hidden="1">Report!$A$5:$O$5</definedName>
    <definedName name="Z_C1EB831E_0FF4_4CDE_BA85_E308A27028D6_.wvu.FilterData" localSheetId="12" hidden="1">Report!$A$5:$O$5</definedName>
    <definedName name="Z_C60D060F_05B1_41F2_BC77_EF7738BCCEFA_.wvu.FilterData" localSheetId="12" hidden="1">Report!$A$5:$O$5</definedName>
    <definedName name="Z_D6481939_4F37_4065_B653_170A4C14FE5B_.wvu.FilterData" localSheetId="12" hidden="1">Report!$A$5:$O$5</definedName>
    <definedName name="Z_DDCDE5A1_C918_4BED_A383_65B7A3E1AB32_.wvu.FilterData" localSheetId="12" hidden="1">Report!$A$5:$O$5</definedName>
    <definedName name="Z_F0A7D7A1_A7FE_4728_BA10_58D823D02D41_.wvu.FilterData" localSheetId="12" hidden="1">Report!$A$5:$O$5</definedName>
    <definedName name="Z_F6A92BE6_1D3D_4A7D_A7FD_AD71A9743BA1_.wvu.FilterData" localSheetId="12" hidden="1">Report!$A$5:$O$5</definedName>
    <definedName name="Элеватор">OFFSET([2]info!$A$2,0,0,COUNTA([2]info!$A$2:$A$12),1)</definedName>
  </definedNames>
  <calcPr calcId="171027"/>
  <customWorkbookViews>
    <customWorkbookView name="mmakotsoba - Personal View" guid="{2527107E-9D0B-4093-B4A8-CF38BFB15F1C}" mergeInterval="0" personalView="1" maximized="1" xWindow="1" yWindow="1" windowWidth="1276" windowHeight="803" activeSheetId="1"/>
    <customWorkbookView name="olutsenko - Personal View" guid="{7D07A65A-63F9-4A71-9039-2DCC2F4ABF4C}" mergeInterval="0" personalView="1" maximized="1" xWindow="1" yWindow="1" windowWidth="1276" windowHeight="757" activeSheetId="1"/>
    <customWorkbookView name="slutsenko - Personal View" guid="{ADE400F8-D95C-46BC-A44D-BCC9A4530169}" mergeInterval="0" personalView="1" maximized="1" xWindow="1" yWindow="1" windowWidth="1280" windowHeight="764" activeSheetId="1"/>
    <customWorkbookView name="ekovalchuk - Personal View" guid="{8D8F9819-0E72-417A-908C-B5A8F0F23F34}" mergeInterval="0" personalView="1" maximized="1" xWindow="1" yWindow="1" windowWidth="1276" windowHeight="731" activeSheetId="1"/>
    <customWorkbookView name="adminit - Personal View" guid="{C1B28A52-E4A5-4A12-BD4A-895D9DCFABC6}" mergeInterval="0" personalView="1" maximized="1" windowWidth="1020" windowHeight="618" activeSheetId="1"/>
    <customWorkbookView name="Noble Resources SA - Personal View" guid="{357BDF24-210B-48A7-ACBE-A7F776D305B0}" mergeInterval="0" personalView="1" maximized="1" windowWidth="1020" windowHeight="629" activeSheetId="1"/>
    <customWorkbookView name="visitor - Personal View" guid="{D52F1F3B-4C49-44CB-B787-7C0808CC1BC2}" mergeInterval="0" personalView="1" maximized="1" windowWidth="1020" windowHeight="622" activeSheetId="1"/>
    <customWorkbookView name="Administrator - Personal View" guid="{6D022A1A-C19F-414F-BB91-8F67B170AD59}" mergeInterval="0" personalView="1" maximized="1" windowWidth="1276" windowHeight="878" activeSheetId="1"/>
  </customWorkbookViews>
</workbook>
</file>

<file path=xl/calcChain.xml><?xml version="1.0" encoding="utf-8"?>
<calcChain xmlns="http://schemas.openxmlformats.org/spreadsheetml/2006/main">
  <c r="H21" i="1" l="1"/>
  <c r="H20" i="1"/>
  <c r="H10" i="1"/>
  <c r="H8" i="1"/>
  <c r="E24" i="289" l="1"/>
  <c r="H22" i="289"/>
  <c r="H21" i="289"/>
  <c r="H20" i="289"/>
  <c r="H19" i="289"/>
  <c r="H18" i="289"/>
  <c r="H17" i="289"/>
  <c r="H16" i="289"/>
  <c r="H15" i="289"/>
  <c r="H14" i="289"/>
  <c r="H13" i="289"/>
  <c r="H11" i="289"/>
  <c r="H10" i="289"/>
  <c r="H9" i="289"/>
  <c r="H8" i="289"/>
  <c r="H7" i="289"/>
  <c r="H6" i="289"/>
  <c r="H5" i="289"/>
  <c r="H4" i="289"/>
  <c r="H3" i="289"/>
  <c r="E11" i="288" l="1"/>
  <c r="H9" i="288"/>
  <c r="H8" i="288"/>
  <c r="H7" i="288"/>
  <c r="H6" i="288"/>
  <c r="H5" i="288"/>
  <c r="H4" i="288"/>
  <c r="H3" i="288"/>
  <c r="E21" i="287" l="1"/>
  <c r="E6" i="287"/>
  <c r="H19" i="287"/>
  <c r="H18" i="287"/>
  <c r="H17" i="287"/>
  <c r="H16" i="287"/>
  <c r="H15" i="287"/>
  <c r="H14" i="287"/>
  <c r="H13" i="287"/>
  <c r="H12" i="287"/>
  <c r="H11" i="287"/>
  <c r="H10" i="287"/>
  <c r="H4" i="287"/>
  <c r="H3" i="287"/>
  <c r="H29" i="284" l="1"/>
  <c r="H28" i="284"/>
  <c r="H6" i="286"/>
  <c r="H12" i="286"/>
  <c r="H11" i="286"/>
  <c r="H10" i="286"/>
  <c r="H9" i="286"/>
  <c r="H8" i="286"/>
  <c r="H7" i="286"/>
  <c r="H5" i="286"/>
  <c r="H4" i="286" l="1"/>
  <c r="H3" i="286"/>
  <c r="E16" i="285" l="1"/>
  <c r="H14" i="285"/>
  <c r="H13" i="285"/>
  <c r="H12" i="285"/>
  <c r="H11" i="285"/>
  <c r="H10" i="285"/>
  <c r="H9" i="285"/>
  <c r="H8" i="285"/>
  <c r="H7" i="285"/>
  <c r="H6" i="285"/>
  <c r="H5" i="285"/>
  <c r="H7" i="1"/>
  <c r="E25" i="284" l="1"/>
  <c r="H23" i="284"/>
  <c r="H22" i="284"/>
  <c r="H21" i="284"/>
  <c r="H20" i="284"/>
  <c r="H19" i="284"/>
  <c r="H18" i="284"/>
  <c r="H17" i="284"/>
  <c r="H16" i="284"/>
  <c r="H15" i="284"/>
  <c r="H14" i="284"/>
  <c r="H13" i="284"/>
  <c r="H12" i="284"/>
  <c r="H11" i="284"/>
  <c r="H10" i="284"/>
  <c r="H9" i="284"/>
  <c r="H8" i="284"/>
  <c r="H7" i="284"/>
  <c r="H6" i="284"/>
  <c r="H5" i="284"/>
  <c r="H14" i="1"/>
  <c r="H15" i="1"/>
  <c r="H16" i="1"/>
  <c r="H17" i="1"/>
  <c r="H18" i="1"/>
  <c r="H19" i="1"/>
  <c r="H22" i="1"/>
  <c r="H23" i="1"/>
  <c r="H24" i="1"/>
  <c r="H25" i="1"/>
  <c r="H26" i="1"/>
  <c r="H27" i="1"/>
  <c r="H28" i="1"/>
  <c r="H29" i="1"/>
  <c r="H30" i="1"/>
  <c r="H31" i="1"/>
  <c r="H32" i="1"/>
  <c r="H33" i="1"/>
  <c r="H34" i="1"/>
  <c r="H35" i="1"/>
  <c r="H23" i="283" l="1"/>
  <c r="H22" i="283"/>
  <c r="H21" i="283"/>
  <c r="H20" i="283"/>
  <c r="H19" i="283"/>
  <c r="H18" i="283"/>
  <c r="H17" i="283"/>
  <c r="H16" i="283"/>
  <c r="H15" i="283"/>
  <c r="H14" i="283"/>
  <c r="H13" i="283"/>
  <c r="H12" i="283"/>
  <c r="H11" i="283"/>
  <c r="H10" i="283"/>
  <c r="H9" i="283"/>
  <c r="H8" i="283"/>
  <c r="H7" i="283"/>
  <c r="H6" i="283"/>
  <c r="H23" i="282" l="1"/>
  <c r="H22" i="282"/>
  <c r="H21" i="282"/>
  <c r="H20" i="282"/>
  <c r="H19" i="282"/>
  <c r="H18" i="282"/>
  <c r="H17" i="282"/>
  <c r="H16" i="282"/>
  <c r="H15" i="282"/>
  <c r="H14" i="282"/>
  <c r="H13" i="282"/>
  <c r="H12" i="282"/>
  <c r="H11" i="282"/>
  <c r="H10" i="282"/>
  <c r="H9" i="282"/>
  <c r="H8" i="282"/>
  <c r="H7" i="282"/>
  <c r="H6" i="282"/>
  <c r="H30" i="281" l="1"/>
  <c r="H29" i="281"/>
  <c r="H28" i="281"/>
  <c r="H27" i="281"/>
  <c r="H26" i="281"/>
  <c r="H25" i="281"/>
  <c r="H24" i="281"/>
  <c r="H23" i="281"/>
  <c r="H22" i="281"/>
  <c r="H21" i="281"/>
  <c r="H20" i="281"/>
  <c r="H19" i="281"/>
  <c r="H18" i="281"/>
  <c r="H17" i="281"/>
  <c r="H16" i="281"/>
  <c r="H15" i="281"/>
  <c r="H14" i="281"/>
  <c r="H13" i="281"/>
  <c r="H12" i="281"/>
  <c r="H11" i="281"/>
  <c r="H10" i="281"/>
  <c r="H9" i="281"/>
  <c r="H7" i="281"/>
  <c r="H6" i="281"/>
  <c r="H31" i="280" l="1"/>
  <c r="H30" i="280"/>
  <c r="H29" i="280"/>
  <c r="H28" i="280"/>
  <c r="H27" i="280"/>
  <c r="H26" i="280"/>
  <c r="H25" i="280"/>
  <c r="H24" i="280"/>
  <c r="H23" i="280"/>
  <c r="H22" i="280"/>
  <c r="H21" i="280"/>
  <c r="H20" i="280"/>
  <c r="H19" i="280"/>
  <c r="H18" i="280"/>
  <c r="H17" i="280"/>
  <c r="H16" i="280"/>
  <c r="H15" i="280"/>
  <c r="H14" i="280"/>
  <c r="H13" i="280"/>
  <c r="H12" i="280"/>
  <c r="H11" i="280"/>
  <c r="H10" i="280"/>
  <c r="H9" i="280"/>
  <c r="H8" i="280"/>
  <c r="H7" i="280"/>
  <c r="H6" i="280"/>
  <c r="H32" i="279" l="1"/>
  <c r="H31" i="279"/>
  <c r="H30" i="279"/>
  <c r="H29" i="279"/>
  <c r="H28" i="279"/>
  <c r="H27" i="279"/>
  <c r="H26" i="279"/>
  <c r="H25" i="279"/>
  <c r="H24" i="279"/>
  <c r="H23" i="279"/>
  <c r="H22" i="279"/>
  <c r="H21" i="279"/>
  <c r="H20" i="279"/>
  <c r="H19" i="279"/>
  <c r="H18" i="279"/>
  <c r="H17" i="279"/>
  <c r="H16" i="279"/>
  <c r="H15" i="279"/>
  <c r="H14" i="279"/>
  <c r="H13" i="279"/>
  <c r="H12" i="279"/>
  <c r="H11" i="279"/>
  <c r="H10" i="279"/>
  <c r="H9" i="279"/>
  <c r="H8" i="279"/>
  <c r="H7" i="279"/>
  <c r="H6" i="279"/>
  <c r="O589" i="30"/>
  <c r="O590" i="30"/>
  <c r="O591" i="30"/>
  <c r="O592" i="30"/>
  <c r="O593" i="30"/>
  <c r="O594" i="30"/>
  <c r="O595" i="30"/>
  <c r="O596" i="30"/>
  <c r="O597" i="30"/>
  <c r="O588" i="30"/>
  <c r="O709" i="30"/>
  <c r="O708" i="30"/>
  <c r="O707" i="30"/>
  <c r="O706" i="30"/>
  <c r="O705" i="30"/>
  <c r="O704" i="30"/>
  <c r="O703" i="30"/>
  <c r="O702" i="30"/>
  <c r="O659" i="30"/>
  <c r="O658" i="30"/>
  <c r="O657" i="30"/>
  <c r="O656" i="30"/>
  <c r="O655" i="30"/>
  <c r="O654" i="30"/>
  <c r="O653" i="30"/>
  <c r="O652" i="30"/>
  <c r="O651" i="30"/>
  <c r="O650" i="30"/>
  <c r="O649" i="30"/>
  <c r="O648" i="30"/>
  <c r="O647" i="30"/>
  <c r="O646" i="30"/>
  <c r="O645" i="30"/>
  <c r="O644" i="30"/>
  <c r="O643" i="30"/>
  <c r="O642" i="30"/>
  <c r="O641" i="30"/>
  <c r="O640" i="30"/>
  <c r="O639" i="30"/>
  <c r="O638" i="30"/>
  <c r="O637" i="30"/>
  <c r="O636" i="30"/>
  <c r="O635" i="30"/>
  <c r="O634" i="30"/>
  <c r="O633" i="30"/>
  <c r="O632" i="30"/>
  <c r="O631" i="30"/>
  <c r="O630" i="30"/>
  <c r="O629" i="30"/>
  <c r="O628" i="30"/>
  <c r="O627" i="30"/>
  <c r="O626" i="30"/>
  <c r="O625" i="30"/>
  <c r="O624" i="30"/>
  <c r="O623" i="30"/>
  <c r="O622" i="30"/>
  <c r="O621" i="30"/>
  <c r="O620" i="30"/>
  <c r="O619" i="30"/>
  <c r="O618" i="30"/>
  <c r="O617" i="30"/>
  <c r="O616" i="30"/>
  <c r="O615" i="30"/>
  <c r="O614" i="30"/>
  <c r="O613" i="30"/>
  <c r="O612" i="30"/>
  <c r="O611" i="30"/>
  <c r="O610" i="30"/>
  <c r="O609" i="30"/>
  <c r="O608" i="30"/>
  <c r="O607" i="30"/>
  <c r="O606" i="30"/>
  <c r="O605" i="30"/>
  <c r="O604" i="30"/>
  <c r="O603" i="30"/>
  <c r="O602" i="30"/>
  <c r="O601" i="30"/>
  <c r="O600" i="30"/>
  <c r="O599" i="30"/>
  <c r="O598" i="30"/>
  <c r="H32" i="278" l="1"/>
  <c r="H31" i="278"/>
  <c r="H30" i="278"/>
  <c r="H29" i="278"/>
  <c r="H28" i="278"/>
  <c r="H27" i="278"/>
  <c r="H26" i="278"/>
  <c r="H25" i="278"/>
  <c r="H24" i="278"/>
  <c r="H23" i="278"/>
  <c r="H22" i="278"/>
  <c r="H21" i="278"/>
  <c r="H20" i="278"/>
  <c r="H19" i="278"/>
  <c r="H18" i="278"/>
  <c r="H17" i="278"/>
  <c r="H16" i="278"/>
  <c r="H15" i="278"/>
  <c r="H14" i="278"/>
  <c r="H13" i="278"/>
  <c r="H12" i="278"/>
  <c r="H11" i="278"/>
  <c r="H10" i="278"/>
  <c r="H9" i="278"/>
  <c r="H8" i="278"/>
  <c r="H7" i="278"/>
  <c r="H6" i="278"/>
  <c r="H12" i="1"/>
  <c r="H11" i="1" l="1"/>
  <c r="H30" i="277" l="1"/>
  <c r="H29" i="277"/>
  <c r="H28" i="277"/>
  <c r="H27" i="277"/>
  <c r="H26" i="277"/>
  <c r="H25" i="277"/>
  <c r="H24" i="277"/>
  <c r="H23" i="277"/>
  <c r="H22" i="277"/>
  <c r="H21" i="277"/>
  <c r="H20" i="277"/>
  <c r="H19" i="277"/>
  <c r="H18" i="277"/>
  <c r="H17" i="277"/>
  <c r="H16" i="277"/>
  <c r="H15" i="277"/>
  <c r="H14" i="277"/>
  <c r="H13" i="277"/>
  <c r="H12" i="277"/>
  <c r="H11" i="277"/>
  <c r="H10" i="277"/>
  <c r="H9" i="277"/>
  <c r="H8" i="277"/>
  <c r="H7" i="277"/>
  <c r="H6" i="277"/>
  <c r="H33" i="276" l="1"/>
  <c r="H32" i="276"/>
  <c r="H31" i="276"/>
  <c r="H30" i="276"/>
  <c r="H29" i="276"/>
  <c r="H28" i="276"/>
  <c r="H27" i="276"/>
  <c r="H26" i="276"/>
  <c r="H25" i="276"/>
  <c r="H24" i="276"/>
  <c r="H23" i="276"/>
  <c r="H22" i="276"/>
  <c r="H21" i="276"/>
  <c r="H20" i="276"/>
  <c r="H19" i="276"/>
  <c r="H18" i="276"/>
  <c r="H17" i="276"/>
  <c r="H16" i="276"/>
  <c r="H15" i="276"/>
  <c r="H14" i="276"/>
  <c r="H13" i="276"/>
  <c r="H12" i="276"/>
  <c r="H11" i="276"/>
  <c r="H10" i="276"/>
  <c r="H9" i="276"/>
  <c r="H8" i="276"/>
  <c r="H7" i="276"/>
  <c r="H6" i="276"/>
  <c r="H9" i="1" l="1"/>
  <c r="H6" i="1" l="1"/>
  <c r="H17" i="275" l="1"/>
  <c r="H16" i="275"/>
  <c r="H15" i="275"/>
  <c r="H14" i="275"/>
  <c r="H13" i="275"/>
  <c r="H12" i="275"/>
  <c r="H11" i="275"/>
  <c r="H10" i="275"/>
  <c r="H9" i="275"/>
  <c r="H8" i="275"/>
  <c r="H7" i="275"/>
  <c r="H6" i="275"/>
  <c r="H21" i="274" l="1"/>
  <c r="H20" i="274"/>
  <c r="H19" i="274"/>
  <c r="H18" i="274"/>
  <c r="H17" i="274"/>
  <c r="H16" i="274"/>
  <c r="H15" i="274"/>
  <c r="H14" i="274"/>
  <c r="H13" i="274"/>
  <c r="H12" i="274"/>
  <c r="H11" i="274"/>
  <c r="H10" i="274"/>
  <c r="H9" i="274"/>
  <c r="H8" i="274"/>
  <c r="H7" i="274"/>
  <c r="H6" i="274"/>
  <c r="M15" i="33" l="1"/>
  <c r="M14" i="33"/>
  <c r="M13" i="33"/>
  <c r="M12" i="33"/>
  <c r="M11" i="33"/>
  <c r="I82" i="31"/>
  <c r="A41" i="28"/>
  <c r="T95" i="28" s="1"/>
  <c r="V47" i="28" l="1"/>
  <c r="H48" i="28"/>
  <c r="H52" i="28"/>
  <c r="V52" i="28"/>
  <c r="V55" i="28"/>
  <c r="H56" i="28"/>
  <c r="V56" i="28"/>
  <c r="V59" i="28"/>
  <c r="H60" i="28"/>
  <c r="V60" i="28"/>
  <c r="V63" i="28"/>
  <c r="H64" i="28"/>
  <c r="V64" i="28"/>
  <c r="V67" i="28"/>
  <c r="H68" i="28"/>
  <c r="V68"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F47" i="28"/>
  <c r="E48" i="28"/>
  <c r="S48" i="28"/>
  <c r="F51" i="28"/>
  <c r="E52" i="28"/>
  <c r="S52" i="28"/>
  <c r="F55" i="28"/>
  <c r="E56" i="28"/>
  <c r="S56" i="28"/>
  <c r="F59" i="28"/>
  <c r="E60" i="28"/>
  <c r="S60" i="28"/>
  <c r="F63" i="28"/>
  <c r="E64" i="28"/>
  <c r="S64" i="28"/>
  <c r="F67" i="28"/>
  <c r="E68" i="28"/>
  <c r="S68"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V48" i="28"/>
  <c r="F48" i="28"/>
  <c r="H51" i="28"/>
  <c r="T52" i="28"/>
  <c r="T56" i="28"/>
  <c r="F60" i="28"/>
  <c r="F64" i="28"/>
  <c r="H67" i="28"/>
  <c r="H71" i="28"/>
  <c r="H73" i="28"/>
  <c r="H75" i="28"/>
  <c r="H77" i="28"/>
  <c r="H79" i="28"/>
  <c r="H82" i="28"/>
  <c r="H85" i="28"/>
  <c r="H87" i="28"/>
  <c r="H90" i="28"/>
  <c r="H92" i="28"/>
  <c r="H94" i="28"/>
  <c r="H95" i="28"/>
  <c r="V51" i="28"/>
  <c r="H47" i="28"/>
  <c r="T48" i="28"/>
  <c r="F52" i="28"/>
  <c r="H55" i="28"/>
  <c r="F56" i="28"/>
  <c r="H59" i="28"/>
  <c r="T60" i="28"/>
  <c r="H63" i="28"/>
  <c r="T64" i="28"/>
  <c r="F68" i="28"/>
  <c r="T68" i="28"/>
  <c r="H72" i="28"/>
  <c r="H74" i="28"/>
  <c r="H76" i="28"/>
  <c r="H78" i="28"/>
  <c r="H80" i="28"/>
  <c r="H81" i="28"/>
  <c r="H83" i="28"/>
  <c r="H84" i="28"/>
  <c r="H86" i="28"/>
  <c r="H88" i="28"/>
  <c r="H89" i="28"/>
  <c r="H91" i="28"/>
  <c r="H93" i="28"/>
  <c r="T47" i="28"/>
  <c r="G48" i="28"/>
  <c r="U48" i="28"/>
  <c r="T51" i="28"/>
  <c r="G52" i="28"/>
  <c r="U52" i="28"/>
  <c r="T55" i="28"/>
  <c r="G56" i="28"/>
  <c r="U56" i="28"/>
  <c r="T59" i="28"/>
  <c r="G60" i="28"/>
  <c r="U60" i="28"/>
  <c r="T63" i="28"/>
  <c r="G64" i="28"/>
  <c r="U64" i="28"/>
  <c r="T67" i="28"/>
  <c r="G68" i="28"/>
  <c r="U68" i="28"/>
  <c r="T71" i="28"/>
  <c r="T72" i="28"/>
  <c r="T73" i="28"/>
  <c r="T74" i="28"/>
  <c r="T75" i="28"/>
  <c r="T76" i="28"/>
  <c r="T77" i="28"/>
  <c r="T78" i="28"/>
  <c r="T79" i="28"/>
  <c r="T80" i="28"/>
  <c r="T81" i="28"/>
  <c r="T82" i="28"/>
  <c r="T83" i="28"/>
  <c r="T84" i="28"/>
  <c r="T85" i="28"/>
  <c r="T86" i="28"/>
  <c r="T87" i="28"/>
  <c r="T88" i="28"/>
  <c r="T89" i="28"/>
  <c r="T90" i="28"/>
  <c r="T91" i="28"/>
  <c r="T92" i="28"/>
  <c r="T93" i="28"/>
  <c r="T94" i="28"/>
</calcChain>
</file>

<file path=xl/comments1.xml><?xml version="1.0" encoding="utf-8"?>
<comments xmlns="http://schemas.openxmlformats.org/spreadsheetml/2006/main">
  <authors>
    <author>kazakoff-nev-Pc</author>
    <author>SergeyPC</author>
  </authors>
  <commentList>
    <comment ref="H45" authorId="0" shapeId="0">
      <text>
        <r>
          <rPr>
            <b/>
            <sz val="9"/>
            <color indexed="81"/>
            <rFont val="Tahoma"/>
            <family val="2"/>
            <charset val="204"/>
          </rPr>
          <t>kazakoff-nev-Pc:</t>
        </r>
        <r>
          <rPr>
            <sz val="9"/>
            <color indexed="81"/>
            <rFont val="Tahoma"/>
            <family val="2"/>
            <charset val="204"/>
          </rPr>
          <t xml:space="preserve">
Списано 1 465 кг.
п-е 3400</t>
        </r>
      </text>
    </comment>
    <comment ref="H70" authorId="1" shapeId="0">
      <text>
        <r>
          <rPr>
            <b/>
            <sz val="9"/>
            <color indexed="81"/>
            <rFont val="Tahoma"/>
            <family val="2"/>
            <charset val="204"/>
          </rPr>
          <t>SergeyPC:</t>
        </r>
        <r>
          <rPr>
            <sz val="9"/>
            <color indexed="81"/>
            <rFont val="Tahoma"/>
            <family val="2"/>
            <charset val="204"/>
          </rPr>
          <t xml:space="preserve">
списанно 2715 кг
п-е 2847</t>
        </r>
      </text>
    </comment>
  </commentList>
</comments>
</file>

<file path=xl/sharedStrings.xml><?xml version="1.0" encoding="utf-8"?>
<sst xmlns="http://schemas.openxmlformats.org/spreadsheetml/2006/main" count="15908" uniqueCount="937">
  <si>
    <t>Дата</t>
  </si>
  <si>
    <t>SFS</t>
  </si>
  <si>
    <t>RAPE</t>
  </si>
  <si>
    <t>T</t>
  </si>
  <si>
    <t>Грузоотправитель</t>
  </si>
  <si>
    <t>№п/п</t>
  </si>
  <si>
    <t>№ акта</t>
  </si>
  <si>
    <t>Станция отправления</t>
  </si>
  <si>
    <t>дата погрузки</t>
  </si>
  <si>
    <t>Контракт</t>
  </si>
  <si>
    <t>№ транспортного ср- ва</t>
  </si>
  <si>
    <t>№накл.</t>
  </si>
  <si>
    <t>Вес по перевеске в порту</t>
  </si>
  <si>
    <t>Дата прибытия</t>
  </si>
  <si>
    <t>Дата выгрузки</t>
  </si>
  <si>
    <t>№ п/п</t>
  </si>
  <si>
    <t>Отправитель</t>
  </si>
  <si>
    <t>Y</t>
  </si>
  <si>
    <t>Commodity</t>
  </si>
  <si>
    <t>CSFO</t>
  </si>
  <si>
    <t/>
  </si>
  <si>
    <t>№</t>
  </si>
  <si>
    <t>Пункт</t>
  </si>
  <si>
    <t>Авто</t>
  </si>
  <si>
    <t>Накладная</t>
  </si>
  <si>
    <t>Тр.средство</t>
  </si>
  <si>
    <t>Прицеп</t>
  </si>
  <si>
    <t>ПО НАКЛАДНОЙ</t>
  </si>
  <si>
    <t>ФАКТИЧЕСКИ</t>
  </si>
  <si>
    <t>РАЗНИЦА</t>
  </si>
  <si>
    <t>КАЧЕСТВО</t>
  </si>
  <si>
    <t>П/П</t>
  </si>
  <si>
    <t>взвешивания</t>
  </si>
  <si>
    <t>отгрузки</t>
  </si>
  <si>
    <t>перевозчик</t>
  </si>
  <si>
    <t>Брутто</t>
  </si>
  <si>
    <t>Тара</t>
  </si>
  <si>
    <t>Нетто</t>
  </si>
  <si>
    <t>подработки</t>
  </si>
  <si>
    <t>Влага</t>
  </si>
  <si>
    <t>Сорн. прим.</t>
  </si>
  <si>
    <t>SFCAKE</t>
  </si>
  <si>
    <t>Товар</t>
  </si>
  <si>
    <t>Экспортер</t>
  </si>
  <si>
    <t>Станция отгрузки</t>
  </si>
  <si>
    <t>Вагон №</t>
  </si>
  <si>
    <t>Накладная №</t>
  </si>
  <si>
    <t>Вес</t>
  </si>
  <si>
    <t>Дата
отгрузки</t>
  </si>
  <si>
    <t>Вес по
перевеске</t>
  </si>
  <si>
    <t>Дата
прибытия</t>
  </si>
  <si>
    <t>Остаток на складе</t>
  </si>
  <si>
    <t>Дата выгрузки (складир.)</t>
  </si>
  <si>
    <t>Наличие
ветерин.
свид.</t>
  </si>
  <si>
    <t>Вес зачетный</t>
  </si>
  <si>
    <t>Год урожая</t>
  </si>
  <si>
    <t>Вес после</t>
  </si>
  <si>
    <t>Класс</t>
  </si>
  <si>
    <t>ПРИМЕЧАНИЕ</t>
  </si>
  <si>
    <t>заявленный</t>
  </si>
  <si>
    <t>Натура</t>
  </si>
  <si>
    <t>Port</t>
  </si>
  <si>
    <t>Supplier</t>
  </si>
  <si>
    <t>Tonnage</t>
  </si>
  <si>
    <t>Avlita</t>
  </si>
  <si>
    <t>TIS</t>
  </si>
  <si>
    <t>Date</t>
  </si>
  <si>
    <t>ячмінь</t>
  </si>
  <si>
    <t>End Date</t>
  </si>
  <si>
    <t>Start Date</t>
  </si>
  <si>
    <t>STT-MMK</t>
  </si>
  <si>
    <t>Price w/o VAT</t>
  </si>
  <si>
    <t>STT-SRZ</t>
  </si>
  <si>
    <t>Белок</t>
  </si>
  <si>
    <t>Клейковина</t>
  </si>
  <si>
    <t>ИДК</t>
  </si>
  <si>
    <t>BLY</t>
  </si>
  <si>
    <t>MO</t>
  </si>
  <si>
    <t>FM</t>
  </si>
  <si>
    <t>TW</t>
  </si>
  <si>
    <t>TB</t>
  </si>
  <si>
    <t>DAM</t>
  </si>
  <si>
    <t>BCM</t>
  </si>
  <si>
    <t>CORN</t>
  </si>
  <si>
    <t>IMP</t>
  </si>
  <si>
    <t>OIL</t>
  </si>
  <si>
    <t>FFA</t>
  </si>
  <si>
    <t>PHO</t>
  </si>
  <si>
    <t>ACID</t>
  </si>
  <si>
    <t>FAT</t>
  </si>
  <si>
    <t>OADM</t>
  </si>
  <si>
    <t>SFS CRUSH</t>
  </si>
  <si>
    <t>PROT</t>
  </si>
  <si>
    <t>FIB</t>
  </si>
  <si>
    <t>WHT4B</t>
  </si>
  <si>
    <t>SPR</t>
  </si>
  <si>
    <t>WHTB5</t>
  </si>
  <si>
    <t>FWHT6</t>
  </si>
  <si>
    <t>MWHT2A</t>
  </si>
  <si>
    <t>BDAM</t>
  </si>
  <si>
    <t>WG</t>
  </si>
  <si>
    <t>W</t>
  </si>
  <si>
    <t>IDK</t>
  </si>
  <si>
    <t>FN</t>
  </si>
  <si>
    <t>MWHT3A</t>
  </si>
  <si>
    <t>Глюки</t>
  </si>
  <si>
    <t>Ерукова</t>
  </si>
  <si>
    <t>FWHT</t>
  </si>
  <si>
    <t>MWHT</t>
  </si>
  <si>
    <t>?</t>
  </si>
  <si>
    <t>SORGO</t>
  </si>
  <si>
    <t>SOYBEAN</t>
  </si>
  <si>
    <t>PEAS</t>
  </si>
  <si>
    <t>R</t>
  </si>
  <si>
    <t>Contact #</t>
  </si>
  <si>
    <t>single</t>
  </si>
  <si>
    <t>start</t>
  </si>
  <si>
    <t>end</t>
  </si>
  <si>
    <t>File name</t>
  </si>
  <si>
    <t>Title</t>
  </si>
  <si>
    <t>Year</t>
  </si>
  <si>
    <t>Month</t>
  </si>
  <si>
    <t>Day</t>
  </si>
  <si>
    <t>#</t>
  </si>
  <si>
    <t>bhcti</t>
  </si>
  <si>
    <t>Постачальник вантажу</t>
  </si>
  <si>
    <t>Код постачальника</t>
  </si>
  <si>
    <t>Код отримувача</t>
  </si>
  <si>
    <t>Отримувач вантажу</t>
  </si>
  <si>
    <t>Ship method</t>
  </si>
  <si>
    <t>Contract number</t>
  </si>
  <si>
    <t>Накладна</t>
  </si>
  <si>
    <t>Машина</t>
  </si>
  <si>
    <t>Вага</t>
  </si>
  <si>
    <t>По накладной</t>
  </si>
  <si>
    <t>Факт</t>
  </si>
  <si>
    <t>Kherson</t>
  </si>
  <si>
    <t>Code</t>
  </si>
  <si>
    <t>пшениця 4кл.</t>
  </si>
  <si>
    <t>пшениця 5кл.</t>
  </si>
  <si>
    <t>пшениця 6кл.</t>
  </si>
  <si>
    <t>ячмінь 3кл.</t>
  </si>
  <si>
    <t>пшениця 2кл.</t>
  </si>
  <si>
    <t>пшениця 3кл.</t>
  </si>
  <si>
    <t>-</t>
  </si>
  <si>
    <t>пшениця фур.</t>
  </si>
  <si>
    <t>max</t>
  </si>
  <si>
    <t>4кл.</t>
  </si>
  <si>
    <t>5кл.</t>
  </si>
  <si>
    <t>6кл.</t>
  </si>
  <si>
    <t>VAT Y/N</t>
  </si>
  <si>
    <t>Input Price</t>
  </si>
  <si>
    <t>basis</t>
  </si>
  <si>
    <t>koef</t>
  </si>
  <si>
    <t>3клас</t>
  </si>
  <si>
    <t>STSTT005</t>
  </si>
  <si>
    <t>Kherson-2</t>
  </si>
  <si>
    <t>(grains)</t>
  </si>
  <si>
    <t>Элеватор</t>
  </si>
  <si>
    <t>№ накладной</t>
  </si>
  <si>
    <t>№ вагона/авто</t>
  </si>
  <si>
    <t>Груз</t>
  </si>
  <si>
    <t>Вес по накладной</t>
  </si>
  <si>
    <t>Фактический вес</t>
  </si>
  <si>
    <t>№ контракта</t>
  </si>
  <si>
    <t>Нов. Поступления</t>
  </si>
  <si>
    <t>Пункт погрузки</t>
  </si>
  <si>
    <t>Поставщик</t>
  </si>
  <si>
    <t>Влажность, %</t>
  </si>
  <si>
    <t>Сорная примесь, %</t>
  </si>
  <si>
    <t>Зерновая примесь, %</t>
  </si>
  <si>
    <t>Odesa</t>
  </si>
  <si>
    <t>Олимпекс</t>
  </si>
  <si>
    <t>Нобл</t>
  </si>
  <si>
    <t>Агроплюс 1</t>
  </si>
  <si>
    <t>STODE006</t>
  </si>
  <si>
    <t>ЯЧМЕНЬ 2011, 3, Кормовой</t>
  </si>
  <si>
    <t>51425ОВ</t>
  </si>
  <si>
    <t>Ширяево</t>
  </si>
  <si>
    <t>Novoaleks</t>
  </si>
  <si>
    <t>Belok</t>
  </si>
  <si>
    <t>STSTT0014</t>
  </si>
  <si>
    <t>Клас</t>
  </si>
  <si>
    <t>влажность</t>
  </si>
  <si>
    <t>сорная примесь</t>
  </si>
  <si>
    <t xml:space="preserve">зерновая примесь </t>
  </si>
  <si>
    <t>натура</t>
  </si>
  <si>
    <t>Агроинженеринг</t>
  </si>
  <si>
    <t>0024858</t>
  </si>
  <si>
    <t>ВЕ 4022 АР</t>
  </si>
  <si>
    <t>Ferm Y/N</t>
  </si>
  <si>
    <t>Contract #</t>
  </si>
  <si>
    <t>Место</t>
  </si>
  <si>
    <t>ТЕПЛОХОД</t>
  </si>
  <si>
    <t>Хранения</t>
  </si>
  <si>
    <t>Зерн. Прим</t>
  </si>
  <si>
    <t>Пророс-шие %</t>
  </si>
  <si>
    <t>скл. №2/3</t>
  </si>
  <si>
    <t>Шантане</t>
  </si>
  <si>
    <t>130059</t>
  </si>
  <si>
    <t>00965 ХО</t>
  </si>
  <si>
    <t>Ferm</t>
  </si>
  <si>
    <t>ABC</t>
  </si>
  <si>
    <t>пшениця 1кл.</t>
  </si>
  <si>
    <t>кукурудза</t>
  </si>
  <si>
    <t>соняшник</t>
  </si>
  <si>
    <t>UAH/USD</t>
  </si>
  <si>
    <t>ВЕС</t>
  </si>
  <si>
    <t>После подработки</t>
  </si>
  <si>
    <t>BLYF</t>
  </si>
  <si>
    <t>2кл.</t>
  </si>
  <si>
    <t>CORNF</t>
  </si>
  <si>
    <t>RAPEF</t>
  </si>
  <si>
    <t>SFSF</t>
  </si>
  <si>
    <t>WHT4BF</t>
  </si>
  <si>
    <t>WHTB5F</t>
  </si>
  <si>
    <t>FWHT6F</t>
  </si>
  <si>
    <t>MWHT2AF</t>
  </si>
  <si>
    <t>MWHT3AF</t>
  </si>
  <si>
    <t>3кл.</t>
  </si>
  <si>
    <t>A</t>
  </si>
  <si>
    <t>AQC</t>
  </si>
  <si>
    <t>D</t>
  </si>
  <si>
    <t>AGRUA</t>
  </si>
  <si>
    <t>CO</t>
  </si>
  <si>
    <t>SICA301</t>
  </si>
  <si>
    <t>SSICA302</t>
  </si>
  <si>
    <t>2014</t>
  </si>
  <si>
    <t>SSTT002</t>
  </si>
  <si>
    <t>Перевозчик</t>
  </si>
  <si>
    <t>Район</t>
  </si>
  <si>
    <t>Карантин</t>
  </si>
  <si>
    <t>Ветеринар</t>
  </si>
  <si>
    <t>Дата Ветеринарки</t>
  </si>
  <si>
    <t>Культура, класс, год урожая</t>
  </si>
  <si>
    <t xml:space="preserve">Дата выгрузки на склад </t>
  </si>
  <si>
    <t>транспорт</t>
  </si>
  <si>
    <t>Квота</t>
  </si>
  <si>
    <t>Експортер</t>
  </si>
  <si>
    <t>Отправитель квоты</t>
  </si>
  <si>
    <t>№
накладной</t>
  </si>
  <si>
    <t>№ транспорта</t>
  </si>
  <si>
    <t>по документам</t>
  </si>
  <si>
    <t>по факту</t>
  </si>
  <si>
    <t>На складе, кг</t>
  </si>
  <si>
    <t>НА ЕЛЕВАТОРЕ</t>
  </si>
  <si>
    <t>Масса экспортированного, кг</t>
  </si>
  <si>
    <t>Масса потерь, кг</t>
  </si>
  <si>
    <t>Судно</t>
  </si>
  <si>
    <t>Дата экспорта</t>
  </si>
  <si>
    <t>№ ПОРУЧЕНИЯ</t>
  </si>
  <si>
    <t>Акт передачи</t>
  </si>
  <si>
    <t>ПРИНЯТІ</t>
  </si>
  <si>
    <t>брутто</t>
  </si>
  <si>
    <t>тара</t>
  </si>
  <si>
    <t>нетто</t>
  </si>
  <si>
    <t>расхождение</t>
  </si>
  <si>
    <t>НАТУРА</t>
  </si>
  <si>
    <t>ВЛАЖНОСТЬ</t>
  </si>
  <si>
    <t>СОР</t>
  </si>
  <si>
    <t>Nika-Tera</t>
  </si>
  <si>
    <t>Borivazh</t>
  </si>
  <si>
    <t xml:space="preserve">№ </t>
  </si>
  <si>
    <t>uah/usd</t>
  </si>
  <si>
    <t>SICA306</t>
  </si>
  <si>
    <t>Номер ТТН</t>
  </si>
  <si>
    <t>Транспортний засіб</t>
  </si>
  <si>
    <t>Культура</t>
  </si>
  <si>
    <t>Рік врожаю</t>
  </si>
  <si>
    <t>Дані за документами, кг</t>
  </si>
  <si>
    <t>Дані по зважуванню, кг</t>
  </si>
  <si>
    <t>Бруто</t>
  </si>
  <si>
    <t>Нето</t>
  </si>
  <si>
    <t>Різниця, кг</t>
  </si>
  <si>
    <t>Перевізник</t>
  </si>
  <si>
    <t>Відправник</t>
  </si>
  <si>
    <t>Замовник</t>
  </si>
  <si>
    <t>Станція відправлення</t>
  </si>
  <si>
    <t>Показники якості</t>
  </si>
  <si>
    <t>Вологість, %</t>
  </si>
  <si>
    <t>Смітна домішка, %</t>
  </si>
  <si>
    <t>Білок, %</t>
  </si>
  <si>
    <t>Зернова домішка, %</t>
  </si>
  <si>
    <t>Натура, г/л</t>
  </si>
  <si>
    <t>Число падіння, с</t>
  </si>
  <si>
    <t>Клоп черепашка, %</t>
  </si>
  <si>
    <t>Клейковина якість, одиниць</t>
  </si>
  <si>
    <t>Номер</t>
  </si>
  <si>
    <t>Клейковина, %</t>
  </si>
  <si>
    <t>Ветеринарний сертифікат</t>
  </si>
  <si>
    <t>TLOG018</t>
  </si>
  <si>
    <t>01</t>
  </si>
  <si>
    <t>пшениця фур. 5кл.</t>
  </si>
  <si>
    <t>АН 66-81 СК</t>
  </si>
  <si>
    <t>26</t>
  </si>
  <si>
    <t>16</t>
  </si>
  <si>
    <t>AN 67-96 IK</t>
  </si>
  <si>
    <t>Основа</t>
  </si>
  <si>
    <t>АН 22-76 НК</t>
  </si>
  <si>
    <t>Пшениця 6 кл. 2015</t>
  </si>
  <si>
    <t>ТОВ "НОБЛ РЕСОРСІЗ УКРАЇНА"</t>
  </si>
  <si>
    <t>24.08.2015</t>
  </si>
  <si>
    <t>ПП ТП Мегатранс</t>
  </si>
  <si>
    <t>АА 8396 МН/АР 2007 ХР</t>
  </si>
  <si>
    <t>ТОВ "АКВА-НТ"</t>
  </si>
  <si>
    <t>DSSK</t>
  </si>
  <si>
    <t>ФГ "Омельяненко"</t>
  </si>
  <si>
    <t>ВА5671АХ/ВА5028ХТ</t>
  </si>
  <si>
    <t>ВА8006ВВ/ВА8525ХТ</t>
  </si>
  <si>
    <t>ВЕ3143ВВ/ВЕ8334ХТ</t>
  </si>
  <si>
    <t>ВЕ4438АЕ/ВЕ2395ХР</t>
  </si>
  <si>
    <t>ВЕ4153ВК/ВЕ2949ХР</t>
  </si>
  <si>
    <t>ВЕ6253ВІ/ВЕ2389ХР</t>
  </si>
  <si>
    <t>ВЕ1376ВН/ВЕ9838ХТ</t>
  </si>
  <si>
    <t>ВЕ0571ВМ/ВЕ1033ХО</t>
  </si>
  <si>
    <t>ВЕ0572ВМ/ВЕ1040ХО</t>
  </si>
  <si>
    <t>ПП Компанія "Ніка Паллант"</t>
  </si>
  <si>
    <t>ООО "Укрексім"</t>
  </si>
  <si>
    <t>ТОВ "Ерідан -комерц " new</t>
  </si>
  <si>
    <t>ТОВ "Тандем Агро" new</t>
  </si>
  <si>
    <t>ТОВ "Трейдсофткорн"</t>
  </si>
  <si>
    <t>ВЕ9106АК/ВЕ1552ХТ</t>
  </si>
  <si>
    <t>ВЕ3259АІ/ВЕ2711ХТ</t>
  </si>
  <si>
    <t>ВЕ3298ВВ/ВЕ9405ХТ</t>
  </si>
  <si>
    <t>ВЕ8426ВА/ВЕ9404ХТ</t>
  </si>
  <si>
    <t>ООО Агросток</t>
  </si>
  <si>
    <t>12645 НІ/ВЕ 1121 ХХ</t>
  </si>
  <si>
    <t>ВЕ9977АК/ВЕ1132ХТ</t>
  </si>
  <si>
    <t>ВЕ 4177 АТ/ВЕ 2465 ХР</t>
  </si>
  <si>
    <t>ВЕ3237АВ/12875НІ</t>
  </si>
  <si>
    <t>ВС7649АК/ВН7213ХТ</t>
  </si>
  <si>
    <t>ВН3078ВМ/ВН4193ХМ</t>
  </si>
  <si>
    <t>NRU</t>
  </si>
  <si>
    <t>Кукурудза 3 класу кормові потреби</t>
  </si>
  <si>
    <t>Пшениця 3 клас (гр. А)</t>
  </si>
  <si>
    <t>ВТ1819АС/ВТ5585ХХ</t>
  </si>
  <si>
    <t>ТОВ "Агріімпекс"</t>
  </si>
  <si>
    <t>ПСП "Відродження"</t>
  </si>
  <si>
    <t>ФГ "Основа"</t>
  </si>
  <si>
    <t>2903/1</t>
  </si>
  <si>
    <t>2903/4</t>
  </si>
  <si>
    <t>2903/6</t>
  </si>
  <si>
    <t>ВЕ2024АР/ВЕ2337ХТ</t>
  </si>
  <si>
    <t>ВА3999ВА/ВА6266ХТ</t>
  </si>
  <si>
    <t>ВЕ0287ВО/ВЕ0260ХО</t>
  </si>
  <si>
    <t>12258ХО/18113ХН</t>
  </si>
  <si>
    <t>ВТ4729АР/ВТ9491ХТ</t>
  </si>
  <si>
    <t>ВА8378АР/ВА2229ХТ</t>
  </si>
  <si>
    <t>ВА4999ВА/ВА4999ХТ</t>
  </si>
  <si>
    <t>ВЕ0023ВМ/АС9070ХХ</t>
  </si>
  <si>
    <t>ВЕ5932ВН/ВЕ4964ХТ</t>
  </si>
  <si>
    <t>ПЕТРОВЕ (СОФІЇВСЬКИЙ РАЙОН)</t>
  </si>
  <si>
    <t>ВЕ 9955 АК/ВЕ 1618 ХТ</t>
  </si>
  <si>
    <t>ВЕ 4277 АК/ВЕ 1079 ХТ</t>
  </si>
  <si>
    <t>ВЕ 3200 АЕ/ВЕ 1508 ХР</t>
  </si>
  <si>
    <t>ВЕ5988АО/ВЕ8047ХТ</t>
  </si>
  <si>
    <t>ТОВ "ЛАН"</t>
  </si>
  <si>
    <t>ВЕ0027ВС/ВЕ1633ХТ</t>
  </si>
  <si>
    <t>00556ХО/ВЕ2123ХХ</t>
  </si>
  <si>
    <t>ВЕ7296АН/ВЕ 0533 ХР</t>
  </si>
  <si>
    <t>ТОВ "Варяг"</t>
  </si>
  <si>
    <t>ТОВ "РУСІНТЕР"</t>
  </si>
  <si>
    <t xml:space="preserve">СФГ Долгер М.К. </t>
  </si>
  <si>
    <t xml:space="preserve">ТОВ Золотий шлях </t>
  </si>
  <si>
    <t>АН 14-54 ІК</t>
  </si>
  <si>
    <t>ВЕ3133ВМ/ВЕ3433ХР</t>
  </si>
  <si>
    <t>АН 47-16 ІА</t>
  </si>
  <si>
    <t>ВЕ2420АТ/1008НИ</t>
  </si>
  <si>
    <t>ВЕ3296ВС/ВЕ0148ХТ</t>
  </si>
  <si>
    <t>ВЕ3297ВС/без приц</t>
  </si>
  <si>
    <t>05856НК/14844НІ</t>
  </si>
  <si>
    <t>СТОВ Вікторія</t>
  </si>
  <si>
    <t>НЗ Транс Експедиція</t>
  </si>
  <si>
    <t>55</t>
  </si>
  <si>
    <t>ЧП Паскал</t>
  </si>
  <si>
    <t>Дем’янівка</t>
  </si>
  <si>
    <t>Свободне</t>
  </si>
  <si>
    <t>Тополіное</t>
  </si>
  <si>
    <t>Нікольское</t>
  </si>
  <si>
    <t>159</t>
  </si>
  <si>
    <t>160</t>
  </si>
  <si>
    <t>20</t>
  </si>
  <si>
    <t>1962</t>
  </si>
  <si>
    <t>АН 93-62 ЕР</t>
  </si>
  <si>
    <t>1963</t>
  </si>
  <si>
    <t>АН 73-67 ЕТ</t>
  </si>
  <si>
    <t>АГРОПРОМХІМ</t>
  </si>
  <si>
    <t>АГРОПРОМХІМ ТОВ</t>
  </si>
  <si>
    <t>Бета-Агро-Інвест ТОВ</t>
  </si>
  <si>
    <t>ВЕ3318АВ/10759НІ</t>
  </si>
  <si>
    <t>ВЕ6374ВН/ВЕ0817ХР</t>
  </si>
  <si>
    <t>ТОВ "Трейдсофткорн" 1</t>
  </si>
  <si>
    <t>ПП "Обрій"</t>
  </si>
  <si>
    <t>ВІ 18-00 АФ</t>
  </si>
  <si>
    <t>ВІ 5008 АН</t>
  </si>
  <si>
    <t>ВІ 22-75 АІ</t>
  </si>
  <si>
    <t>ТОВ Господар</t>
  </si>
  <si>
    <t>ФГ Громада</t>
  </si>
  <si>
    <t>АА 04-65 ОН</t>
  </si>
  <si>
    <t>АН 00-33 ЕА</t>
  </si>
  <si>
    <t>АН 70-91 ІМ</t>
  </si>
  <si>
    <t>АЕ 46-05 СІ</t>
  </si>
  <si>
    <t>15\08</t>
  </si>
  <si>
    <t>17\08</t>
  </si>
  <si>
    <t>16\08</t>
  </si>
  <si>
    <t>Cargo List from COFCO Resources S.A.</t>
  </si>
  <si>
    <t xml:space="preserve">Уважаемый поставщик!
Во вложении Вы можете найти сводка из порта о новом заходе груза. 
Просьба подтвердить.  При возникновении каких-либо противоречий/расхождений просьба оперативно сообщить на эл. адрес: NAL-GRAIN-UA-TRAFFIC@cofcoagri.com 
С уважением,
Компания COFCO RESOURCES S.A.
</t>
  </si>
  <si>
    <t>2016-08-18</t>
  </si>
  <si>
    <t>AGRO ALLIANCE UKRAINE LP</t>
  </si>
  <si>
    <t>АА9724МХ/АА0519ХМ</t>
  </si>
  <si>
    <t>ВТ5956ВА/ВТ8805ХТ</t>
  </si>
  <si>
    <t>ВТ3653АЕ/ВТ5396ХХ</t>
  </si>
  <si>
    <t>ВТ2452АВ/ВТ4153ХХ</t>
  </si>
  <si>
    <t>03920АТ/16263АМ</t>
  </si>
  <si>
    <t>АА4667ОМ/АА2489ХО</t>
  </si>
  <si>
    <t>ВВ0140АТ/10804АМ</t>
  </si>
  <si>
    <t>06528ОН/СА0880ХХ</t>
  </si>
  <si>
    <t>07114НІ/ВЕ1019ХХ</t>
  </si>
  <si>
    <t>CARDIFF TRADING UO</t>
  </si>
  <si>
    <t>JSC VIALANAS LTD</t>
  </si>
  <si>
    <t>AGROGENERATION S/A/</t>
  </si>
  <si>
    <t>"AGRO TRADING AT LTD"</t>
  </si>
  <si>
    <t>СА5468АЕ/СА6346ХХ</t>
  </si>
  <si>
    <t>АЕ6352СА/АЕ1379ХМ</t>
  </si>
  <si>
    <t>АЕ0961АК/АЕ9378ХТ</t>
  </si>
  <si>
    <t>АА4690ОМ/АА2360ХО</t>
  </si>
  <si>
    <t>ВА2216АР/2182НМ</t>
  </si>
  <si>
    <t>АА4679ОМ/АА2367ХО</t>
  </si>
  <si>
    <t>АЕ9440НО/АЕ0885ХХ</t>
  </si>
  <si>
    <t>АА5232ОН/АА2035ХМ</t>
  </si>
  <si>
    <t>АЕ5156АН/АЕ2053ХО</t>
  </si>
  <si>
    <t>АА0466ОН/АА1342ХМ</t>
  </si>
  <si>
    <t>АА5236ОН/АА2031ХМ</t>
  </si>
  <si>
    <t>ВА0941АТ/ВА2689ХТ</t>
  </si>
  <si>
    <t>ВА7953ВС/ВА9993ХХ</t>
  </si>
  <si>
    <t>АЕ3574ВТ/АЕ3296ХХ</t>
  </si>
  <si>
    <t>АР3285СХ/АР1510ХР</t>
  </si>
  <si>
    <t>ВЕ0887АС/ВЕ2643ХХ</t>
  </si>
  <si>
    <t>ВЕ1508ВО/ВЕ0398ХО</t>
  </si>
  <si>
    <t>ВЕ1685АО/ВЕ1909ХО</t>
  </si>
  <si>
    <t>ВА5432АН/ВА5639ХХ</t>
  </si>
  <si>
    <t>СЕ5488ВС/СЕ3634ХХ</t>
  </si>
  <si>
    <t>ВА5773ВЕ/АЕ5159ХХ</t>
  </si>
  <si>
    <t>ВА9360АР/ВА3143ХТ</t>
  </si>
  <si>
    <t>СЕ5004АТ/ВН5536ХО</t>
  </si>
  <si>
    <t>ВЕ5048ВН/ВЕ1475ХР</t>
  </si>
  <si>
    <t>ВЕ6259ВО/ВТ0868ХР</t>
  </si>
  <si>
    <t>ВА3615ВЕ/ВА9521ХТ</t>
  </si>
  <si>
    <t>СА8466ВО/АІ4650ХХ</t>
  </si>
  <si>
    <t>ВО8227ВЕ/ВО1041ХТ</t>
  </si>
  <si>
    <t>АР2764СК/АР3651ХР</t>
  </si>
  <si>
    <t>ВО8903АТ/ВО1398ХТ</t>
  </si>
  <si>
    <t>АЕ5464НЕ/АЕ8201ХО</t>
  </si>
  <si>
    <t>АА4240ВО/АА1002ХР</t>
  </si>
  <si>
    <t>ВН6578ЕР/ВН8020ХР</t>
  </si>
  <si>
    <t>АІ9256ЕІ/АІ9391ХО</t>
  </si>
  <si>
    <t>ВІ6837ВІ/ВІ5154ХР</t>
  </si>
  <si>
    <t>ВН6576ЕР/ВН6934ХО</t>
  </si>
  <si>
    <t>ВН8526ЕІ/ВН1364ХМ</t>
  </si>
  <si>
    <t>Ріпак 1 клас</t>
  </si>
  <si>
    <t>TOV AHOROFIRMA “PERLYNA STEPU”</t>
  </si>
  <si>
    <t>OLSTAS-LEN SOOO</t>
  </si>
  <si>
    <t>TOV “AGROALYANS”</t>
  </si>
  <si>
    <t>HA&amp;CO LP</t>
  </si>
  <si>
    <t>TOV KRIVORIJHARCHOTORG</t>
  </si>
  <si>
    <t>Flimarc LLC</t>
  </si>
  <si>
    <t>done</t>
  </si>
  <si>
    <t>пшениця 3кл. 3кл.</t>
  </si>
  <si>
    <t>пшениця фур. 6кл.,5кл</t>
  </si>
  <si>
    <t>ячмінь 3клас</t>
  </si>
  <si>
    <t xml:space="preserve">Ріпак 1 клас </t>
  </si>
  <si>
    <t>2016-08-19</t>
  </si>
  <si>
    <t>ВЕ3846АЕ/б/п</t>
  </si>
  <si>
    <t>04743НІ/11118НІ</t>
  </si>
  <si>
    <t>ВЕ3261ВН/ВЕ0561ХО</t>
  </si>
  <si>
    <t>ВА6952ВА/ВА6627ХТ</t>
  </si>
  <si>
    <t>ВА4384ВА/ВА6306ХТ</t>
  </si>
  <si>
    <t>СА6651ВВ/15961КА</t>
  </si>
  <si>
    <t>АН9111ІТ/АН1596ХМ</t>
  </si>
  <si>
    <t>ВА3545ВЕ/АН0240ХМ</t>
  </si>
  <si>
    <t>АН2908ІР/АН7190ХР</t>
  </si>
  <si>
    <t>АЕ1740НТ/АЕ1848ХМ</t>
  </si>
  <si>
    <t>АЕ2603ЕО/АЕ3542ХР</t>
  </si>
  <si>
    <t>АЕ1385СО/АЕ4803ХО</t>
  </si>
  <si>
    <t>09366НІ/ВЕ6611ХХ</t>
  </si>
  <si>
    <t>12286НІ/ВЕ1777ХТ</t>
  </si>
  <si>
    <t>ВЕ8620АМ/ВЕ0327ХР</t>
  </si>
  <si>
    <t>ВЕ2257ВС/ВЕ2349ХР</t>
  </si>
  <si>
    <t>АЕ0113СТ/АЕ2333ХР</t>
  </si>
  <si>
    <t>ВО2807АС/ВО2717ХТ</t>
  </si>
  <si>
    <t>АЕ0328СХ/25613КХ</t>
  </si>
  <si>
    <t>АЕ2733ЕТ/АЕ2357ХО</t>
  </si>
  <si>
    <t>ВЕ2609АЕ/ВЕ3968ХХ</t>
  </si>
  <si>
    <t>ВЕ9892АВ/ВЕ2678ХХ</t>
  </si>
  <si>
    <t>ВО8227ВЕ/ВО2042ХТ</t>
  </si>
  <si>
    <t>GLOBAL OPT</t>
  </si>
  <si>
    <t>ВЕ6727АХ/ВЕ4174ХХ</t>
  </si>
  <si>
    <t>ВЕ8416ВМ/12695НІ</t>
  </si>
  <si>
    <t>ВЕ6202АР/ВЕ1151ХХ</t>
  </si>
  <si>
    <t>13422НІ/ВЕ9685ХТ</t>
  </si>
  <si>
    <t>ВА 0738 ВІ/ВА 0683 ХР</t>
  </si>
  <si>
    <t>АА4659ОМ/АА2243ХО</t>
  </si>
  <si>
    <t>АА4666ОМ/АА2486ХО</t>
  </si>
  <si>
    <t>ВТ1489АА/06540ХН</t>
  </si>
  <si>
    <t>АА4684ОМ/АА2491ХО</t>
  </si>
  <si>
    <t>ВЕ9986АМ/ВТ0624ХХ</t>
  </si>
  <si>
    <t>АА4697ОМ/АА2242ХО</t>
  </si>
  <si>
    <t>4204ВНО/ВА1178ХТ</t>
  </si>
  <si>
    <t>ВА8731АС/ВА6597ХХ</t>
  </si>
  <si>
    <t>ВА0635АТ/ВА2842ХТ</t>
  </si>
  <si>
    <t>ВТ6777АВ/20954ХН</t>
  </si>
  <si>
    <t>В8741НІ/09811НІ</t>
  </si>
  <si>
    <t>ВЕ4522АР/ВЕ2239ХТ</t>
  </si>
  <si>
    <t>ВТ0939ВН/ВТ3379ХР</t>
  </si>
  <si>
    <t>ВЕ0335ВО/ВЕ9553ХТ</t>
  </si>
  <si>
    <t>ВТ 8607 АХ/ВТ 8260 ХТ</t>
  </si>
  <si>
    <t>ВА9776АХ/ВА6755ХХ</t>
  </si>
  <si>
    <t>ВА9732АХ/ВА5901ХТ</t>
  </si>
  <si>
    <t>АК0256/ХХ2020</t>
  </si>
  <si>
    <t>ВА4365ВА/ВА6168ХТ</t>
  </si>
  <si>
    <t>ВА1604ВА/ВА5905ХТ</t>
  </si>
  <si>
    <t>ВА7267АА/ВА0952ХХ</t>
  </si>
  <si>
    <t>ВА5959АК/ВА7909ХХ</t>
  </si>
  <si>
    <t>ВЕ3649АТ/ВЕ0471ХО</t>
  </si>
  <si>
    <t>10280НА/АР1273ХХ</t>
  </si>
  <si>
    <t>АР8561ВС/АР0845ХХ</t>
  </si>
  <si>
    <t>ВА0603ВЕ/ВА8824ХТ</t>
  </si>
  <si>
    <t>АР8552АІ/03724НР</t>
  </si>
  <si>
    <t>ВА7191АІ/ВА6405ХТ</t>
  </si>
  <si>
    <t>ВА5218ВЕ/ВА8184ХТ</t>
  </si>
  <si>
    <t>АЕ6481СК/06874АА</t>
  </si>
  <si>
    <t>СА8795АР/СА5061ХТ</t>
  </si>
  <si>
    <t>ВА1643ВА/ВА6321ХТ</t>
  </si>
  <si>
    <t>ВЕ9866ВК/ВЕ0103ХР</t>
  </si>
  <si>
    <t>АР5379АМ/АЕ8682ХР</t>
  </si>
  <si>
    <t>ВА8064ВА/ВА6676ХТ</t>
  </si>
  <si>
    <t>АЕ1438ВЕ/11800АА</t>
  </si>
  <si>
    <t>ВЕ6510ВВ/ВЕ0017ХР</t>
  </si>
  <si>
    <t>AGRO ALLIANCE UKRAINE LP 1</t>
  </si>
  <si>
    <t>пшениця фур. 5кл.,6кл.</t>
  </si>
  <si>
    <t>2016-08-20</t>
  </si>
  <si>
    <t>GRANT INVEST LP</t>
  </si>
  <si>
    <t>ВЕ8206ВВ/ВЕ8918ХТ</t>
  </si>
  <si>
    <t>ВЕ9715АТ/ВЕ5103ХТ</t>
  </si>
  <si>
    <t>ВЕ6250АХ/ВЕ6856ХТ</t>
  </si>
  <si>
    <t>ВЕ8020ВК/ВЕ2288ХО</t>
  </si>
  <si>
    <t>ВЕ8200ВА/ВЕ6487ХТ</t>
  </si>
  <si>
    <t>15105ХО/18529ХН</t>
  </si>
  <si>
    <t>ВТ9135АА/ВТ9576ХТ</t>
  </si>
  <si>
    <t>ВА3356ВС/АР0868ХР</t>
  </si>
  <si>
    <t>АК7471ВМ/АК4259ХТ</t>
  </si>
  <si>
    <t>ВТ7597АА/ВТ5510ХХ</t>
  </si>
  <si>
    <t>ВЕ1576ВІ/ВЕ1276ХР</t>
  </si>
  <si>
    <t>3365ХОО/ВТ6460ХХ</t>
  </si>
  <si>
    <t>ВЕ8635АЕ/ВЕ5000ХХ</t>
  </si>
  <si>
    <t>ВЕ6369ВН/ВЕ9181ХТ</t>
  </si>
  <si>
    <t>ВЕ0547АХ/ВЕ4582ХТ</t>
  </si>
  <si>
    <t>ВЕ4528ВА/ВЕ7153ХТ</t>
  </si>
  <si>
    <t>08076РЕ/08525НІ</t>
  </si>
  <si>
    <t>ВЕ3127ВМ/ВЕ2012ХО</t>
  </si>
  <si>
    <t>ВТ8576АХ/ВТ7994ХТ</t>
  </si>
  <si>
    <t>АХ3697ВХ/АХ2490ХР</t>
  </si>
  <si>
    <t>ВА3423АО/АВ4353ХТ</t>
  </si>
  <si>
    <t>ВТ0756АН/06280ВТ</t>
  </si>
  <si>
    <t>ВА6575ВЕ/ВА0011ХР</t>
  </si>
  <si>
    <t>Р7681ХО/10698ХН</t>
  </si>
  <si>
    <t>АР6550АН/АР2552ХХ</t>
  </si>
  <si>
    <t>ВЕ9835АІ/ВЕ2647ХТ</t>
  </si>
  <si>
    <t>ВТ5510АР/ВТ4373ХТ</t>
  </si>
  <si>
    <t>АІ8831ЕЕ/АЕ1887ХХ</t>
  </si>
  <si>
    <t>ВТ4615ВС/ВТ9521ХТ</t>
  </si>
  <si>
    <t>ВТ5607АА/1037ХД</t>
  </si>
  <si>
    <t>ВТ8095ВЕ/ВТ3929ХТ</t>
  </si>
  <si>
    <t>ВТ6243АТ/ВЕ1475ХР</t>
  </si>
  <si>
    <t>ВЕ9138АВ/ВЕ4727ХХ</t>
  </si>
  <si>
    <t>ВЕ5111АК/ВТ0575ХХ</t>
  </si>
  <si>
    <t>16254ХО/20305ХН</t>
  </si>
  <si>
    <t>09404ХО/ВТ1596ХТ</t>
  </si>
  <si>
    <t>АА4691ОМ/АА2369ХО</t>
  </si>
  <si>
    <t>ВЕ5920ВК/ВЕ7950ХТ</t>
  </si>
  <si>
    <t>АА4661ОМ/АА2321ХО</t>
  </si>
  <si>
    <t>ВЕ2056АК/05135НІ</t>
  </si>
  <si>
    <t>AGRO TRADING LTD</t>
  </si>
  <si>
    <t>04945НІ/БЕЗ_ПРИЦЕПА</t>
  </si>
  <si>
    <t>ВТ6379АР/без приц</t>
  </si>
  <si>
    <t>ВА5047ВВ/ВА7541ХТ</t>
  </si>
  <si>
    <t>ВА3753АЕ/ВА9824ХТ</t>
  </si>
  <si>
    <t>АА4692ОМ/АА2494ХО</t>
  </si>
  <si>
    <t>ВА7142АН/ВА8176ХХ</t>
  </si>
  <si>
    <t>ВА3681ВВ/ВА7451ХТ</t>
  </si>
  <si>
    <t>АА4695ОМ/АА2620ХО</t>
  </si>
  <si>
    <t>ВА4145АО/ВА9822ХХ</t>
  </si>
  <si>
    <t>АА7196КР/АА2039ХО</t>
  </si>
  <si>
    <t>ВТ5440ВС/ВТ3817ХР</t>
  </si>
  <si>
    <t>ВЕ9986АМ/ВЕ0624ХТ</t>
  </si>
  <si>
    <t>ВЕ4517АІ/30107ЕА</t>
  </si>
  <si>
    <t>АА5231ОН/АА2036ХМ</t>
  </si>
  <si>
    <t>ВЕ0295ВК/ВЕ2088ХР</t>
  </si>
  <si>
    <t>ВТ7605АТ/ВТ6423ХТ</t>
  </si>
  <si>
    <t>АА3123ОН/АА2043ХМ</t>
  </si>
  <si>
    <t>ВЕ4224АЕ/ВЕ1401ХТ</t>
  </si>
  <si>
    <t>ВЕ3817ВН/ВЕ0643ХР</t>
  </si>
  <si>
    <t>АЕ8681НМ/БЕЗ_ПРИЦЕПА</t>
  </si>
  <si>
    <t>АЕ4296НА/без прицепа</t>
  </si>
  <si>
    <t>АЕ4296НА/АЕ4142ХО</t>
  </si>
  <si>
    <t>10537НІ/7340НК</t>
  </si>
  <si>
    <t>ВЕ1318АК/ВЕ8888ХХ</t>
  </si>
  <si>
    <t>ВЕ5420ВВ/ВЕ6503ХХ</t>
  </si>
  <si>
    <t>ВЕ7419АР/ВЕ8889ХХ</t>
  </si>
  <si>
    <t>АЕ8681НМ/АЕ7720ХО</t>
  </si>
  <si>
    <t>АЕ9334ЕМ/б/п/</t>
  </si>
  <si>
    <t>04945НІ/10103НІ</t>
  </si>
  <si>
    <t>02145НІ/02815НІ</t>
  </si>
  <si>
    <t>09918НІ/ВЕ2341ХХ</t>
  </si>
  <si>
    <t>ВТ3939АО/ВЕ0464ХО</t>
  </si>
  <si>
    <t>АР0611СН/АІ2454ХР</t>
  </si>
  <si>
    <t>ВЕ9976ВІ/ВЕ2670ХТ</t>
  </si>
  <si>
    <t>ВТ9307АВ/ВТ3170ХХ</t>
  </si>
  <si>
    <t>ВТ3693АН/ВТ4645ХТ</t>
  </si>
  <si>
    <t>ECOPROD ZAT</t>
  </si>
  <si>
    <t>Prymorskyi LLC</t>
  </si>
  <si>
    <t>EPICENTR-K</t>
  </si>
  <si>
    <t>LAN ALLC</t>
  </si>
  <si>
    <t xml:space="preserve">Chumaky ltd </t>
  </si>
  <si>
    <t>PSP “DEMETRA”</t>
  </si>
  <si>
    <t>PAT MIHRAYSNAB</t>
  </si>
  <si>
    <t>КФХ "Исток"</t>
  </si>
  <si>
    <t>PSP “DEMETRA” 1</t>
  </si>
  <si>
    <t>JSC VIALANAS LTD 1</t>
  </si>
  <si>
    <t>пшениця фур. 6кл.,5кл.</t>
  </si>
  <si>
    <t>ВЕ3552ВІ/БЕЗ_ПРИЦЕПА</t>
  </si>
  <si>
    <t>SIA "LATEXPORT"</t>
  </si>
  <si>
    <t>АА4673ОМ/АА2365ХО</t>
  </si>
  <si>
    <t>ВА7602ВН/ВА2008ХР</t>
  </si>
  <si>
    <t>СА7469ВС/АЕ4402ХХ</t>
  </si>
  <si>
    <t>ВЕ4591ВВ/ВА9356ХТ</t>
  </si>
  <si>
    <t>ВЕ9039ВА/ВЕ7473ХХ</t>
  </si>
  <si>
    <t>АН3051ВС/АН2686ХР</t>
  </si>
  <si>
    <t>АЕ9334ЕМ//АЕ6544ХО</t>
  </si>
  <si>
    <t>AGRO IMPORT</t>
  </si>
  <si>
    <t>Astwood Business LP</t>
  </si>
  <si>
    <t>GRAIN TRADING UAE</t>
  </si>
  <si>
    <t>2016-08-23</t>
  </si>
  <si>
    <t>пшениця фур. 6кл.</t>
  </si>
  <si>
    <t>ООО "Эпицентр К"</t>
  </si>
  <si>
    <t>2016-08-25</t>
  </si>
  <si>
    <t>ВТ5011АТ/ВТ8213ХТ</t>
  </si>
  <si>
    <t>ВТ7006АІ/ВТ4874ХХ</t>
  </si>
  <si>
    <t>ВТ1073ВЕ/ВТ1945ХР</t>
  </si>
  <si>
    <t>ВТ2935ВН/ВТ7325ХТ</t>
  </si>
  <si>
    <t>05272АТ/17021АМ</t>
  </si>
  <si>
    <t>ВЕ2322АМ/ВЕ5185ХТ</t>
  </si>
  <si>
    <t>АР2565ВІ/АР5564ХТ</t>
  </si>
  <si>
    <t>СА0535ВА/СА8525ХТ</t>
  </si>
  <si>
    <t>АЕ4653ЕМ/09496АА</t>
  </si>
  <si>
    <t>АЕ2110ВХ/АЕ6900ХР</t>
  </si>
  <si>
    <t>ВЕ5646ВА/ВЕ7499ХТ</t>
  </si>
  <si>
    <t>ВЕ3174ВМ/БЕЗ_ПРИЦЕПА</t>
  </si>
  <si>
    <t>ВТ2109ВС/ВТ1217ХР</t>
  </si>
  <si>
    <t>ВЕ0027ВЕ/без прицепа</t>
  </si>
  <si>
    <t>ВЕ0027ВЕ/ВЕ1999ХО</t>
  </si>
  <si>
    <t>ВЕ8329ВС/без приц</t>
  </si>
  <si>
    <t>ВА8747АЕ/ВА4947ХХ</t>
  </si>
  <si>
    <t>ВЕ2928ВМ/ВЕ4670ХТ</t>
  </si>
  <si>
    <t>ВЕ9866ВІ/ВЕ2366ХР</t>
  </si>
  <si>
    <t>ВЕ1124ВВ/ВЕ1234ХО</t>
  </si>
  <si>
    <t>ВЕ0418ВО/ВЕ0238ХО</t>
  </si>
  <si>
    <t>10145ХО/13545ХН</t>
  </si>
  <si>
    <t>ВЕ4887АК/ВЕ2129ХО</t>
  </si>
  <si>
    <t>ВЕ9388ВЕ/БЕЗ_ПРИЦЕПА</t>
  </si>
  <si>
    <t>ВЕ1059ВВ/ВЕ6495ХТ</t>
  </si>
  <si>
    <t>10538НІ/11059НІ</t>
  </si>
  <si>
    <t>12903НІ/12241НІ</t>
  </si>
  <si>
    <t>ВЕ7721ВВ/ВЕ6537ХТ</t>
  </si>
  <si>
    <t>45282ММ/12311НІ</t>
  </si>
  <si>
    <t>02809НІ/ВЕ9230ХТ</t>
  </si>
  <si>
    <t>ВЕ1659ВК/ВЕ2420ХР</t>
  </si>
  <si>
    <t>ВА4873АР/14488ВА</t>
  </si>
  <si>
    <t>ВА6340АО/ВА2662ХХ</t>
  </si>
  <si>
    <t>ВА4069АО/АС2197ХХ</t>
  </si>
  <si>
    <t>ВЕ9388ВЕ/ВЕ6121ХХ</t>
  </si>
  <si>
    <t>ВЕ2601АХ/ВЕ3585ХТ</t>
  </si>
  <si>
    <t>АА0600СМ/АА9947ХМ</t>
  </si>
  <si>
    <t>ВВ4688ВН/ВВ3082ХТ</t>
  </si>
  <si>
    <t>ЗПС3626/АР3517ХТ</t>
  </si>
  <si>
    <t>АВ0259ВМ/АВ1849ХО</t>
  </si>
  <si>
    <t>ВТ7588АК/17248ХН</t>
  </si>
  <si>
    <t>09593ХО/18828ХН</t>
  </si>
  <si>
    <t>ВЕ0275ВА/ВЕ6722ХТ</t>
  </si>
  <si>
    <t>АН5833НТ/АН0634ХМ</t>
  </si>
  <si>
    <t>ВЕ6561ВМ/ВЕ0492ХО</t>
  </si>
  <si>
    <t>АР4409СА/АР6328ХР</t>
  </si>
  <si>
    <t>АР5521СО/АР5308ХР</t>
  </si>
  <si>
    <t>ВЕ8168АЕ/ВЕ4728ХХ</t>
  </si>
  <si>
    <t>ВЕ4198АЕ/ВЕ4294ХХ</t>
  </si>
  <si>
    <t>АР5520СН/АР1200ХО</t>
  </si>
  <si>
    <t>ВТ9008АМ/ВТ1212ХТ</t>
  </si>
  <si>
    <t>08433ХО/17750ХН</t>
  </si>
  <si>
    <t>14599ХО/22088ХН</t>
  </si>
  <si>
    <t>АЕ9335НА/АЕ5995ХО</t>
  </si>
  <si>
    <t>PFE ISTOK</t>
  </si>
  <si>
    <t>Eridon</t>
  </si>
  <si>
    <t>SP-AGRO-INVEST</t>
  </si>
  <si>
    <t>LATEXPORT</t>
  </si>
  <si>
    <t>BRG</t>
  </si>
  <si>
    <t>Zavod Ocean</t>
  </si>
  <si>
    <t>zavod okean</t>
  </si>
  <si>
    <t>GLOBAL OPT1</t>
  </si>
  <si>
    <t>ПАОП "Зоря"</t>
  </si>
  <si>
    <t>СТОВ "Агрофірма "Заячківка"</t>
  </si>
  <si>
    <t>ПСП "Слобожанщина Агро"</t>
  </si>
  <si>
    <t>2016-08-26</t>
  </si>
  <si>
    <t>АСТВУД БИЗНЕС ЛЛП</t>
  </si>
  <si>
    <t>АА4693ОМ/АА2610ХО</t>
  </si>
  <si>
    <t>ВА3114ВВ/ВА7009ХТ</t>
  </si>
  <si>
    <t>ВЕ2615ВК/ВЕ1645ХТ</t>
  </si>
  <si>
    <t>05564ЕА/ВТ6782ХТ</t>
  </si>
  <si>
    <t>ВТ3514АМ/13976ХН</t>
  </si>
  <si>
    <t>3700ХОТ/ВТ6427ХТ</t>
  </si>
  <si>
    <t>06677ХА/ВІ6008ХО</t>
  </si>
  <si>
    <t>АХ8424АІ/26033ОА</t>
  </si>
  <si>
    <t>ВЕ3834АА/12737НІ</t>
  </si>
  <si>
    <t>ВЕ9235АТ/ВЕ5192ХТ</t>
  </si>
  <si>
    <t>ВЕ9137ВС/ВЕ0238ХР</t>
  </si>
  <si>
    <t>ВЕ1063ВВ/ВЕ8128ХТ</t>
  </si>
  <si>
    <t>АЕ9047ІА/БЕЗ_ПРИЦЕПА</t>
  </si>
  <si>
    <t>АА3362ІМ/ВІ7365ХР</t>
  </si>
  <si>
    <t>ВТ3120АЕ/ВТ9108ХТ</t>
  </si>
  <si>
    <t>ВЕ6961ВС/ВЕ2234ХХ</t>
  </si>
  <si>
    <t>11419НІ/ВЕ1518ХХ</t>
  </si>
  <si>
    <t>SPIKE TRADE</t>
  </si>
  <si>
    <t xml:space="preserve">Пшеница </t>
  </si>
  <si>
    <t>09138ХО/ВТ7210ХТ</t>
  </si>
  <si>
    <t>02001ХО/00541ХН</t>
  </si>
  <si>
    <t>ВЕ9598АР/ВЕ0563ХХ</t>
  </si>
  <si>
    <t>ВЕ4259АВ/ВЕ0748ХР</t>
  </si>
  <si>
    <t>ВЕ2615ВК/ВЕ0511ХО</t>
  </si>
  <si>
    <t>00813ОН/ВА5263ХХ</t>
  </si>
  <si>
    <t>ВТ7426АТ/ВТ6487ХТ</t>
  </si>
  <si>
    <t>ВА4448ВЕ/ВА2241ХР</t>
  </si>
  <si>
    <t>ВА6629ВА/ВА6017ХХ</t>
  </si>
  <si>
    <t>GRANT INVEST LP 1</t>
  </si>
  <si>
    <t>GRANT INVEST LP 3</t>
  </si>
  <si>
    <t>GRANT INVEST LP 4</t>
  </si>
  <si>
    <t>2016-08-29</t>
  </si>
  <si>
    <t>ВЕ0691ВР/10579ВА</t>
  </si>
  <si>
    <t>ВЕ9804ВК/14044НІ</t>
  </si>
  <si>
    <t>ВЕ3734ВВ/ВЕ1288ХР</t>
  </si>
  <si>
    <t>ВТ6758АН/ВТ4838ХТ</t>
  </si>
  <si>
    <t>ВЕ9242ВС/ВЕ1645ХТ</t>
  </si>
  <si>
    <t>ВТ2254АА/ВЕ2131ХХ</t>
  </si>
  <si>
    <t>ВЕ9919АВ/ВЕ1888ХО</t>
  </si>
  <si>
    <t>01318НІ/ВЕ3477ХР</t>
  </si>
  <si>
    <t>АР0376АТ/АР3405ХР</t>
  </si>
  <si>
    <t>АА4670ОМ/АА2366ХО</t>
  </si>
  <si>
    <t>ВН3532АІ/ВН5554ХХ</t>
  </si>
  <si>
    <t>АВ3219АС/АВ5124ХТ</t>
  </si>
  <si>
    <t>АР5027СТ/АР5112ХР</t>
  </si>
  <si>
    <t>ВТ8714АО/ВТ2903ХТ</t>
  </si>
  <si>
    <t>ВТ 5892 АМ/ВТ 9965 ХТ</t>
  </si>
  <si>
    <t>ріпак</t>
  </si>
  <si>
    <t>ZORYA LLC</t>
  </si>
  <si>
    <t>GREENOMANIA</t>
  </si>
  <si>
    <t xml:space="preserve">ріпак </t>
  </si>
  <si>
    <t>2016-08-30</t>
  </si>
  <si>
    <t>ВЕ5827ВІ/ВЕ1333ХО</t>
  </si>
  <si>
    <t>ВТ5120АТ/ВТ4716ХТ</t>
  </si>
  <si>
    <t>GRAIN TRADING UAE 1</t>
  </si>
  <si>
    <t>Ріпак 1 клас Ріпак 1 клас</t>
  </si>
  <si>
    <t>2016-08-31</t>
  </si>
  <si>
    <t>Spike Trade LP</t>
  </si>
  <si>
    <t>ВЕ9801ВС/ВЕ4983ХХ</t>
  </si>
  <si>
    <t>ВЕ0720АТ/ВЕ4990ХТ</t>
  </si>
  <si>
    <t>ВТ3564АК/ВЕ1749ХХ</t>
  </si>
  <si>
    <t>ВТ 6348 АС/ВТ 5391 ХХ</t>
  </si>
  <si>
    <t>ВЕ8204ВІ/ВЕ1877ХР</t>
  </si>
  <si>
    <t>ВЕ5645АМ/ВЕ2499ХТ</t>
  </si>
  <si>
    <t>ВЕ8175АС/ВЕ3755ХХ</t>
  </si>
  <si>
    <t>ВТ8605АМ/ВТ9573ХТ</t>
  </si>
  <si>
    <t>359267-050</t>
  </si>
  <si>
    <t>359268-051</t>
  </si>
  <si>
    <t>03149НІ/10365НІ</t>
  </si>
  <si>
    <t>ВЕ2351АМ/ВЕ3888ХХ</t>
  </si>
  <si>
    <t>ВТ2163АР/ВТ3683ХТ</t>
  </si>
  <si>
    <t>zavod Ocean</t>
  </si>
  <si>
    <t>2016-09-01</t>
  </si>
  <si>
    <t>ВЕ2441АХ/ВЕ5394ХТ</t>
  </si>
  <si>
    <t>ВЕ7417АР/ВЕ3095ХТ</t>
  </si>
  <si>
    <t>ВЕ6805ВА/ВЕ7526ХТ</t>
  </si>
  <si>
    <t>АЕ1082НН/без прицепа</t>
  </si>
  <si>
    <t>ВЕ3821ВА/ВЕ7381ХТ</t>
  </si>
  <si>
    <t>ВЕ2667АХ/ВЕ2061ХТ</t>
  </si>
  <si>
    <t>ВА3010АМ/ВА5542ХХ</t>
  </si>
  <si>
    <t>ВТ5640ВА/ВТ1215ХР</t>
  </si>
  <si>
    <t>АА4676ОМ/АА2363ХО</t>
  </si>
  <si>
    <t>ВТ1795ВН/ВТ3870ХР</t>
  </si>
  <si>
    <t>АА4671ОМ/АА2492ХО</t>
  </si>
  <si>
    <t>02110ХО/ВТ0090ХХ</t>
  </si>
  <si>
    <t>ВЕ6893АМ/ВЕ0679ХТ</t>
  </si>
  <si>
    <t>ВЕ0524АТ/ВЕ3833ХТ</t>
  </si>
  <si>
    <t>ВТ1484АА/ВТ5100ХТ</t>
  </si>
  <si>
    <t>ВЕ9652ВМ/ВЕ1236ХО</t>
  </si>
  <si>
    <t>GLOBAL OPT 1</t>
  </si>
  <si>
    <t>ВЕ4361АХ/ВЕ5781ХТ</t>
  </si>
  <si>
    <t>ВЕ7840АХ/ВЕ5984ХТ</t>
  </si>
  <si>
    <t>ВЕ5746АА/ВЕ0869ХХ</t>
  </si>
  <si>
    <t>ВТ3287АА/03058ВТ</t>
  </si>
  <si>
    <t>ВЕ2891АЕ/ВЕ7266ХХ</t>
  </si>
  <si>
    <t>ВЕ4525ВЕ/12040НІ</t>
  </si>
  <si>
    <t>ВЕ0163АО/ВЕ1291ХТ</t>
  </si>
  <si>
    <t>ВЕ5772АА/ВЕ0880ХХ</t>
  </si>
  <si>
    <t>ВЕ6498АН/ВЕ7265ХХ</t>
  </si>
  <si>
    <t>ВЕ3422ВН/ВА7411ХХ</t>
  </si>
  <si>
    <t>ВЕ3588АТ/ВЕ4318ХТ</t>
  </si>
  <si>
    <t>ВЕ 9288 АС/ВЕ 0166 ХХ</t>
  </si>
  <si>
    <t>ВЕ 8636 АМ/ВЕ 0686 ХТ</t>
  </si>
  <si>
    <t>ВЕ7303ВА/32225ВЕ</t>
  </si>
  <si>
    <t>ВЕ 3886 ВВ/1961 НИ</t>
  </si>
  <si>
    <t>AGROGENERATION S.A.</t>
  </si>
  <si>
    <t>2016-09-05</t>
  </si>
  <si>
    <t>ForteVitaEnterprisesLTD</t>
  </si>
  <si>
    <t>АЕ4420НО/АЕ7886ХО</t>
  </si>
  <si>
    <t>АЕ5672АМ/АЕ6803ХО</t>
  </si>
  <si>
    <t>ВЕ8079ВК/ВЕ2124ХР</t>
  </si>
  <si>
    <t>ВЕ8867ВІ/ВЕ2149ХР</t>
  </si>
  <si>
    <t>ВЕ2254АС/ВЕ3477ХР</t>
  </si>
  <si>
    <t>ВЕ3734ВК/ВЕ0215ХР</t>
  </si>
  <si>
    <t>ВТ8105ВА/ВТ0524ХР</t>
  </si>
  <si>
    <t>ВН7646ВВ/ХХ2858</t>
  </si>
  <si>
    <t>АЕ4605НО/АЕ7519ХО</t>
  </si>
  <si>
    <t>ВЕ0728ВО/ВЕ2391ХР</t>
  </si>
  <si>
    <t>АЕ4162ЕВ/АЕ3886ХР</t>
  </si>
  <si>
    <t>АЕ9257НВ/АЕ4375ХО</t>
  </si>
  <si>
    <t>ВТ4260АВ/ВТ2175ХХ</t>
  </si>
  <si>
    <t>ВЕ0338ВК/ВЕ2296ХР</t>
  </si>
  <si>
    <t>ВА0110АР/ВА1040ХР</t>
  </si>
  <si>
    <t>ВА1585АК/ВА1711ХТ</t>
  </si>
  <si>
    <t>ВА1914ВЕ/ВА8825ХТ</t>
  </si>
  <si>
    <t>ВЕ6359АХ/ВЕ4323ХТ</t>
  </si>
  <si>
    <t>ВТ0292АС/ВТ3307ХХ</t>
  </si>
  <si>
    <t>СА8775АР/СА2208ХР</t>
  </si>
  <si>
    <t>08562ХО/1371ХЖ</t>
  </si>
  <si>
    <t>ВТ1409АВ/ВТ5277ХХ</t>
  </si>
  <si>
    <t>09070ХО/ВТ0981ХТ</t>
  </si>
  <si>
    <t>08855ХО/05371ХН</t>
  </si>
  <si>
    <t>KZTS Machining LLC</t>
  </si>
  <si>
    <t>MILLARD CORP ALL</t>
  </si>
  <si>
    <t>FLIMARC LLC</t>
  </si>
  <si>
    <t>AGRO ALLIANCE UKRAINE LP_1</t>
  </si>
  <si>
    <t>GLOBAL OPT_1</t>
  </si>
  <si>
    <t>кукузудза</t>
  </si>
  <si>
    <t>05.09.2016 21:23:32</t>
  </si>
  <si>
    <t>05.09.2016 21:32:26</t>
  </si>
  <si>
    <t>05.09.2016 21:41:33</t>
  </si>
  <si>
    <t>05.09.2016 21:53:25</t>
  </si>
  <si>
    <t>05.09.2016 21:58:29</t>
  </si>
  <si>
    <t>05.09.2016 22:17:52</t>
  </si>
  <si>
    <t>05.09.2016 22:39:51</t>
  </si>
  <si>
    <t>05.09.2016 22:48:49</t>
  </si>
  <si>
    <t>05.09.2016 23:03:41</t>
  </si>
  <si>
    <t>АІ0667ЕМ/АН0009ХО</t>
  </si>
  <si>
    <t>СЕ3437ВЕ/СЕ6070ХТ</t>
  </si>
  <si>
    <t>ВК9163ВА/ВК2243ХТ</t>
  </si>
  <si>
    <t>ВК1066ВО/ВК1171ХТ</t>
  </si>
  <si>
    <t>ВЕ3816ВМ/ХХ1805</t>
  </si>
  <si>
    <t>00586НІ/9618ТЕ</t>
  </si>
  <si>
    <t>ВЕ6832ВН/ВЕ0906ХР</t>
  </si>
  <si>
    <t>ВЕ2591ВМ/ВЕ2043ХО</t>
  </si>
  <si>
    <t>HANGZHOU XIOMA IMPORT AND EXPORT CO. LTD</t>
  </si>
  <si>
    <t>2016-09-06</t>
  </si>
  <si>
    <t>кукузудза 3кл.</t>
  </si>
  <si>
    <t>Spike Trade LP1</t>
  </si>
  <si>
    <t>ZAVOD OCEAN</t>
  </si>
  <si>
    <t>06.09.2016 23:40:56</t>
  </si>
  <si>
    <t>06.09.2016 23:50:13</t>
  </si>
  <si>
    <t>07.09.2016 00:06:05</t>
  </si>
  <si>
    <t>07.09.2016 00:20:03</t>
  </si>
  <si>
    <t>07.09.2016 04:35:51</t>
  </si>
  <si>
    <t>07.09.2016 04:42:21</t>
  </si>
  <si>
    <t>07.09.2016 04:51:47</t>
  </si>
  <si>
    <t>07.09.2016 05:00:57</t>
  </si>
  <si>
    <t>ВС8507СО/ВС8902ХТ</t>
  </si>
  <si>
    <t>08121ОН/10811ОН</t>
  </si>
  <si>
    <t>ВЕ3706ВС/ВЕ0833ХР</t>
  </si>
  <si>
    <t>ВА4381АХ/АІ7206ХТ</t>
  </si>
  <si>
    <t>1кл.</t>
  </si>
  <si>
    <t xml:space="preserve">MASHYNNO-TECHNOLOGICAL STATION YATRAN LLC </t>
  </si>
  <si>
    <t>ріпак 1кл.</t>
  </si>
  <si>
    <t>Virness Trade S.A.</t>
  </si>
  <si>
    <t>АЕ3736ЕН/2340НІ</t>
  </si>
  <si>
    <t>ВЕ7822АТ/АЕ1364ХХ</t>
  </si>
  <si>
    <t>ВЕ7417АР/БЕЗ_ПРИЦЕПА</t>
  </si>
  <si>
    <t>ВА0274ВС/ВА3568ХТ</t>
  </si>
  <si>
    <t>СА2869ВН/СА7433ХР</t>
  </si>
  <si>
    <t>СА0019ВЕ/ВХ0550ХТ</t>
  </si>
  <si>
    <t>АР2906СІ/АР2753ХР</t>
  </si>
  <si>
    <t>ВЕ4080АМ/ВЕ0743ХТ</t>
  </si>
  <si>
    <t>ВС0815КМ/ВС9159ХТ</t>
  </si>
  <si>
    <t>АА7564ВС/АА1025ХР</t>
  </si>
  <si>
    <t>ВТ5420ВВ/ВТ2396ХТ</t>
  </si>
  <si>
    <t>GLOBAL OPT_2</t>
  </si>
  <si>
    <t>Virness Trade S.A._1</t>
  </si>
  <si>
    <t>HANGZHOU XIOMA IMPORT AND EXPORT CO. LTD_1</t>
  </si>
  <si>
    <t>ВЕ3242ВО/ВЕ3340ХХ</t>
  </si>
  <si>
    <t>ВЕ7199ВС/ВЕ0790ХР</t>
  </si>
  <si>
    <t>ВЕ4955АТ/ВЕ7788ХТ</t>
  </si>
  <si>
    <t>ВА4458АМ/ВА8664ХХ</t>
  </si>
  <si>
    <t>ВА9904ВС/ВА9476ХТ</t>
  </si>
  <si>
    <t>ВН2452ВІ/ВН9130ХТ</t>
  </si>
  <si>
    <t>ВЕ8495ВІ/ВЕ2095ХР</t>
  </si>
  <si>
    <t>кукурудза 3кл.</t>
  </si>
  <si>
    <t>2016-09-12</t>
  </si>
  <si>
    <t>ВА5614ВА/12374ОН</t>
  </si>
  <si>
    <t>ВЕ1747ВА/ВЕ7967ХТ</t>
  </si>
  <si>
    <t>Katerynopil Torgoviy Dim Company Limited</t>
  </si>
  <si>
    <t>ВТ5068ВА/ВТ8106ХТ</t>
  </si>
  <si>
    <t>ВА7149ВА/ВА6135ХТ</t>
  </si>
  <si>
    <t>ВА6334ВА/ВА0788ХТ</t>
  </si>
  <si>
    <t>ВЕ5330ВН/ВЕ0830ХР</t>
  </si>
  <si>
    <t>ВЕ5153АХ/ВЕ9113ХТ</t>
  </si>
  <si>
    <t>06546КМ/АІ4098ХХ</t>
  </si>
  <si>
    <t>ВА0831АК/ВА7071ХТ</t>
  </si>
  <si>
    <t>ВА5848АН/ВА5656ХХ</t>
  </si>
  <si>
    <t>АЕ3642НС/АА1738ХМ</t>
  </si>
  <si>
    <t>АН8189ЕМ/АН6434ХТ</t>
  </si>
  <si>
    <t>ВА1743АК/ВА1159ХР</t>
  </si>
  <si>
    <t>ВА5348ВА/ВА0856ХР</t>
  </si>
  <si>
    <t>АР2775ВО/АР7979ХТ</t>
  </si>
  <si>
    <t>ВЕ7646ВВ/ВЕ8958ХТ</t>
  </si>
  <si>
    <t>ВЕ4146ВІ/ВЕ1556ХР</t>
  </si>
  <si>
    <t>ВЕ6673ВО/ВЕ1115ХО</t>
  </si>
  <si>
    <t>ВЕ9955ВМ/ВЕ1718ХО</t>
  </si>
  <si>
    <t>ВЕ8882ВІ/ВЕ2000ХР</t>
  </si>
  <si>
    <t>ВЕ7396ВН/ВЕ3441ХТ</t>
  </si>
  <si>
    <t>Virness Trade S.A.1</t>
  </si>
  <si>
    <t>VERHNEKAMENSKAYA</t>
  </si>
  <si>
    <t>HANGZHOU XIOMA IMPORT AND EXPORT CO. LTD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</si>
</sst>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3">
    <numFmt numFmtId="164" formatCode="_-* #,##0.00\ _₽_-;\-* #,##0.00\ _₽_-;_-* &quot;-&quot;??\ _₽_-;_-@_-"/>
    <numFmt numFmtId="165" formatCode="_-* #,##0.00_р_._-;\-* #,##0.00_р_._-;_-* &quot;-&quot;??_р_._-;_-@_-"/>
    <numFmt numFmtId="166" formatCode="0.000"/>
    <numFmt numFmtId="167" formatCode="0.0"/>
    <numFmt numFmtId="168" formatCode="[$-409]d\-mmm;@"/>
    <numFmt numFmtId="169" formatCode="000000"/>
    <numFmt numFmtId="170" formatCode="0&quot;ОВ&quot;"/>
    <numFmt numFmtId="171" formatCode="00000&quot;ОН&quot;"/>
    <numFmt numFmtId="172" formatCode="[$-10409]dd\.mm\.yyyy"/>
    <numFmt numFmtId="173" formatCode="[$-10409]0.00;\(0.00\)"/>
    <numFmt numFmtId="174" formatCode="[$-10409]0;\(0\)"/>
    <numFmt numFmtId="175" formatCode="[$-10409]0.0;\(0.0\)"/>
    <numFmt numFmtId="176" formatCode="0&quot;OB&quot;"/>
    <numFmt numFmtId="177" formatCode="0.0000"/>
    <numFmt numFmtId="178" formatCode="0&quot;OA&quot;"/>
    <numFmt numFmtId="179" formatCode="0&quot;HI&quot;"/>
    <numFmt numFmtId="180" formatCode="0&quot;OH&quot;"/>
    <numFmt numFmtId="181" formatCode="dd/mm/yy;@"/>
    <numFmt numFmtId="182" formatCode="#,##0.000_ ;\-#,##0.000\ "/>
    <numFmt numFmtId="183" formatCode="_-* #,##0.00\ _р_._-;\-* #,##0.00\ _р_._-;_-* &quot;-&quot;??\ _р_._-;_-@_-"/>
    <numFmt numFmtId="184" formatCode="dd\.mm\.yyyy;@"/>
    <numFmt numFmtId="185" formatCode="0000000"/>
    <numFmt numFmtId="186" formatCode="[$$-409]#,##0.00"/>
  </numFmts>
  <fonts count="102"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family val="2"/>
    </font>
    <font>
      <sz val="10"/>
      <name val="Arial"/>
      <family val="2"/>
      <charset val="204"/>
    </font>
    <font>
      <sz val="8"/>
      <name val="Arial"/>
      <family val="2"/>
    </font>
    <font>
      <sz val="10"/>
      <color indexed="8"/>
      <name val="Arial"/>
      <family val="2"/>
      <charset val="204"/>
    </font>
    <font>
      <sz val="10"/>
      <color indexed="8"/>
      <name val="Arial Cyr"/>
      <charset val="204"/>
    </font>
    <font>
      <b/>
      <i/>
      <sz val="10"/>
      <name val="Arial"/>
      <family val="2"/>
      <charset val="204"/>
    </font>
    <font>
      <b/>
      <sz val="9"/>
      <name val="Arial"/>
      <family val="2"/>
      <charset val="204"/>
    </font>
    <font>
      <b/>
      <sz val="10"/>
      <name val="Arial"/>
      <family val="2"/>
      <charset val="204"/>
    </font>
    <font>
      <sz val="8"/>
      <name val="Arial"/>
      <family val="2"/>
      <charset val="204"/>
    </font>
    <font>
      <b/>
      <sz val="11"/>
      <name val="Arial"/>
      <family val="2"/>
    </font>
    <font>
      <sz val="10"/>
      <name val="Arial Cyr"/>
      <charset val="204"/>
    </font>
    <font>
      <sz val="11"/>
      <color theme="1"/>
      <name val="Calibri"/>
      <family val="2"/>
      <charset val="204"/>
      <scheme val="minor"/>
    </font>
    <font>
      <b/>
      <sz val="10"/>
      <color indexed="8"/>
      <name val="Arial Cyr"/>
      <charset val="204"/>
    </font>
    <font>
      <b/>
      <sz val="12"/>
      <color indexed="8"/>
      <name val="Arial Cyr"/>
      <charset val="204"/>
    </font>
    <font>
      <b/>
      <sz val="11"/>
      <color indexed="8"/>
      <name val="Arial Cyr"/>
      <charset val="204"/>
    </font>
    <font>
      <b/>
      <i/>
      <sz val="10"/>
      <color indexed="8"/>
      <name val="Arial Cyr"/>
      <charset val="204"/>
    </font>
    <font>
      <b/>
      <u/>
      <sz val="10"/>
      <color indexed="8"/>
      <name val="Arial Cyr"/>
      <charset val="204"/>
    </font>
    <font>
      <b/>
      <i/>
      <u/>
      <sz val="9"/>
      <color indexed="8"/>
      <name val="Arial"/>
      <family val="2"/>
      <charset val="204"/>
    </font>
    <font>
      <i/>
      <sz val="7"/>
      <color indexed="8"/>
      <name val="Arial Cyr"/>
      <charset val="204"/>
    </font>
    <font>
      <b/>
      <i/>
      <sz val="9"/>
      <color indexed="8"/>
      <name val="Arial Cyr"/>
      <charset val="204"/>
    </font>
    <font>
      <sz val="11"/>
      <color indexed="8"/>
      <name val="Calibri"/>
      <family val="2"/>
      <charset val="204"/>
    </font>
    <font>
      <sz val="11"/>
      <name val="Arial"/>
      <family val="2"/>
      <charset val="204"/>
    </font>
    <font>
      <sz val="11"/>
      <color indexed="8"/>
      <name val="Arial"/>
      <family val="2"/>
      <charset val="204"/>
    </font>
    <font>
      <b/>
      <sz val="11"/>
      <name val="Arial"/>
      <family val="2"/>
      <charset val="204"/>
    </font>
    <font>
      <sz val="11"/>
      <color indexed="10"/>
      <name val="Arial"/>
      <family val="2"/>
      <charset val="204"/>
    </font>
    <font>
      <b/>
      <sz val="10"/>
      <name val="Arial"/>
      <family val="2"/>
    </font>
    <font>
      <sz val="10"/>
      <name val="Arial"/>
      <family val="2"/>
    </font>
    <font>
      <sz val="10"/>
      <name val="Arial"/>
      <family val="2"/>
    </font>
    <font>
      <sz val="10"/>
      <name val="Arial"/>
      <family val="2"/>
    </font>
    <font>
      <sz val="10"/>
      <name val="Arial"/>
      <family val="2"/>
    </font>
    <font>
      <sz val="12"/>
      <name val="Arial"/>
      <family val="2"/>
      <charset val="204"/>
    </font>
    <font>
      <sz val="10"/>
      <color indexed="8"/>
      <name val="Arial"/>
      <family val="2"/>
    </font>
    <font>
      <sz val="12"/>
      <color indexed="8"/>
      <name val="Arial"/>
      <family val="2"/>
      <charset val="204"/>
    </font>
    <font>
      <sz val="12"/>
      <name val="Times New Roman"/>
      <family val="1"/>
      <charset val="204"/>
    </font>
    <font>
      <b/>
      <sz val="10"/>
      <color theme="1"/>
      <name val="Arial"/>
      <family val="2"/>
      <charset val="204"/>
    </font>
    <font>
      <sz val="11"/>
      <name val="Calibri"/>
      <family val="2"/>
      <charset val="204"/>
    </font>
    <font>
      <sz val="10.5"/>
      <name val="Consolas"/>
      <family val="3"/>
    </font>
    <font>
      <sz val="9"/>
      <color indexed="8"/>
      <name val="Arial"/>
      <family val="2"/>
      <charset val="204"/>
    </font>
    <font>
      <sz val="9"/>
      <name val="Arial"/>
      <family val="2"/>
      <charset val="204"/>
    </font>
    <font>
      <sz val="11"/>
      <color indexed="9"/>
      <name val="Calibri"/>
      <family val="2"/>
      <charset val="204"/>
    </font>
    <font>
      <sz val="11"/>
      <color indexed="20"/>
      <name val="Calibri"/>
      <family val="2"/>
      <charset val="204"/>
    </font>
    <font>
      <b/>
      <sz val="11"/>
      <color indexed="52"/>
      <name val="Calibri"/>
      <family val="2"/>
      <charset val="204"/>
    </font>
    <font>
      <b/>
      <sz val="11"/>
      <color indexed="9"/>
      <name val="Calibri"/>
      <family val="2"/>
      <charset val="204"/>
    </font>
    <font>
      <i/>
      <sz val="11"/>
      <color indexed="23"/>
      <name val="Calibri"/>
      <family val="2"/>
      <charset val="204"/>
    </font>
    <font>
      <sz val="11"/>
      <color indexed="17"/>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sz val="11"/>
      <color indexed="62"/>
      <name val="Calibri"/>
      <family val="2"/>
      <charset val="204"/>
    </font>
    <font>
      <sz val="11"/>
      <color indexed="52"/>
      <name val="Calibri"/>
      <family val="2"/>
      <charset val="204"/>
    </font>
    <font>
      <sz val="11"/>
      <color indexed="60"/>
      <name val="Calibri"/>
      <family val="2"/>
      <charset val="204"/>
    </font>
    <font>
      <b/>
      <sz val="11"/>
      <color indexed="63"/>
      <name val="Calibri"/>
      <family val="2"/>
      <charset val="204"/>
    </font>
    <font>
      <b/>
      <sz val="18"/>
      <color indexed="56"/>
      <name val="Cambria"/>
      <family val="2"/>
      <charset val="204"/>
    </font>
    <font>
      <b/>
      <sz val="11"/>
      <color indexed="8"/>
      <name val="Calibri"/>
      <family val="2"/>
      <charset val="204"/>
    </font>
    <font>
      <sz val="11"/>
      <color indexed="10"/>
      <name val="Calibri"/>
      <family val="2"/>
      <charset val="204"/>
    </font>
    <font>
      <b/>
      <sz val="8"/>
      <name val="Arial"/>
      <family val="2"/>
      <charset val="204"/>
    </font>
    <font>
      <sz val="10"/>
      <color rgb="FFFF0000"/>
      <name val="Arial"/>
      <family val="2"/>
      <charset val="204"/>
    </font>
    <font>
      <sz val="11"/>
      <name val="Calibri"/>
      <family val="2"/>
      <scheme val="minor"/>
    </font>
    <font>
      <sz val="11"/>
      <name val="Calibri"/>
      <family val="2"/>
    </font>
    <font>
      <sz val="8"/>
      <name val="Arial"/>
      <family val="2"/>
      <charset val="204"/>
    </font>
    <font>
      <sz val="10"/>
      <name val="Arial"/>
      <family val="2"/>
      <charset val="204"/>
    </font>
    <font>
      <sz val="8"/>
      <name val="Arial"/>
      <family val="2"/>
      <charset val="204"/>
    </font>
    <font>
      <sz val="12"/>
      <color indexed="10"/>
      <name val="Arial"/>
      <family val="2"/>
      <charset val="204"/>
    </font>
    <font>
      <sz val="10"/>
      <name val="MS Sans Serif"/>
      <family val="2"/>
      <charset val="204"/>
    </font>
    <font>
      <b/>
      <sz val="9"/>
      <color indexed="81"/>
      <name val="Tahoma"/>
      <family val="2"/>
      <charset val="204"/>
    </font>
    <font>
      <sz val="9"/>
      <color indexed="81"/>
      <name val="Tahoma"/>
      <family val="2"/>
      <charset val="204"/>
    </font>
    <font>
      <sz val="11"/>
      <name val="Calibri"/>
      <family val="2"/>
      <charset val="204"/>
      <scheme val="minor"/>
    </font>
    <font>
      <sz val="8"/>
      <name val="Arial"/>
      <family val="2"/>
      <charset val="204"/>
    </font>
    <font>
      <sz val="8"/>
      <name val="Arial"/>
      <family val="2"/>
      <charset val="204"/>
    </font>
    <font>
      <sz val="8"/>
      <color rgb="FF4D4D4D"/>
      <name val="Arial"/>
      <family val="2"/>
      <charset val="204"/>
    </font>
    <font>
      <sz val="8"/>
      <color indexed="63"/>
      <name val="Arial"/>
      <family val="2"/>
      <charset val="204"/>
    </font>
    <font>
      <sz val="8"/>
      <color rgb="FFFF0000"/>
      <name val="Arial"/>
      <family val="2"/>
      <charset val="204"/>
    </font>
    <font>
      <sz val="10"/>
      <color rgb="FFFF0000"/>
      <name val="Arial"/>
      <family val="2"/>
    </font>
    <font>
      <sz val="10"/>
      <color rgb="FFFF0000"/>
      <name val="Calibri"/>
      <family val="2"/>
      <charset val="204"/>
      <scheme val="minor"/>
    </font>
    <font>
      <b/>
      <sz val="10"/>
      <color rgb="FFFF0000"/>
      <name val="Arial"/>
      <family val="2"/>
      <charset val="204"/>
    </font>
    <font>
      <sz val="8"/>
      <color indexed="63"/>
      <name val="Arial"/>
      <family val="2"/>
      <charset val="204"/>
    </font>
    <font>
      <sz val="8"/>
      <color indexed="63"/>
      <name val="Arial"/>
      <family val="2"/>
      <charset val="204"/>
    </font>
    <font>
      <sz val="8"/>
      <color rgb="FF4D4D4D"/>
      <name val="Arial"/>
      <family val="2"/>
      <charset val="204"/>
    </font>
    <font>
      <sz val="8"/>
      <color rgb="FF4D4D4D"/>
      <name val="Arial"/>
      <family val="2"/>
      <charset val="204"/>
    </font>
    <font>
      <sz val="10"/>
      <name val="Arial"/>
      <family val="2"/>
      <charset val="204"/>
    </font>
    <font>
      <sz val="8"/>
      <color indexed="8"/>
      <name val="Arial"/>
      <family val="2"/>
      <charset val="204"/>
    </font>
    <font>
      <sz val="11"/>
      <color indexed="20"/>
      <name val="Calibri"/>
      <family val="2"/>
    </font>
    <font>
      <sz val="8"/>
      <color rgb="FF4D4D4D"/>
      <name val="Arial"/>
      <family val="2"/>
      <charset val="204"/>
    </font>
    <font>
      <sz val="10"/>
      <name val="Arial"/>
      <family val="2"/>
      <charset val="204"/>
    </font>
    <font>
      <sz val="8"/>
      <color rgb="FF4D4D4D"/>
      <name val="Arial"/>
      <family val="2"/>
      <charset val="204"/>
    </font>
    <font>
      <sz val="10"/>
      <color theme="1" tint="0.249977111117893"/>
      <name val="Arial"/>
      <family val="2"/>
      <charset val="204"/>
    </font>
    <font>
      <sz val="11"/>
      <color theme="1" tint="0.249977111117893"/>
      <name val="Arial"/>
      <family val="2"/>
      <charset val="204"/>
    </font>
    <font>
      <sz val="10"/>
      <color theme="1"/>
      <name val="Arial"/>
      <family val="2"/>
      <charset val="204"/>
    </font>
    <font>
      <sz val="11"/>
      <color theme="1"/>
      <name val="Arial"/>
      <family val="2"/>
      <charset val="204"/>
    </font>
    <font>
      <sz val="9"/>
      <color rgb="FFFF0000"/>
      <name val="Arial"/>
      <family val="2"/>
      <charset val="204"/>
    </font>
    <font>
      <sz val="11"/>
      <color rgb="FFFF0000"/>
      <name val="Arial"/>
      <family val="2"/>
      <charset val="204"/>
    </font>
    <font>
      <sz val="10"/>
      <name val="Arial"/>
      <family val="2"/>
      <charset val="204"/>
    </font>
    <font>
      <sz val="10"/>
      <name val="Arial"/>
      <charset val="204"/>
    </font>
    <font>
      <sz val="10"/>
      <name val="Arial"/>
    </font>
    <font>
      <sz val="11"/>
      <color theme="1"/>
      <name val="Calibri"/>
      <family val="2"/>
      <scheme val="minor"/>
    </font>
  </fonts>
  <fills count="57">
    <fill>
      <patternFill patternType="none"/>
    </fill>
    <fill>
      <patternFill patternType="gray125"/>
    </fill>
    <fill>
      <patternFill patternType="solid">
        <fgColor indexed="9"/>
      </patternFill>
    </fill>
    <fill>
      <patternFill patternType="solid">
        <fgColor indexed="22"/>
        <bgColor indexed="64"/>
      </patternFill>
    </fill>
    <fill>
      <patternFill patternType="solid">
        <fgColor indexed="9"/>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CCFF"/>
        <bgColor indexed="64"/>
      </patternFill>
    </fill>
    <fill>
      <patternFill patternType="solid">
        <fgColor rgb="FF00B0F0"/>
        <bgColor indexed="64"/>
      </patternFill>
    </fill>
    <fill>
      <patternFill patternType="solid">
        <fgColor indexed="13"/>
        <bgColor indexed="64"/>
      </patternFill>
    </fill>
    <fill>
      <patternFill patternType="solid">
        <fgColor theme="0" tint="-0.24994659260841701"/>
        <bgColor indexed="64"/>
      </patternFill>
    </fill>
    <fill>
      <patternFill patternType="solid">
        <fgColor theme="0"/>
        <bgColor indexed="64"/>
      </patternFill>
    </fill>
    <fill>
      <patternFill patternType="solid">
        <fgColor indexed="9"/>
        <bgColor indexed="26"/>
      </patternFill>
    </fill>
    <fill>
      <patternFill patternType="solid">
        <fgColor indexed="22"/>
        <bgColor indexed="31"/>
      </patternFill>
    </fill>
    <fill>
      <patternFill patternType="solid">
        <fgColor theme="6" tint="0.59999389629810485"/>
        <bgColor indexed="64"/>
      </patternFill>
    </fill>
    <fill>
      <patternFill patternType="solid">
        <fgColor indexed="42"/>
        <bgColor indexed="27"/>
      </patternFill>
    </fill>
    <fill>
      <patternFill patternType="solid">
        <fgColor theme="0" tint="-0.24994659260841701"/>
        <bgColor indexed="27"/>
      </patternFill>
    </fill>
    <fill>
      <patternFill patternType="solid">
        <fgColor rgb="FFFFFF00"/>
        <bgColor indexed="27"/>
      </patternFill>
    </fill>
    <fill>
      <patternFill patternType="solid">
        <fgColor indexed="31"/>
        <bgColor indexed="22"/>
      </patternFill>
    </fill>
    <fill>
      <patternFill patternType="solid">
        <fgColor indexed="45"/>
        <bgColor indexed="29"/>
      </patternFill>
    </fill>
    <fill>
      <patternFill patternType="solid">
        <fgColor indexed="46"/>
        <bgColor indexed="24"/>
      </patternFill>
    </fill>
    <fill>
      <patternFill patternType="solid">
        <fgColor indexed="27"/>
        <bgColor indexed="41"/>
      </patternFill>
    </fill>
    <fill>
      <patternFill patternType="solid">
        <fgColor indexed="47"/>
        <bgColor indexed="26"/>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43"/>
        <bgColor indexed="26"/>
      </patternFill>
    </fill>
    <fill>
      <patternFill patternType="solid">
        <fgColor indexed="26"/>
        <bgColor indexed="43"/>
      </patternFill>
    </fill>
    <fill>
      <patternFill patternType="solid">
        <fgColor theme="5" tint="0.59999389629810485"/>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indexed="26"/>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indexed="45"/>
      </patternFill>
    </fill>
    <fill>
      <patternFill patternType="solid">
        <fgColor rgb="FFFFFF00"/>
        <bgColor indexed="26"/>
      </patternFill>
    </fill>
    <fill>
      <patternFill patternType="solid">
        <fgColor rgb="FFFFFF00"/>
        <bgColor indexed="31"/>
      </patternFill>
    </fill>
    <fill>
      <patternFill patternType="solid">
        <fgColor theme="7" tint="0.59999389629810485"/>
        <bgColor indexed="64"/>
      </patternFill>
    </fill>
    <fill>
      <patternFill patternType="solid">
        <fgColor theme="2" tint="-0.499984740745262"/>
        <bgColor indexed="64"/>
      </patternFill>
    </fill>
    <fill>
      <patternFill patternType="solid">
        <fgColor theme="8" tint="0.39997558519241921"/>
        <bgColor indexed="64"/>
      </patternFill>
    </fill>
    <fill>
      <patternFill patternType="solid">
        <fgColor rgb="FFFFC000"/>
        <bgColor indexed="64"/>
      </patternFill>
    </fill>
  </fills>
  <borders count="13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medium">
        <color indexed="8"/>
      </left>
      <right style="thin">
        <color indexed="8"/>
      </right>
      <top style="thin">
        <color indexed="8"/>
      </top>
      <bottom/>
      <diagonal/>
    </border>
    <border>
      <left style="medium">
        <color indexed="8"/>
      </left>
      <right/>
      <top/>
      <bottom style="thin">
        <color indexed="8"/>
      </bottom>
      <diagonal/>
    </border>
    <border>
      <left style="thin">
        <color indexed="64"/>
      </left>
      <right style="thin">
        <color indexed="64"/>
      </right>
      <top style="medium">
        <color indexed="64"/>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medium">
        <color indexed="8"/>
      </left>
      <right/>
      <top style="thin">
        <color indexed="8"/>
      </top>
      <bottom style="thin">
        <color indexed="8"/>
      </bottom>
      <diagonal/>
    </border>
    <border>
      <left style="hair">
        <color indexed="8"/>
      </left>
      <right style="hair">
        <color indexed="8"/>
      </right>
      <top style="hair">
        <color indexed="8"/>
      </top>
      <bottom style="hair">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style="medium">
        <color indexed="8"/>
      </top>
      <bottom/>
      <diagonal/>
    </border>
    <border>
      <left style="medium">
        <color indexed="8"/>
      </left>
      <right style="medium">
        <color indexed="8"/>
      </right>
      <top/>
      <bottom/>
      <diagonal/>
    </border>
    <border>
      <left style="medium">
        <color indexed="8"/>
      </left>
      <right style="medium">
        <color indexed="8"/>
      </right>
      <top style="thin">
        <color indexed="8"/>
      </top>
      <bottom/>
      <diagonal/>
    </border>
    <border>
      <left style="thin">
        <color indexed="8"/>
      </left>
      <right style="medium">
        <color indexed="8"/>
      </right>
      <top/>
      <bottom/>
      <diagonal/>
    </border>
    <border>
      <left style="thin">
        <color indexed="8"/>
      </left>
      <right style="medium">
        <color indexed="8"/>
      </right>
      <top style="medium">
        <color indexed="8"/>
      </top>
      <bottom/>
      <diagonal/>
    </border>
    <border>
      <left style="thin">
        <color auto="1"/>
      </left>
      <right style="thin">
        <color auto="1"/>
      </right>
      <top style="thin">
        <color auto="1"/>
      </top>
      <bottom style="thin">
        <color auto="1"/>
      </bottom>
      <diagonal/>
    </border>
    <border>
      <left style="medium">
        <color indexed="8"/>
      </left>
      <right style="thin">
        <color indexed="8"/>
      </right>
      <top style="thin">
        <color indexed="8"/>
      </top>
      <bottom style="thin">
        <color indexed="8"/>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style="thin">
        <color indexed="64"/>
      </left>
      <right/>
      <top/>
      <bottom style="thin">
        <color indexed="64"/>
      </bottom>
      <diagonal/>
    </border>
    <border>
      <left style="thin">
        <color indexed="8"/>
      </left>
      <right style="thin">
        <color indexed="8"/>
      </right>
      <top style="medium">
        <color indexed="64"/>
      </top>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style="thin">
        <color indexed="8"/>
      </right>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indexed="64"/>
      </bottom>
      <diagonal/>
    </border>
    <border>
      <left/>
      <right style="thin">
        <color indexed="64"/>
      </right>
      <top style="thin">
        <color indexed="64"/>
      </top>
      <bottom/>
      <diagonal/>
    </border>
    <border>
      <left/>
      <right/>
      <top style="thin">
        <color indexed="64"/>
      </top>
      <bottom/>
      <diagonal/>
    </border>
    <border>
      <left style="thin">
        <color indexed="8"/>
      </left>
      <right style="medium">
        <color indexed="64"/>
      </right>
      <top style="medium">
        <color indexed="64"/>
      </top>
      <bottom/>
      <diagonal/>
    </border>
    <border>
      <left style="thin">
        <color indexed="8"/>
      </left>
      <right style="medium">
        <color indexed="64"/>
      </right>
      <top/>
      <bottom style="medium">
        <color indexed="64"/>
      </bottom>
      <diagonal/>
    </border>
    <border>
      <left style="thin">
        <color indexed="64"/>
      </left>
      <right style="thin">
        <color indexed="8"/>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8"/>
      </right>
      <top/>
      <bottom style="medium">
        <color indexed="64"/>
      </bottom>
      <diagonal/>
    </border>
    <border>
      <left style="thin">
        <color indexed="24"/>
      </left>
      <right style="thin">
        <color indexed="24"/>
      </right>
      <top style="thin">
        <color indexed="24"/>
      </top>
      <bottom style="thin">
        <color indexed="24"/>
      </bottom>
      <diagonal/>
    </border>
    <border>
      <left style="thin">
        <color indexed="24"/>
      </left>
      <right/>
      <top style="thin">
        <color indexed="24"/>
      </top>
      <bottom/>
      <diagonal/>
    </border>
    <border>
      <left/>
      <right style="thin">
        <color indexed="24"/>
      </right>
      <top style="thin">
        <color indexed="24"/>
      </top>
      <bottom/>
      <diagonal/>
    </border>
    <border>
      <left style="thin">
        <color indexed="24"/>
      </left>
      <right style="thin">
        <color indexed="24"/>
      </right>
      <top style="thin">
        <color indexed="24"/>
      </top>
      <bottom/>
      <diagonal/>
    </border>
    <border>
      <left/>
      <right/>
      <top style="thin">
        <color indexed="24"/>
      </top>
      <bottom/>
      <diagonal/>
    </border>
    <border>
      <left style="thin">
        <color indexed="8"/>
      </left>
      <right style="thin">
        <color indexed="8"/>
      </right>
      <top/>
      <bottom style="thin">
        <color indexed="8"/>
      </bottom>
      <diagonal/>
    </border>
    <border>
      <left style="thin">
        <color indexed="24"/>
      </left>
      <right/>
      <top style="thin">
        <color indexed="24"/>
      </top>
      <bottom style="thin">
        <color indexed="24"/>
      </bottom>
      <diagonal/>
    </border>
    <border>
      <left/>
      <right style="thin">
        <color indexed="24"/>
      </right>
      <top style="thin">
        <color indexed="24"/>
      </top>
      <bottom style="thin">
        <color indexed="24"/>
      </bottom>
      <diagonal/>
    </border>
    <border>
      <left style="thin">
        <color indexed="24"/>
      </left>
      <right style="thin">
        <color indexed="24"/>
      </right>
      <top/>
      <bottom style="thin">
        <color indexed="24"/>
      </bottom>
      <diagonal/>
    </border>
    <border>
      <left/>
      <right/>
      <top style="thin">
        <color indexed="24"/>
      </top>
      <bottom style="thin">
        <color indexed="24"/>
      </bottom>
      <diagonal/>
    </border>
    <border>
      <left style="thin">
        <color indexed="64"/>
      </left>
      <right style="thin">
        <color indexed="8"/>
      </right>
      <top style="medium">
        <color indexed="64"/>
      </top>
      <bottom style="thin">
        <color indexed="8"/>
      </bottom>
      <diagonal/>
    </border>
    <border>
      <left style="thin">
        <color indexed="64"/>
      </left>
      <right style="thin">
        <color indexed="8"/>
      </right>
      <top style="thin">
        <color indexed="8"/>
      </top>
      <bottom style="medium">
        <color indexed="64"/>
      </bottom>
      <diagonal/>
    </border>
    <border>
      <left style="thin">
        <color rgb="FFCCC085"/>
      </left>
      <right style="thin">
        <color rgb="FFCCC085"/>
      </right>
      <top style="thin">
        <color rgb="FFCCC085"/>
      </top>
      <bottom style="thin">
        <color rgb="FFCCC085"/>
      </bottom>
      <diagonal/>
    </border>
    <border>
      <left style="thin">
        <color rgb="FFCCC085"/>
      </left>
      <right/>
      <top style="thin">
        <color rgb="FFCCC085"/>
      </top>
      <bottom style="thin">
        <color rgb="FFCCC085"/>
      </bottom>
      <diagonal/>
    </border>
    <border>
      <left/>
      <right/>
      <top style="thin">
        <color rgb="FFCCC085"/>
      </top>
      <bottom style="thin">
        <color rgb="FFCCC085"/>
      </bottom>
      <diagonal/>
    </border>
    <border>
      <left/>
      <right style="thin">
        <color indexed="24"/>
      </right>
      <top style="thin">
        <color rgb="FFCCC085"/>
      </top>
      <bottom style="thin">
        <color rgb="FFCCC085"/>
      </bottom>
      <diagonal/>
    </border>
    <border>
      <left/>
      <right style="thin">
        <color rgb="FFCCC085"/>
      </right>
      <top style="thin">
        <color rgb="FFCCC085"/>
      </top>
      <bottom style="thin">
        <color rgb="FFCCC085"/>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64"/>
      </right>
      <top/>
      <bottom/>
      <diagonal/>
    </border>
    <border>
      <left style="thin">
        <color indexed="64"/>
      </left>
      <right/>
      <top style="thin">
        <color indexed="24"/>
      </top>
      <bottom style="thin">
        <color indexed="24"/>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right/>
      <top/>
      <bottom style="thin">
        <color indexed="8"/>
      </bottom>
      <diagonal/>
    </border>
    <border>
      <left style="thin">
        <color indexed="8"/>
      </left>
      <right/>
      <top/>
      <bottom/>
      <diagonal/>
    </border>
    <border>
      <left style="thin">
        <color rgb="FFCCC085"/>
      </left>
      <right/>
      <top/>
      <bottom style="thin">
        <color rgb="FFCCC085"/>
      </bottom>
      <diagonal/>
    </border>
    <border>
      <left/>
      <right/>
      <top/>
      <bottom style="thin">
        <color rgb="FFCCC085"/>
      </bottom>
      <diagonal/>
    </border>
    <border>
      <left/>
      <right style="thin">
        <color rgb="FFCCC085"/>
      </right>
      <top/>
      <bottom style="thin">
        <color rgb="FFCCC085"/>
      </bottom>
      <diagonal/>
    </border>
    <border>
      <left style="thin">
        <color indexed="24"/>
      </left>
      <right/>
      <top/>
      <bottom style="thin">
        <color indexed="24"/>
      </bottom>
      <diagonal/>
    </border>
    <border>
      <left/>
      <right/>
      <top/>
      <bottom style="thin">
        <color indexed="24"/>
      </bottom>
      <diagonal/>
    </border>
    <border>
      <left/>
      <right style="thin">
        <color indexed="24"/>
      </right>
      <top/>
      <bottom style="thin">
        <color indexed="24"/>
      </bottom>
      <diagonal/>
    </border>
    <border>
      <left style="thin">
        <color rgb="FFE6E6E6"/>
      </left>
      <right style="thin">
        <color rgb="FFE6E6E6"/>
      </right>
      <top style="thin">
        <color rgb="FFE6E6E6"/>
      </top>
      <bottom style="thin">
        <color rgb="FFE6E6E6"/>
      </bottom>
      <diagonal/>
    </border>
    <border>
      <left/>
      <right/>
      <top style="thin">
        <color indexed="64"/>
      </top>
      <bottom style="thin">
        <color indexed="64"/>
      </bottom>
      <diagonal/>
    </border>
  </borders>
  <cellStyleXfs count="130">
    <xf numFmtId="0" fontId="0" fillId="0" borderId="0"/>
    <xf numFmtId="0" fontId="8" fillId="0" borderId="0"/>
    <xf numFmtId="0" fontId="11" fillId="2" borderId="0">
      <alignment horizontal="left" vertical="top"/>
    </xf>
    <xf numFmtId="0" fontId="11" fillId="2" borderId="0">
      <alignment horizontal="right" vertical="top"/>
    </xf>
    <xf numFmtId="0" fontId="7" fillId="0" borderId="0"/>
    <xf numFmtId="0" fontId="7" fillId="0" borderId="0"/>
    <xf numFmtId="0" fontId="18" fillId="0" borderId="0"/>
    <xf numFmtId="0" fontId="23" fillId="2" borderId="0">
      <alignment horizontal="left" vertical="top"/>
    </xf>
    <xf numFmtId="0" fontId="26" fillId="2" borderId="0">
      <alignment horizontal="right" vertical="top"/>
    </xf>
    <xf numFmtId="0" fontId="25" fillId="2" borderId="0">
      <alignment horizontal="left" vertical="top"/>
    </xf>
    <xf numFmtId="0" fontId="24" fillId="2" borderId="0">
      <alignment horizontal="right" vertical="top"/>
    </xf>
    <xf numFmtId="0" fontId="19" fillId="2" borderId="0">
      <alignment horizontal="left" vertical="top"/>
    </xf>
    <xf numFmtId="0" fontId="20" fillId="2" borderId="0">
      <alignment horizontal="left"/>
    </xf>
    <xf numFmtId="0" fontId="21" fillId="2" borderId="0">
      <alignment horizontal="left" vertical="center"/>
    </xf>
    <xf numFmtId="0" fontId="22" fillId="2" borderId="0">
      <alignment horizontal="left" vertical="top"/>
    </xf>
    <xf numFmtId="0" fontId="19" fillId="2" borderId="0">
      <alignment horizontal="right" vertical="top"/>
    </xf>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27" fillId="0" borderId="0"/>
    <xf numFmtId="0" fontId="8" fillId="0" borderId="0"/>
    <xf numFmtId="0" fontId="27" fillId="0" borderId="0"/>
    <xf numFmtId="0" fontId="27" fillId="0" borderId="0"/>
    <xf numFmtId="0" fontId="9" fillId="0" borderId="0"/>
    <xf numFmtId="0" fontId="27" fillId="19" borderId="0" applyNumberFormat="0" applyBorder="0" applyAlignment="0" applyProtection="0"/>
    <xf numFmtId="0" fontId="27" fillId="20" borderId="0" applyNumberFormat="0" applyBorder="0" applyAlignment="0" applyProtection="0"/>
    <xf numFmtId="0" fontId="27" fillId="16"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1" borderId="0" applyNumberFormat="0" applyBorder="0" applyAlignment="0" applyProtection="0"/>
    <xf numFmtId="0" fontId="27" fillId="24" borderId="0" applyNumberFormat="0" applyBorder="0" applyAlignment="0" applyProtection="0"/>
    <xf numFmtId="0" fontId="27" fillId="27" borderId="0" applyNumberFormat="0" applyBorder="0" applyAlignment="0" applyProtection="0"/>
    <xf numFmtId="0" fontId="46" fillId="28" borderId="0" applyNumberFormat="0" applyBorder="0" applyAlignment="0" applyProtection="0"/>
    <xf numFmtId="0" fontId="46" fillId="25" borderId="0" applyNumberFormat="0" applyBorder="0" applyAlignment="0" applyProtection="0"/>
    <xf numFmtId="0" fontId="46" fillId="26" borderId="0" applyNumberFormat="0" applyBorder="0" applyAlignment="0" applyProtection="0"/>
    <xf numFmtId="0" fontId="46" fillId="29" borderId="0" applyNumberFormat="0" applyBorder="0" applyAlignment="0" applyProtection="0"/>
    <xf numFmtId="0" fontId="46" fillId="30" borderId="0" applyNumberFormat="0" applyBorder="0" applyAlignment="0" applyProtection="0"/>
    <xf numFmtId="0" fontId="46" fillId="31" borderId="0" applyNumberFormat="0" applyBorder="0" applyAlignment="0" applyProtection="0"/>
    <xf numFmtId="0" fontId="46" fillId="32" borderId="0" applyNumberFormat="0" applyBorder="0" applyAlignment="0" applyProtection="0"/>
    <xf numFmtId="0" fontId="46" fillId="33" borderId="0" applyNumberFormat="0" applyBorder="0" applyAlignment="0" applyProtection="0"/>
    <xf numFmtId="0" fontId="46" fillId="34" borderId="0" applyNumberFormat="0" applyBorder="0" applyAlignment="0" applyProtection="0"/>
    <xf numFmtId="0" fontId="46" fillId="29" borderId="0" applyNumberFormat="0" applyBorder="0" applyAlignment="0" applyProtection="0"/>
    <xf numFmtId="0" fontId="46" fillId="30" borderId="0" applyNumberFormat="0" applyBorder="0" applyAlignment="0" applyProtection="0"/>
    <xf numFmtId="0" fontId="46" fillId="35" borderId="0" applyNumberFormat="0" applyBorder="0" applyAlignment="0" applyProtection="0"/>
    <xf numFmtId="0" fontId="55" fillId="23" borderId="72" applyNumberFormat="0" applyAlignment="0" applyProtection="0"/>
    <xf numFmtId="0" fontId="58" fillId="14" borderId="79" applyNumberFormat="0" applyAlignment="0" applyProtection="0"/>
    <xf numFmtId="0" fontId="48" fillId="14" borderId="72" applyNumberFormat="0" applyAlignment="0" applyProtection="0"/>
    <xf numFmtId="0" fontId="52" fillId="0" borderId="74" applyNumberFormat="0" applyFill="0" applyAlignment="0" applyProtection="0"/>
    <xf numFmtId="0" fontId="53" fillId="0" borderId="75" applyNumberFormat="0" applyFill="0" applyAlignment="0" applyProtection="0"/>
    <xf numFmtId="0" fontId="54" fillId="0" borderId="76" applyNumberFormat="0" applyFill="0" applyAlignment="0" applyProtection="0"/>
    <xf numFmtId="0" fontId="54" fillId="0" borderId="0" applyNumberFormat="0" applyFill="0" applyBorder="0" applyAlignment="0" applyProtection="0"/>
    <xf numFmtId="0" fontId="60" fillId="0" borderId="80" applyNumberFormat="0" applyFill="0" applyAlignment="0" applyProtection="0"/>
    <xf numFmtId="0" fontId="49" fillId="36" borderId="73" applyNumberFormat="0" applyAlignment="0" applyProtection="0"/>
    <xf numFmtId="0" fontId="59" fillId="0" borderId="0" applyNumberFormat="0" applyFill="0" applyBorder="0" applyAlignment="0" applyProtection="0"/>
    <xf numFmtId="0" fontId="57" fillId="37" borderId="0" applyNumberFormat="0" applyBorder="0" applyAlignment="0" applyProtection="0"/>
    <xf numFmtId="0" fontId="15" fillId="0" borderId="0">
      <alignment horizontal="left"/>
    </xf>
    <xf numFmtId="0" fontId="47" fillId="20" borderId="0" applyNumberFormat="0" applyBorder="0" applyAlignment="0" applyProtection="0"/>
    <xf numFmtId="0" fontId="50" fillId="0" borderId="0" applyNumberFormat="0" applyFill="0" applyBorder="0" applyAlignment="0" applyProtection="0"/>
    <xf numFmtId="0" fontId="8" fillId="38" borderId="78" applyNumberFormat="0" applyAlignment="0" applyProtection="0"/>
    <xf numFmtId="0" fontId="56" fillId="0" borderId="77" applyNumberFormat="0" applyFill="0" applyAlignment="0" applyProtection="0"/>
    <xf numFmtId="0" fontId="61" fillId="0" borderId="0" applyNumberFormat="0" applyFill="0" applyBorder="0" applyAlignment="0" applyProtection="0"/>
    <xf numFmtId="0" fontId="51" fillId="16" borderId="0" applyNumberFormat="0" applyBorder="0" applyAlignment="0" applyProtection="0"/>
    <xf numFmtId="0" fontId="15" fillId="0" borderId="0">
      <alignment horizontal="left"/>
    </xf>
    <xf numFmtId="165" fontId="17" fillId="0" borderId="0" applyFont="0" applyFill="0" applyBorder="0" applyAlignment="0" applyProtection="0"/>
    <xf numFmtId="0" fontId="9" fillId="0" borderId="0"/>
    <xf numFmtId="164" fontId="67" fillId="0" borderId="0" applyFont="0" applyFill="0" applyBorder="0" applyAlignment="0" applyProtection="0"/>
    <xf numFmtId="183" fontId="27" fillId="0" borderId="0" applyFont="0" applyFill="0" applyBorder="0" applyAlignment="0" applyProtection="0"/>
    <xf numFmtId="0" fontId="70" fillId="0" borderId="0"/>
    <xf numFmtId="0" fontId="9" fillId="0" borderId="0"/>
    <xf numFmtId="0" fontId="9" fillId="0" borderId="0"/>
    <xf numFmtId="0" fontId="6" fillId="0" borderId="0"/>
    <xf numFmtId="0" fontId="8" fillId="0" borderId="0"/>
    <xf numFmtId="0" fontId="86" fillId="0" borderId="0"/>
    <xf numFmtId="0" fontId="10" fillId="4" borderId="0">
      <alignment horizontal="center" vertical="top"/>
    </xf>
    <xf numFmtId="0" fontId="10" fillId="4" borderId="0">
      <alignment horizontal="right" vertical="top"/>
    </xf>
    <xf numFmtId="0" fontId="87" fillId="4" borderId="0">
      <alignment horizontal="center" vertical="top"/>
    </xf>
    <xf numFmtId="0" fontId="44" fillId="2" borderId="0">
      <alignment horizontal="left" vertical="top"/>
    </xf>
    <xf numFmtId="0" fontId="87" fillId="2" borderId="0">
      <alignment horizontal="center" vertical="top"/>
    </xf>
    <xf numFmtId="0" fontId="88" fillId="50" borderId="0" applyNumberFormat="0" applyBorder="0" applyAlignment="0" applyProtection="0"/>
    <xf numFmtId="0" fontId="90" fillId="0" borderId="0"/>
    <xf numFmtId="0" fontId="5" fillId="0" borderId="0"/>
    <xf numFmtId="0" fontId="98" fillId="0" borderId="0"/>
    <xf numFmtId="0" fontId="4" fillId="0" borderId="0"/>
    <xf numFmtId="0" fontId="4" fillId="0" borderId="0"/>
    <xf numFmtId="0" fontId="3" fillId="0" borderId="0"/>
    <xf numFmtId="0" fontId="3" fillId="0" borderId="0"/>
    <xf numFmtId="0" fontId="8" fillId="0" borderId="0"/>
    <xf numFmtId="0" fontId="7" fillId="0" borderId="0"/>
    <xf numFmtId="0" fontId="3" fillId="0" borderId="0"/>
    <xf numFmtId="164" fontId="8" fillId="0" borderId="0" applyFont="0" applyFill="0" applyBorder="0" applyAlignment="0" applyProtection="0"/>
    <xf numFmtId="0" fontId="3" fillId="0" borderId="0"/>
    <xf numFmtId="0" fontId="8" fillId="0" borderId="0"/>
    <xf numFmtId="0" fontId="8" fillId="0" borderId="0"/>
    <xf numFmtId="0" fontId="3" fillId="0" borderId="0"/>
    <xf numFmtId="0" fontId="8" fillId="0" borderId="0"/>
    <xf numFmtId="0" fontId="3" fillId="0" borderId="0"/>
    <xf numFmtId="0" fontId="3" fillId="0" borderId="0"/>
    <xf numFmtId="0" fontId="2" fillId="0" borderId="0"/>
    <xf numFmtId="0" fontId="2" fillId="0" borderId="0"/>
    <xf numFmtId="0" fontId="99" fillId="0" borderId="0"/>
    <xf numFmtId="0" fontId="101" fillId="0" borderId="0"/>
    <xf numFmtId="0" fontId="1" fillId="0" borderId="0"/>
    <xf numFmtId="0" fontId="100" fillId="0" borderId="0"/>
    <xf numFmtId="0" fontId="1" fillId="0" borderId="0"/>
    <xf numFmtId="164" fontId="8"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5" fillId="23" borderId="72" applyNumberFormat="0" applyAlignment="0" applyProtection="0"/>
    <xf numFmtId="0" fontId="58" fillId="14" borderId="79" applyNumberFormat="0" applyAlignment="0" applyProtection="0"/>
    <xf numFmtId="0" fontId="48" fillId="14" borderId="72" applyNumberFormat="0" applyAlignment="0" applyProtection="0"/>
    <xf numFmtId="0" fontId="60" fillId="0" borderId="80" applyNumberFormat="0" applyFill="0" applyAlignment="0" applyProtection="0"/>
    <xf numFmtId="0" fontId="8" fillId="38" borderId="78" applyNumberFormat="0" applyAlignment="0" applyProtection="0"/>
  </cellStyleXfs>
  <cellXfs count="900">
    <xf numFmtId="0" fontId="0" fillId="0" borderId="0" xfId="0"/>
    <xf numFmtId="0" fontId="0" fillId="0" borderId="0" xfId="0" applyAlignment="1">
      <alignment horizontal="center"/>
    </xf>
    <xf numFmtId="49" fontId="0" fillId="0" borderId="1" xfId="0" applyNumberFormat="1" applyBorder="1" applyAlignment="1">
      <alignment horizontal="center"/>
    </xf>
    <xf numFmtId="0" fontId="0" fillId="0" borderId="1" xfId="0" applyBorder="1" applyAlignment="1">
      <alignment horizontal="center"/>
    </xf>
    <xf numFmtId="0" fontId="0" fillId="0" borderId="0" xfId="0" applyFill="1"/>
    <xf numFmtId="0" fontId="7" fillId="0" borderId="0" xfId="0" applyFont="1" applyBorder="1" applyAlignment="1">
      <alignment horizontal="center"/>
    </xf>
    <xf numFmtId="0" fontId="0" fillId="0" borderId="0" xfId="0" applyBorder="1" applyAlignment="1">
      <alignment horizontal="center"/>
    </xf>
    <xf numFmtId="0" fontId="7" fillId="0" borderId="0" xfId="5" applyAlignment="1">
      <alignment horizontal="center"/>
    </xf>
    <xf numFmtId="0" fontId="7" fillId="0" borderId="0" xfId="5"/>
    <xf numFmtId="0" fontId="7" fillId="0" borderId="1" xfId="5" applyBorder="1" applyAlignment="1">
      <alignment horizontal="center"/>
    </xf>
    <xf numFmtId="0" fontId="7" fillId="0" borderId="0" xfId="5" applyFill="1"/>
    <xf numFmtId="0" fontId="7" fillId="0" borderId="13" xfId="5" applyBorder="1" applyAlignment="1">
      <alignment horizontal="left"/>
    </xf>
    <xf numFmtId="0" fontId="7" fillId="0" borderId="1" xfId="0" applyFont="1" applyFill="1" applyBorder="1" applyAlignment="1">
      <alignment horizontal="center"/>
    </xf>
    <xf numFmtId="0" fontId="0" fillId="0" borderId="1" xfId="0" applyFill="1" applyBorder="1" applyAlignment="1">
      <alignment horizontal="center"/>
    </xf>
    <xf numFmtId="0" fontId="13" fillId="0" borderId="7" xfId="0" applyFont="1" applyFill="1" applyBorder="1" applyAlignment="1" applyProtection="1">
      <alignment horizontal="center"/>
      <protection locked="0"/>
    </xf>
    <xf numFmtId="0" fontId="13" fillId="0" borderId="7" xfId="0" applyFont="1" applyFill="1" applyBorder="1" applyAlignment="1" applyProtection="1">
      <alignment horizontal="center"/>
    </xf>
    <xf numFmtId="3" fontId="13" fillId="0" borderId="7" xfId="0" applyNumberFormat="1" applyFont="1" applyFill="1" applyBorder="1" applyAlignment="1" applyProtection="1">
      <alignment horizontal="center"/>
    </xf>
    <xf numFmtId="14" fontId="13" fillId="0" borderId="7" xfId="0" applyNumberFormat="1" applyFont="1" applyFill="1" applyBorder="1" applyAlignment="1" applyProtection="1">
      <alignment horizontal="center"/>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xf>
    <xf numFmtId="3" fontId="13" fillId="0" borderId="18" xfId="0" applyNumberFormat="1" applyFont="1" applyFill="1" applyBorder="1" applyAlignment="1" applyProtection="1">
      <alignment horizontal="center" vertical="center"/>
    </xf>
    <xf numFmtId="3" fontId="13" fillId="0" borderId="4" xfId="0" applyNumberFormat="1" applyFont="1" applyFill="1" applyBorder="1" applyAlignment="1" applyProtection="1">
      <alignment horizontal="center" vertical="center"/>
    </xf>
    <xf numFmtId="14" fontId="13" fillId="0" borderId="5" xfId="0" applyNumberFormat="1" applyFont="1" applyFill="1" applyBorder="1" applyAlignment="1" applyProtection="1">
      <alignment horizontal="center" vertical="center"/>
    </xf>
    <xf numFmtId="14" fontId="13" fillId="0" borderId="6" xfId="0" applyNumberFormat="1" applyFont="1" applyFill="1" applyBorder="1" applyAlignment="1" applyProtection="1">
      <alignment horizontal="center" vertical="center"/>
    </xf>
    <xf numFmtId="3" fontId="13" fillId="5" borderId="4" xfId="0" applyNumberFormat="1" applyFont="1" applyFill="1" applyBorder="1" applyAlignment="1" applyProtection="1">
      <alignment horizontal="center" vertical="center"/>
    </xf>
    <xf numFmtId="0" fontId="13" fillId="7" borderId="17" xfId="0" applyFont="1" applyFill="1" applyBorder="1" applyAlignment="1" applyProtection="1">
      <alignment horizontal="center" vertical="center"/>
    </xf>
    <xf numFmtId="3" fontId="13" fillId="7" borderId="18" xfId="0" applyNumberFormat="1" applyFont="1" applyFill="1" applyBorder="1" applyAlignment="1" applyProtection="1">
      <alignment horizontal="center" vertical="center"/>
    </xf>
    <xf numFmtId="14" fontId="13" fillId="7" borderId="6" xfId="0" applyNumberFormat="1" applyFont="1" applyFill="1" applyBorder="1" applyAlignment="1" applyProtection="1">
      <alignment horizontal="center" vertical="center"/>
    </xf>
    <xf numFmtId="49" fontId="13" fillId="7" borderId="17" xfId="0" applyNumberFormat="1" applyFont="1" applyFill="1" applyBorder="1" applyAlignment="1" applyProtection="1">
      <alignment horizontal="center" vertical="center"/>
    </xf>
    <xf numFmtId="0" fontId="7" fillId="5" borderId="7" xfId="0" applyFont="1" applyFill="1" applyBorder="1" applyAlignment="1">
      <alignment horizontal="left"/>
    </xf>
    <xf numFmtId="0" fontId="7" fillId="5" borderId="12" xfId="5" applyFill="1" applyBorder="1"/>
    <xf numFmtId="0" fontId="0" fillId="0" borderId="1" xfId="0" applyFill="1" applyBorder="1"/>
    <xf numFmtId="0" fontId="15" fillId="0" borderId="1" xfId="0" applyFont="1" applyBorder="1" applyAlignment="1">
      <alignment horizontal="center" vertical="center"/>
    </xf>
    <xf numFmtId="0" fontId="7" fillId="6" borderId="0" xfId="5" applyFill="1"/>
    <xf numFmtId="0" fontId="14" fillId="0" borderId="5" xfId="0" applyFont="1" applyFill="1" applyBorder="1" applyAlignment="1">
      <alignment horizontal="center" vertical="center" wrapText="1"/>
    </xf>
    <xf numFmtId="0" fontId="14" fillId="7"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0" borderId="6"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7" fillId="0" borderId="0" xfId="5" applyBorder="1"/>
    <xf numFmtId="0" fontId="7" fillId="0" borderId="0" xfId="5" applyBorder="1" applyAlignment="1">
      <alignment horizontal="left"/>
    </xf>
    <xf numFmtId="0" fontId="7" fillId="5" borderId="7" xfId="5" applyFill="1" applyBorder="1"/>
    <xf numFmtId="14" fontId="13" fillId="0" borderId="17" xfId="0" applyNumberFormat="1" applyFont="1" applyFill="1" applyBorder="1" applyAlignment="1" applyProtection="1">
      <alignment horizontal="center" vertical="center" wrapText="1"/>
    </xf>
    <xf numFmtId="0" fontId="13" fillId="7" borderId="7" xfId="0" applyFont="1" applyFill="1" applyBorder="1" applyAlignment="1" applyProtection="1">
      <alignment horizontal="center"/>
    </xf>
    <xf numFmtId="49" fontId="13" fillId="7" borderId="7" xfId="0" applyNumberFormat="1" applyFont="1" applyFill="1" applyBorder="1" applyAlignment="1" applyProtection="1">
      <alignment horizontal="center"/>
    </xf>
    <xf numFmtId="3" fontId="13" fillId="7" borderId="7" xfId="0" applyNumberFormat="1" applyFont="1" applyFill="1" applyBorder="1" applyAlignment="1" applyProtection="1">
      <alignment horizontal="center" vertical="center"/>
    </xf>
    <xf numFmtId="0" fontId="0" fillId="0" borderId="0" xfId="0" applyFill="1" applyBorder="1" applyAlignment="1">
      <alignment horizontal="left"/>
    </xf>
    <xf numFmtId="0" fontId="0" fillId="0" borderId="3" xfId="0" applyBorder="1" applyAlignment="1">
      <alignment horizontal="center"/>
    </xf>
    <xf numFmtId="0" fontId="7" fillId="5" borderId="7" xfId="0" applyFont="1" applyFill="1" applyBorder="1"/>
    <xf numFmtId="14" fontId="13" fillId="0" borderId="17" xfId="0" applyNumberFormat="1" applyFont="1" applyFill="1" applyBorder="1" applyAlignment="1" applyProtection="1">
      <alignment horizontal="center" vertical="center"/>
    </xf>
    <xf numFmtId="14" fontId="7" fillId="0" borderId="0" xfId="0" applyNumberFormat="1" applyFont="1" applyFill="1" applyAlignment="1">
      <alignment horizontal="center"/>
    </xf>
    <xf numFmtId="0" fontId="7" fillId="0" borderId="0" xfId="0" applyFont="1" applyFill="1" applyAlignment="1">
      <alignment horizontal="center"/>
    </xf>
    <xf numFmtId="0" fontId="7" fillId="0" borderId="0" xfId="0" applyFont="1" applyAlignment="1"/>
    <xf numFmtId="14" fontId="7" fillId="0" borderId="0" xfId="0" applyNumberFormat="1" applyFont="1" applyFill="1" applyBorder="1" applyAlignment="1">
      <alignment horizontal="center"/>
    </xf>
    <xf numFmtId="14" fontId="13" fillId="0" borderId="16" xfId="0" applyNumberFormat="1" applyFont="1" applyFill="1" applyBorder="1" applyAlignment="1" applyProtection="1">
      <alignment horizontal="center"/>
    </xf>
    <xf numFmtId="14" fontId="13" fillId="0" borderId="17" xfId="0" applyNumberFormat="1" applyFont="1" applyFill="1" applyBorder="1" applyAlignment="1" applyProtection="1">
      <alignment horizontal="center" vertical="center"/>
    </xf>
    <xf numFmtId="0" fontId="13" fillId="0" borderId="16" xfId="0" applyNumberFormat="1" applyFont="1" applyFill="1" applyBorder="1" applyAlignment="1" applyProtection="1">
      <alignment horizontal="center"/>
    </xf>
    <xf numFmtId="0" fontId="0" fillId="0" borderId="0" xfId="0" applyAlignment="1"/>
    <xf numFmtId="0" fontId="0" fillId="0" borderId="7" xfId="0" applyBorder="1"/>
    <xf numFmtId="0" fontId="7" fillId="0" borderId="25" xfId="0" applyFont="1" applyBorder="1" applyAlignment="1">
      <alignment horizontal="center"/>
    </xf>
    <xf numFmtId="0" fontId="7" fillId="0" borderId="5" xfId="0" applyFont="1" applyBorder="1" applyAlignment="1">
      <alignment horizontal="center"/>
    </xf>
    <xf numFmtId="0" fontId="7" fillId="0" borderId="5" xfId="0" applyFont="1" applyFill="1" applyBorder="1" applyAlignment="1">
      <alignment horizontal="center"/>
    </xf>
    <xf numFmtId="0" fontId="7" fillId="0" borderId="6" xfId="0" applyFont="1" applyFill="1" applyBorder="1" applyAlignment="1">
      <alignment horizontal="center"/>
    </xf>
    <xf numFmtId="0" fontId="0" fillId="0" borderId="26" xfId="0" applyBorder="1"/>
    <xf numFmtId="0" fontId="0" fillId="3" borderId="27" xfId="0" applyFill="1" applyBorder="1" applyAlignment="1">
      <alignment horizontal="center"/>
    </xf>
    <xf numFmtId="0" fontId="0" fillId="3" borderId="8" xfId="0" applyFill="1" applyBorder="1" applyAlignment="1">
      <alignment horizontal="center"/>
    </xf>
    <xf numFmtId="0" fontId="0" fillId="0" borderId="8" xfId="0" applyFill="1" applyBorder="1" applyAlignment="1">
      <alignment horizontal="center"/>
    </xf>
    <xf numFmtId="0" fontId="0" fillId="0" borderId="8" xfId="0" applyBorder="1" applyAlignment="1">
      <alignment horizontal="center"/>
    </xf>
    <xf numFmtId="0" fontId="0" fillId="0" borderId="24" xfId="0" applyBorder="1" applyAlignment="1">
      <alignment horizontal="center"/>
    </xf>
    <xf numFmtId="0" fontId="0" fillId="0" borderId="28" xfId="0" applyBorder="1"/>
    <xf numFmtId="0" fontId="7" fillId="3" borderId="23" xfId="0" applyFont="1" applyFill="1" applyBorder="1" applyAlignment="1">
      <alignment horizontal="center"/>
    </xf>
    <xf numFmtId="0" fontId="7" fillId="3" borderId="1" xfId="0" applyFont="1" applyFill="1" applyBorder="1" applyAlignment="1">
      <alignment horizontal="center"/>
    </xf>
    <xf numFmtId="0" fontId="0" fillId="3" borderId="1" xfId="0" applyFill="1" applyBorder="1" applyAlignment="1">
      <alignment horizontal="center"/>
    </xf>
    <xf numFmtId="0" fontId="7" fillId="0" borderId="28" xfId="0" applyFont="1" applyBorder="1"/>
    <xf numFmtId="0" fontId="0" fillId="3" borderId="23" xfId="0" applyFill="1" applyBorder="1" applyAlignment="1">
      <alignment horizontal="center"/>
    </xf>
    <xf numFmtId="0" fontId="0" fillId="3" borderId="3" xfId="0" applyFill="1" applyBorder="1" applyAlignment="1">
      <alignment horizontal="center"/>
    </xf>
    <xf numFmtId="0" fontId="7" fillId="0" borderId="18" xfId="0" applyFont="1" applyBorder="1"/>
    <xf numFmtId="0" fontId="0" fillId="3" borderId="29" xfId="0" applyFill="1" applyBorder="1" applyAlignment="1">
      <alignment horizontal="center"/>
    </xf>
    <xf numFmtId="0" fontId="0" fillId="3" borderId="30" xfId="0"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7" fillId="0" borderId="0" xfId="0" applyFont="1"/>
    <xf numFmtId="16" fontId="0" fillId="0" borderId="0" xfId="0" applyNumberFormat="1"/>
    <xf numFmtId="14" fontId="0" fillId="0" borderId="0" xfId="0" applyNumberFormat="1"/>
    <xf numFmtId="0" fontId="0" fillId="0" borderId="2" xfId="0" applyBorder="1" applyAlignment="1">
      <alignment horizontal="center"/>
    </xf>
    <xf numFmtId="0" fontId="0" fillId="0" borderId="32" xfId="0" applyBorder="1" applyAlignment="1">
      <alignment horizontal="center"/>
    </xf>
    <xf numFmtId="49" fontId="0" fillId="0" borderId="2" xfId="0" applyNumberFormat="1" applyBorder="1" applyAlignment="1">
      <alignment horizontal="center"/>
    </xf>
    <xf numFmtId="49" fontId="0" fillId="0" borderId="3" xfId="0" applyNumberFormat="1" applyBorder="1" applyAlignment="1">
      <alignment horizontal="center"/>
    </xf>
    <xf numFmtId="49" fontId="0" fillId="0" borderId="32" xfId="0" applyNumberFormat="1" applyBorder="1" applyAlignment="1">
      <alignment horizontal="center"/>
    </xf>
    <xf numFmtId="49" fontId="8" fillId="0" borderId="30" xfId="0" applyNumberFormat="1" applyFont="1" applyBorder="1" applyAlignment="1">
      <alignment horizontal="center"/>
    </xf>
    <xf numFmtId="49" fontId="7" fillId="0" borderId="30" xfId="0" applyNumberFormat="1" applyFont="1" applyBorder="1" applyAlignment="1">
      <alignment horizontal="center"/>
    </xf>
    <xf numFmtId="49" fontId="7" fillId="0" borderId="30" xfId="0" applyNumberFormat="1" applyFont="1" applyFill="1" applyBorder="1" applyAlignment="1">
      <alignment horizontal="center"/>
    </xf>
    <xf numFmtId="49" fontId="7" fillId="0" borderId="31" xfId="0" applyNumberFormat="1" applyFont="1" applyBorder="1" applyAlignment="1">
      <alignment horizontal="center"/>
    </xf>
    <xf numFmtId="0" fontId="0" fillId="7" borderId="4" xfId="0" applyFill="1" applyBorder="1" applyAlignment="1">
      <alignment horizontal="center" wrapText="1"/>
    </xf>
    <xf numFmtId="0" fontId="0" fillId="5" borderId="5" xfId="0" applyFill="1" applyBorder="1" applyAlignment="1">
      <alignment horizontal="center" wrapText="1"/>
    </xf>
    <xf numFmtId="0" fontId="0" fillId="9" borderId="5" xfId="0" applyFill="1" applyBorder="1" applyAlignment="1">
      <alignment horizontal="center" wrapText="1"/>
    </xf>
    <xf numFmtId="0" fontId="0" fillId="5" borderId="6" xfId="0" applyFill="1" applyBorder="1" applyAlignment="1">
      <alignment horizontal="center" wrapText="1"/>
    </xf>
    <xf numFmtId="0" fontId="0" fillId="5" borderId="4" xfId="0" applyFill="1" applyBorder="1" applyAlignment="1">
      <alignment horizontal="center" wrapText="1"/>
    </xf>
    <xf numFmtId="0" fontId="7" fillId="9" borderId="5" xfId="0" applyFont="1" applyFill="1" applyBorder="1" applyAlignment="1">
      <alignment horizontal="center" wrapText="1"/>
    </xf>
    <xf numFmtId="0" fontId="7" fillId="5" borderId="5" xfId="0" applyFont="1" applyFill="1" applyBorder="1" applyAlignment="1">
      <alignment horizontal="center" wrapText="1"/>
    </xf>
    <xf numFmtId="0" fontId="7" fillId="0" borderId="5" xfId="0" applyFont="1" applyBorder="1" applyAlignment="1">
      <alignment horizontal="center" wrapText="1"/>
    </xf>
    <xf numFmtId="0" fontId="13" fillId="11" borderId="7" xfId="0" applyFont="1" applyFill="1" applyBorder="1" applyAlignment="1" applyProtection="1">
      <alignment horizontal="center"/>
    </xf>
    <xf numFmtId="0" fontId="13" fillId="11" borderId="17" xfId="0" applyFont="1" applyFill="1" applyBorder="1" applyAlignment="1" applyProtection="1">
      <alignment horizontal="center" vertical="center"/>
    </xf>
    <xf numFmtId="49" fontId="13" fillId="11" borderId="7" xfId="0" applyNumberFormat="1" applyFont="1" applyFill="1" applyBorder="1" applyAlignment="1" applyProtection="1">
      <alignment horizontal="center"/>
    </xf>
    <xf numFmtId="3" fontId="13" fillId="11" borderId="7" xfId="0" applyNumberFormat="1" applyFont="1" applyFill="1" applyBorder="1" applyAlignment="1" applyProtection="1">
      <alignment horizontal="center" vertical="center"/>
    </xf>
    <xf numFmtId="49" fontId="13" fillId="11" borderId="17" xfId="0" applyNumberFormat="1" applyFont="1" applyFill="1" applyBorder="1" applyAlignment="1" applyProtection="1">
      <alignment horizontal="center" vertical="center"/>
    </xf>
    <xf numFmtId="3" fontId="13" fillId="11" borderId="18" xfId="0" applyNumberFormat="1" applyFont="1" applyFill="1" applyBorder="1" applyAlignment="1" applyProtection="1">
      <alignment horizontal="center" vertical="center"/>
    </xf>
    <xf numFmtId="14" fontId="13" fillId="11" borderId="7" xfId="0" applyNumberFormat="1" applyFont="1" applyFill="1" applyBorder="1" applyAlignment="1" applyProtection="1">
      <alignment horizontal="center"/>
    </xf>
    <xf numFmtId="14" fontId="13" fillId="5" borderId="17" xfId="0" applyNumberFormat="1" applyFont="1" applyFill="1" applyBorder="1" applyAlignment="1" applyProtection="1">
      <alignment horizontal="center" vertical="center" wrapText="1"/>
    </xf>
    <xf numFmtId="0" fontId="7" fillId="7" borderId="7" xfId="0" applyFont="1" applyFill="1" applyBorder="1" applyAlignment="1">
      <alignment horizontal="left"/>
    </xf>
    <xf numFmtId="0" fontId="0" fillId="0" borderId="0" xfId="0" applyFill="1" applyAlignment="1">
      <alignment horizontal="center"/>
    </xf>
    <xf numFmtId="14" fontId="13" fillId="0" borderId="22" xfId="0" applyNumberFormat="1" applyFont="1" applyFill="1" applyBorder="1" applyAlignment="1" applyProtection="1">
      <alignment horizontal="center" vertical="center"/>
    </xf>
    <xf numFmtId="0" fontId="0" fillId="0" borderId="0" xfId="0" applyFill="1" applyBorder="1"/>
    <xf numFmtId="0" fontId="7" fillId="0" borderId="0" xfId="0" applyFont="1" applyAlignment="1">
      <alignment horizontal="center"/>
    </xf>
    <xf numFmtId="14" fontId="0" fillId="0" borderId="0" xfId="0" applyNumberFormat="1" applyFill="1" applyAlignment="1">
      <alignment horizontal="center"/>
    </xf>
    <xf numFmtId="14" fontId="13" fillId="11" borderId="17" xfId="0" applyNumberFormat="1" applyFont="1" applyFill="1" applyBorder="1" applyAlignment="1" applyProtection="1">
      <alignment horizontal="center" vertical="center"/>
    </xf>
    <xf numFmtId="14" fontId="13" fillId="11" borderId="17" xfId="0" applyNumberFormat="1" applyFont="1" applyFill="1" applyBorder="1" applyAlignment="1" applyProtection="1">
      <alignment horizontal="center" vertical="center" wrapText="1"/>
    </xf>
    <xf numFmtId="0" fontId="7" fillId="0" borderId="0" xfId="0" applyFont="1" applyAlignment="1">
      <alignment horizontal="left"/>
    </xf>
    <xf numFmtId="14" fontId="7" fillId="0" borderId="1" xfId="0" applyNumberFormat="1" applyFont="1" applyFill="1" applyBorder="1" applyAlignment="1">
      <alignment horizontal="center"/>
    </xf>
    <xf numFmtId="14" fontId="13" fillId="11" borderId="6" xfId="0" applyNumberFormat="1" applyFont="1" applyFill="1" applyBorder="1" applyAlignment="1" applyProtection="1">
      <alignment horizontal="center" vertical="center"/>
    </xf>
    <xf numFmtId="0" fontId="7" fillId="0" borderId="36" xfId="5" applyBorder="1" applyAlignment="1">
      <alignment horizontal="center"/>
    </xf>
    <xf numFmtId="0" fontId="7" fillId="0" borderId="0" xfId="5" applyBorder="1" applyAlignment="1">
      <alignment horizontal="center"/>
    </xf>
    <xf numFmtId="0" fontId="0" fillId="0" borderId="0" xfId="0" applyAlignment="1">
      <alignment horizontal="left"/>
    </xf>
    <xf numFmtId="0" fontId="29" fillId="0" borderId="1" xfId="0" applyFont="1" applyFill="1" applyBorder="1" applyAlignment="1">
      <alignment horizontal="center" vertical="center"/>
    </xf>
    <xf numFmtId="0" fontId="7" fillId="0" borderId="0" xfId="0" applyFont="1" applyFill="1" applyBorder="1" applyAlignment="1">
      <alignment horizontal="center"/>
    </xf>
    <xf numFmtId="0" fontId="0" fillId="0" borderId="1" xfId="0" applyNumberFormat="1" applyFont="1" applyBorder="1" applyAlignment="1">
      <alignment horizontal="center"/>
    </xf>
    <xf numFmtId="2" fontId="0" fillId="0" borderId="1" xfId="0" applyNumberFormat="1" applyFill="1" applyBorder="1" applyAlignment="1">
      <alignment horizontal="center"/>
    </xf>
    <xf numFmtId="0" fontId="32" fillId="0" borderId="4" xfId="0" applyFont="1" applyFill="1" applyBorder="1" applyAlignment="1">
      <alignment horizontal="center" vertical="center"/>
    </xf>
    <xf numFmtId="0" fontId="32" fillId="0" borderId="5" xfId="0" applyFont="1" applyFill="1" applyBorder="1" applyAlignment="1">
      <alignment horizontal="center" vertical="center"/>
    </xf>
    <xf numFmtId="0" fontId="13" fillId="0" borderId="5" xfId="0" applyFont="1" applyFill="1" applyBorder="1" applyAlignment="1">
      <alignment horizontal="center" vertical="center"/>
    </xf>
    <xf numFmtId="0" fontId="13" fillId="0" borderId="5" xfId="0" applyFont="1" applyFill="1" applyBorder="1" applyAlignment="1">
      <alignment horizontal="center" vertical="center" wrapText="1"/>
    </xf>
    <xf numFmtId="0" fontId="13" fillId="0" borderId="6" xfId="0" applyFont="1" applyFill="1" applyBorder="1" applyAlignment="1">
      <alignment horizontal="center" vertical="center" wrapText="1"/>
    </xf>
    <xf numFmtId="0" fontId="13" fillId="11" borderId="5" xfId="0" applyFont="1" applyFill="1" applyBorder="1" applyAlignment="1">
      <alignment horizontal="center" vertical="center"/>
    </xf>
    <xf numFmtId="0" fontId="13" fillId="11" borderId="5" xfId="0" applyFont="1" applyFill="1" applyBorder="1" applyAlignment="1">
      <alignment horizontal="center" vertical="center" wrapText="1"/>
    </xf>
    <xf numFmtId="0" fontId="13" fillId="7" borderId="5" xfId="0" applyFont="1" applyFill="1" applyBorder="1" applyAlignment="1">
      <alignment horizontal="center" vertical="center" wrapText="1"/>
    </xf>
    <xf numFmtId="0" fontId="13" fillId="5" borderId="5" xfId="0" applyFont="1" applyFill="1" applyBorder="1" applyAlignment="1">
      <alignment horizontal="center" vertical="center" wrapText="1"/>
    </xf>
    <xf numFmtId="0" fontId="13" fillId="5" borderId="5" xfId="0" applyFont="1" applyFill="1" applyBorder="1" applyAlignment="1">
      <alignment horizontal="center" vertical="center"/>
    </xf>
    <xf numFmtId="0" fontId="0" fillId="5" borderId="0" xfId="0" applyFill="1"/>
    <xf numFmtId="0" fontId="33" fillId="0" borderId="1" xfId="0" applyFont="1" applyFill="1" applyBorder="1" applyAlignment="1">
      <alignment horizontal="center"/>
    </xf>
    <xf numFmtId="14" fontId="34" fillId="0" borderId="1" xfId="0" applyNumberFormat="1" applyFont="1" applyFill="1" applyBorder="1" applyAlignment="1">
      <alignment horizontal="center"/>
    </xf>
    <xf numFmtId="0" fontId="0" fillId="0" borderId="1" xfId="0" applyNumberFormat="1" applyFont="1" applyFill="1" applyBorder="1" applyAlignment="1">
      <alignment horizontal="center"/>
    </xf>
    <xf numFmtId="1" fontId="0" fillId="0" borderId="1" xfId="0" applyNumberFormat="1" applyFont="1" applyFill="1" applyBorder="1" applyAlignment="1">
      <alignment horizontal="center"/>
    </xf>
    <xf numFmtId="170" fontId="0" fillId="0" borderId="1" xfId="0" applyNumberFormat="1" applyFont="1" applyFill="1" applyBorder="1" applyAlignment="1">
      <alignment horizontal="center"/>
    </xf>
    <xf numFmtId="169" fontId="0" fillId="0" borderId="1" xfId="0" applyNumberFormat="1" applyFont="1" applyFill="1" applyBorder="1" applyAlignment="1">
      <alignment horizontal="center"/>
    </xf>
    <xf numFmtId="0" fontId="35" fillId="0" borderId="1" xfId="0" applyFont="1" applyFill="1" applyBorder="1" applyAlignment="1">
      <alignment horizontal="center"/>
    </xf>
    <xf numFmtId="14" fontId="36" fillId="0" borderId="1" xfId="0" applyNumberFormat="1" applyFont="1" applyFill="1" applyBorder="1" applyAlignment="1">
      <alignment horizontal="center"/>
    </xf>
    <xf numFmtId="0" fontId="36" fillId="0" borderId="1" xfId="0" applyFont="1" applyFill="1" applyBorder="1" applyAlignment="1">
      <alignment horizontal="center"/>
    </xf>
    <xf numFmtId="0" fontId="36" fillId="0" borderId="1" xfId="0" applyNumberFormat="1" applyFont="1" applyFill="1" applyBorder="1" applyAlignment="1">
      <alignment horizontal="center"/>
    </xf>
    <xf numFmtId="0" fontId="38" fillId="0" borderId="1" xfId="0" applyFont="1" applyFill="1" applyBorder="1" applyAlignment="1">
      <alignment horizontal="center"/>
    </xf>
    <xf numFmtId="169" fontId="36" fillId="0" borderId="8" xfId="0" applyNumberFormat="1" applyFont="1" applyFill="1" applyBorder="1" applyAlignment="1">
      <alignment horizontal="center"/>
    </xf>
    <xf numFmtId="0" fontId="36" fillId="0" borderId="8" xfId="0" applyFont="1" applyFill="1" applyBorder="1" applyAlignment="1">
      <alignment horizontal="center"/>
    </xf>
    <xf numFmtId="0" fontId="36" fillId="0" borderId="8" xfId="0" applyNumberFormat="1" applyFont="1" applyFill="1" applyBorder="1" applyAlignment="1">
      <alignment horizontal="center"/>
    </xf>
    <xf numFmtId="0" fontId="0" fillId="0" borderId="1" xfId="0" applyNumberFormat="1" applyFill="1" applyBorder="1" applyAlignment="1">
      <alignment horizontal="center"/>
    </xf>
    <xf numFmtId="171" fontId="0" fillId="0" borderId="1" xfId="0" applyNumberFormat="1" applyFont="1" applyFill="1" applyBorder="1" applyAlignment="1">
      <alignment horizontal="center"/>
    </xf>
    <xf numFmtId="0" fontId="0" fillId="12" borderId="0" xfId="0" applyFill="1"/>
    <xf numFmtId="0" fontId="10" fillId="0" borderId="20" xfId="0" applyFont="1" applyFill="1" applyBorder="1" applyAlignment="1">
      <alignment horizontal="center" vertical="center"/>
    </xf>
    <xf numFmtId="0" fontId="29" fillId="0" borderId="1" xfId="0" applyFont="1" applyFill="1" applyBorder="1" applyAlignment="1">
      <alignment horizontal="center"/>
    </xf>
    <xf numFmtId="0" fontId="29" fillId="0" borderId="40" xfId="0" applyFont="1" applyFill="1" applyBorder="1" applyAlignment="1">
      <alignment horizontal="center" vertical="center"/>
    </xf>
    <xf numFmtId="166" fontId="29" fillId="0" borderId="1" xfId="0" applyNumberFormat="1" applyFont="1" applyFill="1" applyBorder="1" applyAlignment="1">
      <alignment horizontal="center"/>
    </xf>
    <xf numFmtId="14" fontId="29" fillId="0" borderId="1" xfId="0" applyNumberFormat="1" applyFont="1" applyFill="1" applyBorder="1" applyAlignment="1">
      <alignment horizontal="center"/>
    </xf>
    <xf numFmtId="0" fontId="28" fillId="0" borderId="20" xfId="0" applyFont="1" applyFill="1" applyBorder="1" applyAlignment="1">
      <alignment horizontal="center" vertical="center"/>
    </xf>
    <xf numFmtId="166" fontId="31" fillId="0" borderId="20" xfId="0" applyNumberFormat="1" applyFont="1" applyFill="1" applyBorder="1" applyAlignment="1">
      <alignment horizontal="center"/>
    </xf>
    <xf numFmtId="0" fontId="29" fillId="0" borderId="20" xfId="0" applyFont="1" applyFill="1" applyBorder="1" applyAlignment="1">
      <alignment horizontal="center" vertical="center"/>
    </xf>
    <xf numFmtId="167" fontId="29" fillId="0" borderId="1" xfId="0" applyNumberFormat="1" applyFont="1" applyFill="1" applyBorder="1" applyAlignment="1">
      <alignment horizontal="center"/>
    </xf>
    <xf numFmtId="0" fontId="29" fillId="0" borderId="41" xfId="0" applyNumberFormat="1" applyFont="1" applyFill="1" applyBorder="1" applyAlignment="1">
      <alignment horizontal="center" vertical="center"/>
    </xf>
    <xf numFmtId="0" fontId="28" fillId="0" borderId="38" xfId="1" applyNumberFormat="1" applyFont="1" applyFill="1" applyBorder="1" applyAlignment="1" applyProtection="1">
      <alignment horizontal="center" vertical="center"/>
      <protection locked="0"/>
    </xf>
    <xf numFmtId="166" fontId="29" fillId="0" borderId="38" xfId="4" applyNumberFormat="1" applyFont="1" applyFill="1" applyBorder="1" applyAlignment="1">
      <alignment horizontal="center" vertical="center"/>
    </xf>
    <xf numFmtId="167" fontId="29" fillId="0" borderId="44" xfId="0" applyNumberFormat="1" applyFont="1" applyFill="1" applyBorder="1" applyAlignment="1">
      <alignment horizontal="center" vertical="center"/>
    </xf>
    <xf numFmtId="0" fontId="29" fillId="0" borderId="38" xfId="4" applyNumberFormat="1" applyFont="1" applyFill="1" applyBorder="1" applyAlignment="1">
      <alignment horizontal="center" vertical="center"/>
    </xf>
    <xf numFmtId="0" fontId="29" fillId="0" borderId="38" xfId="4" applyFont="1" applyFill="1" applyBorder="1" applyAlignment="1">
      <alignment horizontal="center" vertical="center"/>
    </xf>
    <xf numFmtId="49" fontId="29" fillId="0" borderId="38" xfId="4" applyNumberFormat="1" applyFont="1" applyFill="1" applyBorder="1" applyAlignment="1">
      <alignment horizontal="center" vertical="center"/>
    </xf>
    <xf numFmtId="166" fontId="31" fillId="0" borderId="43" xfId="0" applyNumberFormat="1" applyFont="1" applyFill="1" applyBorder="1" applyAlignment="1">
      <alignment horizontal="center" vertical="center" wrapText="1"/>
    </xf>
    <xf numFmtId="167" fontId="29" fillId="0" borderId="38" xfId="0" applyNumberFormat="1" applyFont="1" applyFill="1" applyBorder="1" applyAlignment="1">
      <alignment horizontal="center" vertical="center"/>
    </xf>
    <xf numFmtId="1" fontId="29" fillId="0" borderId="38" xfId="0" applyNumberFormat="1" applyFont="1" applyFill="1" applyBorder="1" applyAlignment="1">
      <alignment horizontal="center" vertical="center"/>
    </xf>
    <xf numFmtId="1" fontId="28" fillId="0" borderId="38" xfId="0" applyNumberFormat="1" applyFont="1" applyFill="1" applyBorder="1" applyAlignment="1">
      <alignment horizontal="center" vertical="center" wrapText="1"/>
    </xf>
    <xf numFmtId="14" fontId="13" fillId="6" borderId="17" xfId="0" applyNumberFormat="1" applyFont="1" applyFill="1" applyBorder="1" applyAlignment="1" applyProtection="1">
      <alignment horizontal="center" vertical="center" wrapText="1"/>
    </xf>
    <xf numFmtId="0" fontId="29" fillId="0" borderId="37" xfId="26" applyFont="1" applyFill="1" applyBorder="1" applyAlignment="1">
      <alignment horizontal="center" vertical="center"/>
    </xf>
    <xf numFmtId="0" fontId="29" fillId="0" borderId="38" xfId="26" applyFont="1" applyFill="1" applyBorder="1" applyAlignment="1">
      <alignment horizontal="center" vertical="center"/>
    </xf>
    <xf numFmtId="14" fontId="29" fillId="0" borderId="37" xfId="26" applyNumberFormat="1" applyFont="1" applyFill="1" applyBorder="1" applyAlignment="1">
      <alignment horizontal="center" vertical="center"/>
    </xf>
    <xf numFmtId="49" fontId="29" fillId="0" borderId="39" xfId="26" applyNumberFormat="1" applyFont="1" applyFill="1" applyBorder="1" applyAlignment="1">
      <alignment horizontal="center" vertical="center"/>
    </xf>
    <xf numFmtId="166" fontId="29" fillId="0" borderId="38" xfId="26" applyNumberFormat="1" applyFont="1" applyFill="1" applyBorder="1" applyAlignment="1">
      <alignment horizontal="center" vertical="center"/>
    </xf>
    <xf numFmtId="166" fontId="28" fillId="0" borderId="38" xfId="26" applyNumberFormat="1" applyFont="1" applyFill="1" applyBorder="1" applyAlignment="1">
      <alignment horizontal="center" vertical="center"/>
    </xf>
    <xf numFmtId="167" fontId="29" fillId="0" borderId="38" xfId="26" applyNumberFormat="1" applyFont="1" applyFill="1" applyBorder="1" applyAlignment="1">
      <alignment horizontal="center" vertical="center"/>
    </xf>
    <xf numFmtId="2" fontId="29" fillId="0" borderId="38" xfId="26" applyNumberFormat="1" applyFont="1" applyFill="1" applyBorder="1" applyAlignment="1">
      <alignment horizontal="center" vertical="center"/>
    </xf>
    <xf numFmtId="0" fontId="29" fillId="0" borderId="45" xfId="26" applyFont="1" applyFill="1" applyBorder="1" applyAlignment="1">
      <alignment horizontal="center" vertical="center"/>
    </xf>
    <xf numFmtId="1" fontId="29" fillId="0" borderId="38" xfId="0" applyNumberFormat="1" applyFont="1" applyFill="1" applyBorder="1" applyAlignment="1">
      <alignment horizontal="center" vertical="center" wrapText="1"/>
    </xf>
    <xf numFmtId="0" fontId="29" fillId="0" borderId="0" xfId="26" applyFont="1"/>
    <xf numFmtId="0" fontId="29" fillId="0" borderId="0" xfId="26" applyFont="1" applyFill="1"/>
    <xf numFmtId="0" fontId="29" fillId="0" borderId="46" xfId="26" applyFont="1" applyFill="1" applyBorder="1"/>
    <xf numFmtId="14" fontId="29" fillId="0" borderId="38" xfId="4" applyNumberFormat="1" applyFont="1" applyFill="1" applyBorder="1" applyAlignment="1">
      <alignment horizontal="center" vertical="center"/>
    </xf>
    <xf numFmtId="166" fontId="40" fillId="0" borderId="38" xfId="0" applyNumberFormat="1" applyFont="1" applyFill="1" applyBorder="1" applyAlignment="1">
      <alignment horizontal="center"/>
    </xf>
    <xf numFmtId="14" fontId="29" fillId="0" borderId="37" xfId="26" applyNumberFormat="1" applyFont="1" applyBorder="1" applyAlignment="1">
      <alignment horizontal="center" vertical="center"/>
    </xf>
    <xf numFmtId="0" fontId="29" fillId="0" borderId="37" xfId="26" applyFont="1" applyBorder="1" applyAlignment="1">
      <alignment horizontal="center" vertical="center"/>
    </xf>
    <xf numFmtId="49" fontId="29" fillId="4" borderId="39" xfId="26" applyNumberFormat="1" applyFont="1" applyFill="1" applyBorder="1" applyAlignment="1">
      <alignment horizontal="center" vertical="center"/>
    </xf>
    <xf numFmtId="0" fontId="29" fillId="0" borderId="38" xfId="26" applyFont="1" applyBorder="1" applyAlignment="1">
      <alignment horizontal="center" vertical="center"/>
    </xf>
    <xf numFmtId="167" fontId="29" fillId="13" borderId="38" xfId="26" applyNumberFormat="1" applyFont="1" applyFill="1" applyBorder="1" applyAlignment="1">
      <alignment horizontal="center" vertical="center"/>
    </xf>
    <xf numFmtId="2" fontId="29" fillId="0" borderId="38" xfId="26" applyNumberFormat="1" applyFont="1" applyBorder="1" applyAlignment="1">
      <alignment horizontal="center" vertical="center"/>
    </xf>
    <xf numFmtId="0" fontId="0" fillId="0" borderId="1" xfId="0" applyBorder="1"/>
    <xf numFmtId="0" fontId="7" fillId="0" borderId="0" xfId="0" applyFont="1" applyFill="1" applyBorder="1" applyAlignment="1">
      <alignment horizontal="left"/>
    </xf>
    <xf numFmtId="0" fontId="7" fillId="0" borderId="7" xfId="0" applyFont="1" applyFill="1" applyBorder="1" applyAlignment="1">
      <alignment horizontal="left"/>
    </xf>
    <xf numFmtId="0" fontId="28" fillId="0" borderId="37" xfId="1" applyNumberFormat="1" applyFont="1" applyFill="1" applyBorder="1" applyAlignment="1" applyProtection="1">
      <alignment horizontal="center" vertical="center"/>
      <protection locked="0"/>
    </xf>
    <xf numFmtId="167" fontId="29" fillId="0" borderId="37" xfId="0" applyNumberFormat="1" applyFont="1" applyFill="1" applyBorder="1" applyAlignment="1">
      <alignment horizontal="center" vertical="center"/>
    </xf>
    <xf numFmtId="14" fontId="13" fillId="0" borderId="17" xfId="0" applyNumberFormat="1" applyFont="1" applyFill="1" applyBorder="1" applyAlignment="1" applyProtection="1">
      <alignment horizontal="center" vertical="center"/>
    </xf>
    <xf numFmtId="166" fontId="28" fillId="0" borderId="37" xfId="0" applyNumberFormat="1" applyFont="1" applyFill="1" applyBorder="1" applyAlignment="1" applyProtection="1">
      <alignment horizontal="center" vertical="center"/>
    </xf>
    <xf numFmtId="166" fontId="31" fillId="0" borderId="37" xfId="0" applyNumberFormat="1" applyFont="1" applyFill="1" applyBorder="1" applyAlignment="1">
      <alignment horizontal="center" vertical="center" wrapText="1"/>
    </xf>
    <xf numFmtId="1" fontId="29" fillId="0" borderId="37" xfId="0" applyNumberFormat="1" applyFont="1" applyFill="1" applyBorder="1" applyAlignment="1">
      <alignment horizontal="center" vertical="center"/>
    </xf>
    <xf numFmtId="0" fontId="7" fillId="0" borderId="1" xfId="0" applyFont="1" applyBorder="1" applyAlignment="1">
      <alignment horizontal="center"/>
    </xf>
    <xf numFmtId="0" fontId="30" fillId="16" borderId="47" xfId="26" applyFont="1" applyFill="1" applyBorder="1" applyAlignment="1" applyProtection="1">
      <alignment horizontal="center"/>
      <protection locked="0"/>
    </xf>
    <xf numFmtId="0" fontId="30" fillId="16" borderId="47" xfId="26" applyFont="1" applyFill="1" applyBorder="1" applyAlignment="1" applyProtection="1">
      <alignment horizontal="center"/>
    </xf>
    <xf numFmtId="0" fontId="30" fillId="16" borderId="48" xfId="26" applyFont="1" applyFill="1" applyBorder="1" applyAlignment="1" applyProtection="1">
      <alignment horizontal="center"/>
    </xf>
    <xf numFmtId="3" fontId="30" fillId="16" borderId="49" xfId="26" applyNumberFormat="1" applyFont="1" applyFill="1" applyBorder="1" applyAlignment="1" applyProtection="1">
      <alignment horizontal="center"/>
    </xf>
    <xf numFmtId="0" fontId="30" fillId="16" borderId="50" xfId="26" applyNumberFormat="1" applyFont="1" applyFill="1" applyBorder="1" applyAlignment="1" applyProtection="1">
      <alignment horizontal="center"/>
    </xf>
    <xf numFmtId="0" fontId="30" fillId="16" borderId="51" xfId="26" applyNumberFormat="1" applyFont="1" applyFill="1" applyBorder="1" applyAlignment="1" applyProtection="1">
      <alignment horizontal="center"/>
    </xf>
    <xf numFmtId="0" fontId="30" fillId="16" borderId="52" xfId="26" applyNumberFormat="1" applyFont="1" applyFill="1" applyBorder="1" applyAlignment="1" applyProtection="1">
      <alignment horizontal="center"/>
    </xf>
    <xf numFmtId="0" fontId="30" fillId="16" borderId="55" xfId="26" applyFont="1" applyFill="1" applyBorder="1" applyAlignment="1" applyProtection="1">
      <alignment horizontal="center" vertical="center"/>
    </xf>
    <xf numFmtId="3" fontId="30" fillId="16" borderId="56" xfId="26" applyNumberFormat="1" applyFont="1" applyFill="1" applyBorder="1" applyAlignment="1" applyProtection="1">
      <alignment horizontal="center" vertical="center"/>
    </xf>
    <xf numFmtId="14" fontId="30" fillId="16" borderId="57" xfId="26" applyNumberFormat="1" applyFont="1" applyFill="1" applyBorder="1" applyAlignment="1" applyProtection="1">
      <alignment horizontal="center" vertical="center"/>
    </xf>
    <xf numFmtId="14" fontId="30" fillId="16" borderId="55" xfId="26" applyNumberFormat="1" applyFont="1" applyFill="1" applyBorder="1" applyAlignment="1" applyProtection="1">
      <alignment horizontal="center" vertical="center"/>
    </xf>
    <xf numFmtId="14" fontId="30" fillId="16" borderId="55" xfId="26" applyNumberFormat="1" applyFont="1" applyFill="1" applyBorder="1" applyAlignment="1" applyProtection="1">
      <alignment horizontal="center" vertical="center" wrapText="1"/>
    </xf>
    <xf numFmtId="166" fontId="29" fillId="14" borderId="38" xfId="26" applyNumberFormat="1" applyFont="1" applyFill="1" applyBorder="1" applyAlignment="1">
      <alignment horizontal="center" vertical="center"/>
    </xf>
    <xf numFmtId="166" fontId="28" fillId="14" borderId="38" xfId="26" applyNumberFormat="1" applyFont="1" applyFill="1" applyBorder="1" applyAlignment="1">
      <alignment horizontal="center" vertical="center"/>
    </xf>
    <xf numFmtId="166" fontId="31" fillId="14" borderId="37" xfId="26" applyNumberFormat="1" applyFont="1" applyFill="1" applyBorder="1" applyAlignment="1">
      <alignment horizontal="center" vertical="center"/>
    </xf>
    <xf numFmtId="0" fontId="27" fillId="0" borderId="0" xfId="26"/>
    <xf numFmtId="0" fontId="30" fillId="16" borderId="55" xfId="26" applyFont="1" applyFill="1" applyBorder="1" applyAlignment="1" applyProtection="1">
      <alignment horizontal="center" vertical="center"/>
      <protection locked="0"/>
    </xf>
    <xf numFmtId="0" fontId="0" fillId="0" borderId="59" xfId="0" applyFill="1" applyBorder="1"/>
    <xf numFmtId="0" fontId="29" fillId="0" borderId="59" xfId="0" applyFont="1" applyFill="1" applyBorder="1" applyAlignment="1">
      <alignment horizontal="center" vertical="center"/>
    </xf>
    <xf numFmtId="14" fontId="29" fillId="0" borderId="59" xfId="0" applyNumberFormat="1" applyFont="1" applyFill="1" applyBorder="1" applyAlignment="1">
      <alignment horizontal="center" vertical="center"/>
    </xf>
    <xf numFmtId="49" fontId="29" fillId="0" borderId="59" xfId="0" applyNumberFormat="1" applyFont="1" applyFill="1" applyBorder="1" applyAlignment="1">
      <alignment horizontal="center" vertical="center"/>
    </xf>
    <xf numFmtId="166" fontId="29" fillId="0" borderId="59" xfId="0" applyNumberFormat="1" applyFont="1" applyFill="1" applyBorder="1" applyAlignment="1">
      <alignment horizontal="center" vertical="center"/>
    </xf>
    <xf numFmtId="166" fontId="28" fillId="0" borderId="59" xfId="0" applyNumberFormat="1" applyFont="1" applyFill="1" applyBorder="1" applyAlignment="1">
      <alignment horizontal="center" vertical="center"/>
    </xf>
    <xf numFmtId="166" fontId="31" fillId="0" borderId="59" xfId="0" applyNumberFormat="1" applyFont="1" applyFill="1" applyBorder="1" applyAlignment="1">
      <alignment horizontal="center" vertical="center"/>
    </xf>
    <xf numFmtId="167" fontId="29" fillId="0" borderId="59" xfId="0" applyNumberFormat="1" applyFont="1" applyFill="1" applyBorder="1" applyAlignment="1">
      <alignment horizontal="center" vertical="center"/>
    </xf>
    <xf numFmtId="14" fontId="7" fillId="0" borderId="59" xfId="0" applyNumberFormat="1" applyFont="1" applyFill="1" applyBorder="1" applyAlignment="1">
      <alignment horizontal="center"/>
    </xf>
    <xf numFmtId="167" fontId="28" fillId="0" borderId="59" xfId="0" applyNumberFormat="1" applyFont="1" applyFill="1" applyBorder="1" applyAlignment="1">
      <alignment horizontal="center" vertical="center"/>
    </xf>
    <xf numFmtId="0" fontId="0" fillId="0" borderId="59" xfId="0" applyBorder="1"/>
    <xf numFmtId="0" fontId="30" fillId="17" borderId="47" xfId="26" applyFont="1" applyFill="1" applyBorder="1" applyAlignment="1" applyProtection="1">
      <alignment horizontal="center"/>
    </xf>
    <xf numFmtId="0" fontId="30" fillId="17" borderId="55" xfId="26" applyFont="1" applyFill="1" applyBorder="1" applyAlignment="1" applyProtection="1">
      <alignment horizontal="center" vertical="center"/>
    </xf>
    <xf numFmtId="49" fontId="30" fillId="17" borderId="47" xfId="26" applyNumberFormat="1" applyFont="1" applyFill="1" applyBorder="1" applyAlignment="1" applyProtection="1">
      <alignment horizontal="center"/>
    </xf>
    <xf numFmtId="3" fontId="30" fillId="17" borderId="47" xfId="26" applyNumberFormat="1" applyFont="1" applyFill="1" applyBorder="1" applyAlignment="1" applyProtection="1">
      <alignment horizontal="center" vertical="center"/>
    </xf>
    <xf numFmtId="49" fontId="30" fillId="17" borderId="55" xfId="26" applyNumberFormat="1" applyFont="1" applyFill="1" applyBorder="1" applyAlignment="1" applyProtection="1">
      <alignment horizontal="center" vertical="center"/>
    </xf>
    <xf numFmtId="3" fontId="30" fillId="17" borderId="56" xfId="26" applyNumberFormat="1" applyFont="1" applyFill="1" applyBorder="1" applyAlignment="1" applyProtection="1">
      <alignment horizontal="center" vertical="center"/>
    </xf>
    <xf numFmtId="14" fontId="30" fillId="18" borderId="57" xfId="26" applyNumberFormat="1" applyFont="1" applyFill="1" applyBorder="1" applyAlignment="1" applyProtection="1">
      <alignment horizontal="center" vertical="center"/>
    </xf>
    <xf numFmtId="14" fontId="30" fillId="17" borderId="57" xfId="26" applyNumberFormat="1" applyFont="1" applyFill="1" applyBorder="1" applyAlignment="1" applyProtection="1">
      <alignment horizontal="center" vertical="center"/>
    </xf>
    <xf numFmtId="14" fontId="30" fillId="17" borderId="53" xfId="26" applyNumberFormat="1" applyFont="1" applyFill="1" applyBorder="1" applyAlignment="1" applyProtection="1">
      <alignment horizontal="center"/>
    </xf>
    <xf numFmtId="14" fontId="30" fillId="17" borderId="58" xfId="26" applyNumberFormat="1" applyFont="1" applyFill="1" applyBorder="1" applyAlignment="1" applyProtection="1">
      <alignment horizontal="center" vertical="center"/>
    </xf>
    <xf numFmtId="14" fontId="30" fillId="17" borderId="55" xfId="26" applyNumberFormat="1" applyFont="1" applyFill="1" applyBorder="1" applyAlignment="1" applyProtection="1">
      <alignment horizontal="center" vertical="center"/>
    </xf>
    <xf numFmtId="2" fontId="30" fillId="17" borderId="55" xfId="26" applyNumberFormat="1" applyFont="1" applyFill="1" applyBorder="1" applyAlignment="1" applyProtection="1">
      <alignment horizontal="center" vertical="center" wrapText="1"/>
    </xf>
    <xf numFmtId="166" fontId="28" fillId="0" borderId="37" xfId="0" applyNumberFormat="1" applyFont="1" applyFill="1" applyBorder="1" applyAlignment="1" applyProtection="1">
      <alignment horizontal="center"/>
    </xf>
    <xf numFmtId="0" fontId="29" fillId="0" borderId="60" xfId="0" applyNumberFormat="1" applyFont="1" applyFill="1" applyBorder="1" applyAlignment="1">
      <alignment horizontal="center" vertical="center"/>
    </xf>
    <xf numFmtId="49" fontId="29" fillId="0" borderId="37" xfId="0" applyNumberFormat="1" applyFont="1" applyFill="1" applyBorder="1" applyAlignment="1">
      <alignment horizontal="center" vertical="center"/>
    </xf>
    <xf numFmtId="1" fontId="29" fillId="0" borderId="37" xfId="0" applyNumberFormat="1" applyFont="1" applyFill="1" applyBorder="1" applyAlignment="1">
      <alignment horizontal="center" vertical="center" wrapText="1"/>
    </xf>
    <xf numFmtId="1" fontId="28" fillId="0" borderId="37" xfId="0" applyNumberFormat="1" applyFont="1" applyFill="1" applyBorder="1" applyAlignment="1">
      <alignment horizontal="center" vertical="center" wrapText="1"/>
    </xf>
    <xf numFmtId="167" fontId="28" fillId="0" borderId="37" xfId="0" applyNumberFormat="1" applyFont="1" applyFill="1" applyBorder="1" applyAlignment="1">
      <alignment horizontal="center" wrapText="1"/>
    </xf>
    <xf numFmtId="14" fontId="13" fillId="7" borderId="5" xfId="0" applyNumberFormat="1" applyFont="1" applyFill="1" applyBorder="1" applyAlignment="1" applyProtection="1">
      <alignment horizontal="center" vertical="center"/>
    </xf>
    <xf numFmtId="14" fontId="13" fillId="7" borderId="17" xfId="0" applyNumberFormat="1" applyFont="1" applyFill="1" applyBorder="1" applyAlignment="1" applyProtection="1">
      <alignment horizontal="center" vertical="center"/>
    </xf>
    <xf numFmtId="14" fontId="13" fillId="7" borderId="17" xfId="0" applyNumberFormat="1" applyFont="1" applyFill="1" applyBorder="1" applyAlignment="1" applyProtection="1">
      <alignment horizontal="center" vertical="center" wrapText="1"/>
    </xf>
    <xf numFmtId="0" fontId="7" fillId="5" borderId="0" xfId="0" applyFont="1" applyFill="1" applyAlignment="1">
      <alignment horizontal="center"/>
    </xf>
    <xf numFmtId="0" fontId="7" fillId="0" borderId="61" xfId="0" applyFont="1" applyBorder="1"/>
    <xf numFmtId="2" fontId="0" fillId="0" borderId="62" xfId="0" applyNumberFormat="1" applyBorder="1"/>
    <xf numFmtId="167" fontId="0" fillId="0" borderId="62" xfId="0" applyNumberFormat="1" applyBorder="1" applyAlignment="1">
      <alignment horizontal="right"/>
    </xf>
    <xf numFmtId="0" fontId="7" fillId="0" borderId="63" xfId="0" applyFont="1" applyBorder="1"/>
    <xf numFmtId="2" fontId="0" fillId="0" borderId="0" xfId="0" applyNumberFormat="1" applyBorder="1"/>
    <xf numFmtId="167" fontId="0" fillId="0" borderId="0" xfId="0" applyNumberFormat="1" applyBorder="1" applyAlignment="1">
      <alignment horizontal="right"/>
    </xf>
    <xf numFmtId="167" fontId="0" fillId="0" borderId="36" xfId="0" applyNumberFormat="1" applyBorder="1" applyAlignment="1">
      <alignment horizontal="right"/>
    </xf>
    <xf numFmtId="0" fontId="7" fillId="0" borderId="64" xfId="0" applyFont="1" applyBorder="1"/>
    <xf numFmtId="2" fontId="0" fillId="0" borderId="65" xfId="0" applyNumberFormat="1" applyBorder="1"/>
    <xf numFmtId="167" fontId="0" fillId="0" borderId="65" xfId="0" applyNumberFormat="1" applyBorder="1" applyAlignment="1">
      <alignment horizontal="right"/>
    </xf>
    <xf numFmtId="167" fontId="0" fillId="0" borderId="66" xfId="0" applyNumberFormat="1" applyBorder="1" applyAlignment="1">
      <alignment horizontal="right"/>
    </xf>
    <xf numFmtId="2" fontId="0" fillId="0" borderId="0" xfId="0" applyNumberFormat="1" applyBorder="1" applyAlignment="1">
      <alignment horizontal="right"/>
    </xf>
    <xf numFmtId="2" fontId="0" fillId="0" borderId="0" xfId="0" applyNumberFormat="1" applyFill="1" applyBorder="1" applyAlignment="1">
      <alignment horizontal="right"/>
    </xf>
    <xf numFmtId="2" fontId="0" fillId="0" borderId="65" xfId="0" applyNumberFormat="1" applyBorder="1" applyAlignment="1">
      <alignment horizontal="right"/>
    </xf>
    <xf numFmtId="14" fontId="13" fillId="0" borderId="21" xfId="0" applyNumberFormat="1" applyFont="1" applyFill="1" applyBorder="1" applyAlignment="1" applyProtection="1">
      <alignment horizontal="center"/>
    </xf>
    <xf numFmtId="14" fontId="13" fillId="0" borderId="6" xfId="0" applyNumberFormat="1" applyFont="1" applyFill="1" applyBorder="1" applyAlignment="1" applyProtection="1">
      <alignment horizontal="center" vertical="center" wrapText="1"/>
    </xf>
    <xf numFmtId="167" fontId="0" fillId="11" borderId="62" xfId="0" applyNumberFormat="1" applyFill="1" applyBorder="1" applyAlignment="1">
      <alignment horizontal="right"/>
    </xf>
    <xf numFmtId="0" fontId="7" fillId="7" borderId="0" xfId="0" applyFont="1" applyFill="1" applyAlignment="1"/>
    <xf numFmtId="0" fontId="7" fillId="0" borderId="67" xfId="0" applyFont="1" applyBorder="1"/>
    <xf numFmtId="0" fontId="7" fillId="0" borderId="0" xfId="0" applyFont="1" applyFill="1" applyAlignment="1"/>
    <xf numFmtId="0" fontId="8" fillId="0" borderId="1" xfId="0" applyFont="1" applyFill="1" applyBorder="1" applyAlignment="1">
      <alignment horizontal="center"/>
    </xf>
    <xf numFmtId="0" fontId="32" fillId="0" borderId="69" xfId="0" applyFont="1" applyFill="1" applyBorder="1" applyAlignment="1">
      <alignment horizontal="center" vertical="center"/>
    </xf>
    <xf numFmtId="0" fontId="32" fillId="0" borderId="42" xfId="0" applyFont="1" applyFill="1" applyBorder="1" applyAlignment="1">
      <alignment horizontal="center" vertical="center"/>
    </xf>
    <xf numFmtId="0" fontId="13" fillId="11" borderId="42" xfId="0" applyFont="1" applyFill="1" applyBorder="1" applyAlignment="1">
      <alignment horizontal="center" vertical="center"/>
    </xf>
    <xf numFmtId="0" fontId="13" fillId="11" borderId="42" xfId="0" applyFont="1" applyFill="1" applyBorder="1" applyAlignment="1">
      <alignment horizontal="center" vertical="center" wrapText="1"/>
    </xf>
    <xf numFmtId="0" fontId="13" fillId="0" borderId="42" xfId="0" applyFont="1" applyFill="1" applyBorder="1" applyAlignment="1">
      <alignment horizontal="center" vertical="center"/>
    </xf>
    <xf numFmtId="0" fontId="13" fillId="0" borderId="42" xfId="0" applyFont="1" applyFill="1" applyBorder="1" applyAlignment="1">
      <alignment horizontal="center" vertical="center" wrapText="1"/>
    </xf>
    <xf numFmtId="0" fontId="13" fillId="7" borderId="42" xfId="0" applyFont="1" applyFill="1" applyBorder="1" applyAlignment="1">
      <alignment horizontal="center" vertical="center" wrapText="1"/>
    </xf>
    <xf numFmtId="0" fontId="13" fillId="5" borderId="42" xfId="0" applyFont="1" applyFill="1" applyBorder="1" applyAlignment="1">
      <alignment horizontal="center" vertical="center" wrapText="1"/>
    </xf>
    <xf numFmtId="0" fontId="13" fillId="5" borderId="42" xfId="0" applyFont="1" applyFill="1" applyBorder="1" applyAlignment="1">
      <alignment horizontal="center" vertical="center"/>
    </xf>
    <xf numFmtId="3" fontId="13" fillId="5" borderId="69" xfId="0" applyNumberFormat="1" applyFont="1" applyFill="1" applyBorder="1" applyAlignment="1" applyProtection="1">
      <alignment horizontal="center" vertical="center"/>
    </xf>
    <xf numFmtId="14" fontId="13" fillId="11" borderId="42" xfId="0" applyNumberFormat="1" applyFont="1" applyFill="1" applyBorder="1" applyAlignment="1" applyProtection="1">
      <alignment horizontal="center" vertical="center"/>
    </xf>
    <xf numFmtId="3" fontId="8" fillId="0" borderId="1" xfId="28" applyNumberFormat="1" applyFont="1" applyFill="1" applyBorder="1" applyAlignment="1">
      <alignment horizontal="center" vertical="top"/>
    </xf>
    <xf numFmtId="14" fontId="12" fillId="5" borderId="42" xfId="0" applyNumberFormat="1" applyFont="1" applyFill="1" applyBorder="1" applyAlignment="1">
      <alignment horizontal="left" wrapText="1"/>
    </xf>
    <xf numFmtId="0" fontId="12" fillId="11" borderId="42" xfId="0" applyNumberFormat="1" applyFont="1" applyFill="1" applyBorder="1" applyAlignment="1">
      <alignment horizontal="center" wrapText="1"/>
    </xf>
    <xf numFmtId="0" fontId="8" fillId="0" borderId="1" xfId="0" applyFont="1" applyFill="1" applyBorder="1"/>
    <xf numFmtId="0" fontId="44" fillId="0" borderId="1" xfId="0" applyNumberFormat="1" applyFont="1" applyFill="1" applyBorder="1" applyAlignment="1" applyProtection="1">
      <alignment vertical="center" wrapText="1"/>
    </xf>
    <xf numFmtId="49" fontId="44" fillId="0" borderId="1" xfId="0" applyNumberFormat="1" applyFont="1" applyFill="1" applyBorder="1" applyAlignment="1" applyProtection="1">
      <alignment horizontal="center" vertical="center" wrapText="1"/>
    </xf>
    <xf numFmtId="0" fontId="12" fillId="5" borderId="69" xfId="0" applyNumberFormat="1" applyFont="1" applyFill="1" applyBorder="1" applyAlignment="1">
      <alignment horizontal="left" wrapText="1"/>
    </xf>
    <xf numFmtId="0" fontId="12" fillId="0" borderId="42" xfId="0" applyNumberFormat="1" applyFont="1" applyFill="1" applyBorder="1" applyAlignment="1">
      <alignment horizontal="left" wrapText="1"/>
    </xf>
    <xf numFmtId="0" fontId="12" fillId="7" borderId="42" xfId="0" applyNumberFormat="1" applyFont="1" applyFill="1" applyBorder="1" applyAlignment="1">
      <alignment horizontal="left" wrapText="1"/>
    </xf>
    <xf numFmtId="166" fontId="12" fillId="0" borderId="42" xfId="0" applyNumberFormat="1" applyFont="1" applyFill="1" applyBorder="1" applyAlignment="1">
      <alignment horizontal="left" wrapText="1"/>
    </xf>
    <xf numFmtId="14" fontId="12" fillId="0" borderId="42" xfId="0" applyNumberFormat="1" applyFont="1" applyFill="1" applyBorder="1" applyAlignment="1">
      <alignment horizontal="left" wrapText="1"/>
    </xf>
    <xf numFmtId="14" fontId="12" fillId="7" borderId="70" xfId="0" applyNumberFormat="1" applyFont="1" applyFill="1" applyBorder="1" applyAlignment="1">
      <alignment horizontal="left" wrapText="1"/>
    </xf>
    <xf numFmtId="2" fontId="41" fillId="15" borderId="68" xfId="0" applyNumberFormat="1" applyFont="1" applyFill="1" applyBorder="1" applyAlignment="1">
      <alignment horizontal="left" wrapText="1"/>
    </xf>
    <xf numFmtId="0" fontId="41" fillId="15" borderId="68" xfId="0" applyNumberFormat="1" applyFont="1" applyFill="1" applyBorder="1" applyAlignment="1">
      <alignment horizontal="left" wrapText="1"/>
    </xf>
    <xf numFmtId="0" fontId="41" fillId="15" borderId="68" xfId="0" applyFont="1" applyFill="1" applyBorder="1" applyAlignment="1">
      <alignment horizontal="left" wrapText="1"/>
    </xf>
    <xf numFmtId="166" fontId="12" fillId="7" borderId="42" xfId="0" applyNumberFormat="1" applyFont="1" applyFill="1" applyBorder="1" applyAlignment="1">
      <alignment horizontal="center" wrapText="1"/>
    </xf>
    <xf numFmtId="0" fontId="0" fillId="6" borderId="1" xfId="0" applyFill="1" applyBorder="1"/>
    <xf numFmtId="14" fontId="45" fillId="0" borderId="1" xfId="0" applyNumberFormat="1" applyFont="1" applyFill="1" applyBorder="1" applyAlignment="1" applyProtection="1">
      <alignment horizontal="left" vertical="center" wrapText="1"/>
    </xf>
    <xf numFmtId="14" fontId="44" fillId="10" borderId="1" xfId="0" applyNumberFormat="1" applyFont="1" applyFill="1" applyBorder="1" applyAlignment="1" applyProtection="1">
      <alignment horizontal="left" vertical="center" wrapText="1"/>
    </xf>
    <xf numFmtId="14" fontId="44" fillId="10" borderId="8" xfId="0" applyNumberFormat="1" applyFont="1" applyFill="1" applyBorder="1" applyAlignment="1" applyProtection="1">
      <alignment horizontal="left" vertical="center" wrapText="1"/>
    </xf>
    <xf numFmtId="174" fontId="10" fillId="0" borderId="1" xfId="0" applyNumberFormat="1" applyFont="1" applyFill="1" applyBorder="1" applyAlignment="1" applyProtection="1">
      <alignment horizontal="left" vertical="top" wrapText="1" readingOrder="1"/>
      <protection locked="0"/>
    </xf>
    <xf numFmtId="0" fontId="10" fillId="0" borderId="1" xfId="0" applyFont="1" applyFill="1" applyBorder="1" applyAlignment="1" applyProtection="1">
      <alignment horizontal="left" vertical="top" wrapText="1" readingOrder="1"/>
      <protection locked="0"/>
    </xf>
    <xf numFmtId="0" fontId="8" fillId="0" borderId="1" xfId="0" applyFont="1" applyFill="1" applyBorder="1" applyAlignment="1">
      <alignment horizontal="center" vertical="center"/>
    </xf>
    <xf numFmtId="0" fontId="8" fillId="0" borderId="1" xfId="71" applyFont="1" applyFill="1" applyBorder="1" applyAlignment="1">
      <alignment horizontal="center"/>
    </xf>
    <xf numFmtId="0" fontId="15" fillId="0" borderId="1" xfId="0" applyNumberFormat="1" applyFont="1" applyFill="1" applyBorder="1" applyAlignment="1" applyProtection="1">
      <alignment vertical="center" wrapText="1"/>
    </xf>
    <xf numFmtId="49" fontId="45" fillId="0" borderId="1" xfId="0" applyNumberFormat="1" applyFont="1" applyFill="1" applyBorder="1" applyAlignment="1" applyProtection="1">
      <alignment horizontal="center" vertical="center" wrapText="1"/>
    </xf>
    <xf numFmtId="0" fontId="45" fillId="0" borderId="1" xfId="0" applyNumberFormat="1" applyFont="1" applyFill="1" applyBorder="1" applyAlignment="1" applyProtection="1">
      <alignment horizontal="center" vertical="center" wrapText="1"/>
    </xf>
    <xf numFmtId="0" fontId="42" fillId="0" borderId="0" xfId="0" applyFont="1" applyFill="1"/>
    <xf numFmtId="3" fontId="8" fillId="0" borderId="1" xfId="0" applyNumberFormat="1" applyFont="1" applyFill="1" applyBorder="1" applyAlignment="1">
      <alignment horizontal="center"/>
    </xf>
    <xf numFmtId="0" fontId="0" fillId="39" borderId="0" xfId="0" applyFill="1"/>
    <xf numFmtId="0" fontId="43" fillId="5" borderId="0" xfId="0" applyFont="1" applyFill="1"/>
    <xf numFmtId="0" fontId="16" fillId="40" borderId="42" xfId="0" applyFont="1" applyFill="1" applyBorder="1" applyAlignment="1">
      <alignment horizontal="center" wrapText="1"/>
    </xf>
    <xf numFmtId="0" fontId="16" fillId="41" borderId="69" xfId="0" applyFont="1" applyFill="1" applyBorder="1" applyAlignment="1">
      <alignment horizontal="center" wrapText="1"/>
    </xf>
    <xf numFmtId="0" fontId="16" fillId="41" borderId="42" xfId="0" applyFont="1" applyFill="1" applyBorder="1" applyAlignment="1">
      <alignment horizontal="center" wrapText="1"/>
    </xf>
    <xf numFmtId="0" fontId="0" fillId="0" borderId="8" xfId="0" applyFill="1" applyBorder="1"/>
    <xf numFmtId="2" fontId="8" fillId="0" borderId="1" xfId="0" applyNumberFormat="1" applyFont="1" applyFill="1" applyBorder="1"/>
    <xf numFmtId="168" fontId="8" fillId="0" borderId="1" xfId="0" applyNumberFormat="1" applyFont="1" applyFill="1" applyBorder="1" applyAlignment="1">
      <alignment horizontal="center"/>
    </xf>
    <xf numFmtId="14" fontId="45" fillId="0" borderId="8" xfId="0" applyNumberFormat="1" applyFont="1" applyFill="1" applyBorder="1" applyAlignment="1" applyProtection="1">
      <alignment horizontal="left" vertical="center" wrapText="1"/>
    </xf>
    <xf numFmtId="0" fontId="10" fillId="0" borderId="1" xfId="0" applyFont="1" applyFill="1" applyBorder="1" applyAlignment="1" applyProtection="1">
      <alignment horizontal="center" vertical="top" wrapText="1" readingOrder="1"/>
      <protection locked="0"/>
    </xf>
    <xf numFmtId="0" fontId="42" fillId="0" borderId="1" xfId="0" applyFont="1" applyFill="1" applyBorder="1"/>
    <xf numFmtId="172" fontId="10" fillId="0" borderId="1" xfId="0" applyNumberFormat="1" applyFont="1" applyFill="1" applyBorder="1" applyAlignment="1" applyProtection="1">
      <alignment horizontal="left" vertical="top" wrapText="1" readingOrder="1"/>
      <protection locked="0"/>
    </xf>
    <xf numFmtId="0" fontId="13" fillId="0" borderId="14" xfId="0" applyFont="1" applyFill="1" applyBorder="1" applyAlignment="1" applyProtection="1">
      <alignment horizontal="center"/>
    </xf>
    <xf numFmtId="0" fontId="0" fillId="0" borderId="0" xfId="0" applyBorder="1"/>
    <xf numFmtId="14" fontId="13" fillId="0" borderId="13" xfId="0" applyNumberFormat="1" applyFont="1" applyFill="1" applyBorder="1" applyAlignment="1" applyProtection="1">
      <alignment horizontal="center" vertical="center"/>
    </xf>
    <xf numFmtId="177" fontId="0" fillId="5" borderId="0" xfId="0" applyNumberFormat="1" applyFill="1" applyAlignment="1">
      <alignment horizontal="center"/>
    </xf>
    <xf numFmtId="1" fontId="8" fillId="0" borderId="1" xfId="0" applyNumberFormat="1" applyFont="1" applyFill="1" applyBorder="1" applyAlignment="1">
      <alignment horizontal="center"/>
    </xf>
    <xf numFmtId="0" fontId="8" fillId="0" borderId="1" xfId="0" applyNumberFormat="1" applyFont="1" applyFill="1" applyBorder="1" applyAlignment="1">
      <alignment horizontal="center"/>
    </xf>
    <xf numFmtId="0" fontId="8" fillId="0" borderId="1" xfId="28" applyNumberFormat="1" applyFont="1" applyFill="1" applyBorder="1" applyAlignment="1">
      <alignment horizontal="center" vertical="top"/>
    </xf>
    <xf numFmtId="14" fontId="8" fillId="0" borderId="1" xfId="0" applyNumberFormat="1" applyFont="1" applyFill="1" applyBorder="1" applyAlignment="1">
      <alignment horizontal="center"/>
    </xf>
    <xf numFmtId="1" fontId="8" fillId="0" borderId="1" xfId="28" applyNumberFormat="1" applyFont="1" applyFill="1" applyBorder="1" applyAlignment="1">
      <alignment horizontal="center" vertical="top"/>
    </xf>
    <xf numFmtId="169" fontId="8" fillId="0" borderId="1" xfId="28" applyNumberFormat="1" applyFont="1" applyFill="1" applyBorder="1" applyAlignment="1">
      <alignment horizontal="center" vertical="top"/>
    </xf>
    <xf numFmtId="176" fontId="8" fillId="0" borderId="1" xfId="28" applyNumberFormat="1" applyFont="1" applyFill="1" applyBorder="1" applyAlignment="1">
      <alignment horizontal="center" vertical="top"/>
    </xf>
    <xf numFmtId="0" fontId="7" fillId="0" borderId="1" xfId="0" applyFont="1" applyBorder="1" applyAlignment="1">
      <alignment horizontal="center"/>
    </xf>
    <xf numFmtId="0" fontId="15" fillId="4" borderId="83" xfId="0" applyNumberFormat="1" applyFont="1" applyFill="1" applyBorder="1" applyAlignment="1" applyProtection="1">
      <alignment vertical="center" wrapText="1"/>
    </xf>
    <xf numFmtId="49" fontId="15" fillId="4" borderId="83" xfId="0" applyNumberFormat="1" applyFont="1" applyFill="1" applyBorder="1" applyAlignment="1" applyProtection="1">
      <alignment horizontal="center" vertical="center" wrapText="1"/>
    </xf>
    <xf numFmtId="14" fontId="15" fillId="4" borderId="83" xfId="0" applyNumberFormat="1" applyFont="1" applyFill="1" applyBorder="1" applyAlignment="1" applyProtection="1">
      <alignment vertical="center" wrapText="1"/>
    </xf>
    <xf numFmtId="0" fontId="15" fillId="4" borderId="87" xfId="0" applyNumberFormat="1" applyFont="1" applyFill="1" applyBorder="1" applyAlignment="1" applyProtection="1">
      <alignment vertical="center" wrapText="1"/>
    </xf>
    <xf numFmtId="49" fontId="15" fillId="4" borderId="87" xfId="0" applyNumberFormat="1" applyFont="1" applyFill="1" applyBorder="1" applyAlignment="1" applyProtection="1">
      <alignment horizontal="center" vertical="center" wrapText="1"/>
    </xf>
    <xf numFmtId="14" fontId="15" fillId="4" borderId="87" xfId="0" applyNumberFormat="1" applyFont="1" applyFill="1" applyBorder="1" applyAlignment="1" applyProtection="1">
      <alignment vertical="center" wrapText="1"/>
    </xf>
    <xf numFmtId="49" fontId="15" fillId="7" borderId="83" xfId="0" applyNumberFormat="1" applyFont="1" applyFill="1" applyBorder="1" applyAlignment="1" applyProtection="1">
      <alignment horizontal="center" vertical="center" wrapText="1"/>
    </xf>
    <xf numFmtId="0" fontId="15" fillId="7" borderId="83" xfId="0" applyNumberFormat="1" applyFont="1" applyFill="1" applyBorder="1" applyAlignment="1" applyProtection="1">
      <alignment horizontal="center" vertical="center" wrapText="1"/>
    </xf>
    <xf numFmtId="49" fontId="15" fillId="7" borderId="87" xfId="0" applyNumberFormat="1" applyFont="1" applyFill="1" applyBorder="1" applyAlignment="1" applyProtection="1">
      <alignment horizontal="center" vertical="center" wrapText="1"/>
    </xf>
    <xf numFmtId="0" fontId="15" fillId="7" borderId="87" xfId="0" applyNumberFormat="1" applyFont="1" applyFill="1" applyBorder="1" applyAlignment="1" applyProtection="1">
      <alignment horizontal="center" vertical="center" wrapText="1"/>
    </xf>
    <xf numFmtId="0" fontId="15" fillId="5" borderId="83" xfId="0" applyNumberFormat="1" applyFont="1" applyFill="1" applyBorder="1" applyAlignment="1" applyProtection="1">
      <alignment vertical="center" wrapText="1"/>
    </xf>
    <xf numFmtId="0" fontId="15" fillId="5" borderId="87" xfId="0" applyNumberFormat="1" applyFont="1" applyFill="1" applyBorder="1" applyAlignment="1" applyProtection="1">
      <alignment vertical="center" wrapText="1"/>
    </xf>
    <xf numFmtId="3" fontId="15" fillId="0" borderId="86" xfId="0" applyNumberFormat="1" applyFont="1" applyFill="1" applyBorder="1" applyAlignment="1" applyProtection="1">
      <alignment vertical="center" wrapText="1"/>
    </xf>
    <xf numFmtId="0" fontId="15" fillId="0" borderId="83" xfId="0" applyNumberFormat="1" applyFont="1" applyFill="1" applyBorder="1" applyAlignment="1" applyProtection="1">
      <alignment vertical="center" wrapText="1"/>
    </xf>
    <xf numFmtId="3" fontId="15" fillId="0" borderId="88" xfId="0" applyNumberFormat="1" applyFont="1" applyFill="1" applyBorder="1" applyAlignment="1" applyProtection="1">
      <alignment horizontal="center" vertical="center" wrapText="1"/>
    </xf>
    <xf numFmtId="0" fontId="15" fillId="0" borderId="87" xfId="0" applyNumberFormat="1" applyFont="1" applyFill="1" applyBorder="1" applyAlignment="1" applyProtection="1">
      <alignment vertical="center" wrapText="1"/>
    </xf>
    <xf numFmtId="0" fontId="62" fillId="5" borderId="88" xfId="0" applyNumberFormat="1" applyFont="1" applyFill="1" applyBorder="1" applyAlignment="1" applyProtection="1">
      <alignment horizontal="center" vertical="center" wrapText="1"/>
    </xf>
    <xf numFmtId="0" fontId="62" fillId="7" borderId="88" xfId="0" applyNumberFormat="1" applyFont="1" applyFill="1" applyBorder="1" applyAlignment="1" applyProtection="1">
      <alignment horizontal="center" vertical="center" wrapText="1"/>
    </xf>
    <xf numFmtId="167" fontId="0" fillId="0" borderId="81" xfId="0" applyNumberFormat="1" applyBorder="1" applyAlignment="1">
      <alignment horizontal="right"/>
    </xf>
    <xf numFmtId="167" fontId="7" fillId="0" borderId="81" xfId="0" applyNumberFormat="1" applyFont="1" applyBorder="1" applyAlignment="1">
      <alignment horizontal="right"/>
    </xf>
    <xf numFmtId="167" fontId="7" fillId="0" borderId="90" xfId="0" applyNumberFormat="1" applyFont="1" applyBorder="1" applyAlignment="1">
      <alignment horizontal="right"/>
    </xf>
    <xf numFmtId="167" fontId="0" fillId="0" borderId="90" xfId="0" applyNumberFormat="1" applyBorder="1" applyAlignment="1">
      <alignment horizontal="right"/>
    </xf>
    <xf numFmtId="167" fontId="8" fillId="0" borderId="91" xfId="0" applyNumberFormat="1" applyFont="1" applyBorder="1" applyAlignment="1">
      <alignment horizontal="right"/>
    </xf>
    <xf numFmtId="167" fontId="8" fillId="0" borderId="81" xfId="0" applyNumberFormat="1" applyFont="1" applyBorder="1" applyAlignment="1">
      <alignment horizontal="right"/>
    </xf>
    <xf numFmtId="167" fontId="8" fillId="0" borderId="90" xfId="0" applyNumberFormat="1" applyFont="1" applyBorder="1" applyAlignment="1">
      <alignment horizontal="right"/>
    </xf>
    <xf numFmtId="167" fontId="7" fillId="0" borderId="63" xfId="0" applyNumberFormat="1" applyFont="1" applyBorder="1" applyAlignment="1">
      <alignment horizontal="right"/>
    </xf>
    <xf numFmtId="167" fontId="7" fillId="0" borderId="36" xfId="0" applyNumberFormat="1" applyFont="1" applyBorder="1" applyAlignment="1">
      <alignment horizontal="right"/>
    </xf>
    <xf numFmtId="167" fontId="0" fillId="0" borderId="63" xfId="0" applyNumberFormat="1" applyBorder="1" applyAlignment="1">
      <alignment horizontal="right"/>
    </xf>
    <xf numFmtId="167" fontId="8" fillId="0" borderId="0" xfId="0" applyNumberFormat="1" applyFont="1" applyBorder="1" applyAlignment="1">
      <alignment horizontal="right"/>
    </xf>
    <xf numFmtId="167" fontId="8" fillId="0" borderId="63" xfId="0" applyNumberFormat="1" applyFont="1" applyBorder="1" applyAlignment="1">
      <alignment horizontal="right"/>
    </xf>
    <xf numFmtId="167" fontId="8" fillId="0" borderId="36" xfId="0" applyNumberFormat="1" applyFont="1" applyBorder="1" applyAlignment="1">
      <alignment horizontal="right"/>
    </xf>
    <xf numFmtId="167" fontId="7" fillId="0" borderId="82" xfId="0" applyNumberFormat="1" applyFont="1" applyBorder="1" applyAlignment="1">
      <alignment horizontal="right"/>
    </xf>
    <xf numFmtId="167" fontId="7" fillId="0" borderId="66" xfId="0" applyNumberFormat="1" applyFont="1" applyBorder="1" applyAlignment="1">
      <alignment horizontal="right"/>
    </xf>
    <xf numFmtId="167" fontId="0" fillId="0" borderId="82" xfId="0" applyNumberFormat="1" applyBorder="1" applyAlignment="1">
      <alignment horizontal="right"/>
    </xf>
    <xf numFmtId="167" fontId="8" fillId="0" borderId="65" xfId="0" applyNumberFormat="1" applyFont="1" applyBorder="1" applyAlignment="1">
      <alignment horizontal="right"/>
    </xf>
    <xf numFmtId="167" fontId="8" fillId="0" borderId="82" xfId="0" applyNumberFormat="1" applyFont="1" applyBorder="1" applyAlignment="1">
      <alignment horizontal="right"/>
    </xf>
    <xf numFmtId="167" fontId="8" fillId="0" borderId="66" xfId="0" applyNumberFormat="1" applyFont="1" applyBorder="1" applyAlignment="1">
      <alignment horizontal="right"/>
    </xf>
    <xf numFmtId="0" fontId="7" fillId="0" borderId="82" xfId="0" applyFont="1" applyBorder="1" applyAlignment="1">
      <alignment horizontal="center"/>
    </xf>
    <xf numFmtId="0" fontId="7" fillId="0" borderId="66" xfId="0" applyFont="1" applyBorder="1" applyAlignment="1">
      <alignment horizontal="center"/>
    </xf>
    <xf numFmtId="0" fontId="7" fillId="0" borderId="65" xfId="0" applyFont="1" applyBorder="1" applyAlignment="1">
      <alignment horizontal="center"/>
    </xf>
    <xf numFmtId="0" fontId="15" fillId="7" borderId="83" xfId="0" applyNumberFormat="1" applyFont="1" applyFill="1" applyBorder="1" applyAlignment="1" applyProtection="1">
      <alignment vertical="center" wrapText="1"/>
    </xf>
    <xf numFmtId="0" fontId="15" fillId="7" borderId="92" xfId="0" applyNumberFormat="1" applyFont="1" applyFill="1" applyBorder="1" applyAlignment="1" applyProtection="1">
      <alignment vertical="center" wrapText="1"/>
    </xf>
    <xf numFmtId="0" fontId="42" fillId="0" borderId="87" xfId="0" applyFont="1" applyBorder="1"/>
    <xf numFmtId="0" fontId="42" fillId="7" borderId="87" xfId="0" applyFont="1" applyFill="1" applyBorder="1"/>
    <xf numFmtId="0" fontId="42" fillId="7" borderId="93" xfId="0" applyFont="1" applyFill="1" applyBorder="1"/>
    <xf numFmtId="0" fontId="15" fillId="4" borderId="69" xfId="0" applyNumberFormat="1" applyFont="1" applyFill="1" applyBorder="1" applyAlignment="1" applyProtection="1">
      <alignment vertical="center" wrapText="1"/>
    </xf>
    <xf numFmtId="0" fontId="15" fillId="4" borderId="42" xfId="0" applyNumberFormat="1" applyFont="1" applyFill="1" applyBorder="1" applyAlignment="1" applyProtection="1">
      <alignment horizontal="center" vertical="center" wrapText="1"/>
    </xf>
    <xf numFmtId="0" fontId="15" fillId="4" borderId="42" xfId="0" applyNumberFormat="1" applyFont="1" applyFill="1" applyBorder="1" applyAlignment="1" applyProtection="1">
      <alignment vertical="center" wrapText="1"/>
    </xf>
    <xf numFmtId="14" fontId="15" fillId="7" borderId="42" xfId="0" applyNumberFormat="1" applyFont="1" applyFill="1" applyBorder="1" applyAlignment="1" applyProtection="1">
      <alignment horizontal="left" vertical="center" wrapText="1"/>
    </xf>
    <xf numFmtId="0" fontId="15" fillId="4" borderId="94" xfId="0" applyNumberFormat="1" applyFont="1" applyFill="1" applyBorder="1" applyAlignment="1" applyProtection="1">
      <alignment vertical="center" wrapText="1"/>
    </xf>
    <xf numFmtId="0" fontId="15" fillId="4" borderId="95" xfId="0" applyNumberFormat="1" applyFont="1" applyFill="1" applyBorder="1" applyAlignment="1" applyProtection="1">
      <alignment vertical="center" wrapText="1"/>
    </xf>
    <xf numFmtId="0" fontId="15" fillId="4" borderId="96" xfId="0" applyNumberFormat="1" applyFont="1" applyFill="1" applyBorder="1" applyAlignment="1" applyProtection="1">
      <alignment horizontal="center" vertical="center" wrapText="1"/>
    </xf>
    <xf numFmtId="0" fontId="15" fillId="4" borderId="96" xfId="0" applyNumberFormat="1" applyFont="1" applyFill="1" applyBorder="1" applyAlignment="1" applyProtection="1">
      <alignment vertical="center" wrapText="1"/>
    </xf>
    <xf numFmtId="0" fontId="45" fillId="0" borderId="96" xfId="0" applyNumberFormat="1" applyFont="1" applyFill="1" applyBorder="1" applyAlignment="1" applyProtection="1">
      <alignment horizontal="left" vertical="center" wrapText="1"/>
    </xf>
    <xf numFmtId="14" fontId="15" fillId="7" borderId="96" xfId="0" applyNumberFormat="1" applyFont="1" applyFill="1" applyBorder="1" applyAlignment="1" applyProtection="1">
      <alignment horizontal="left" vertical="center" wrapText="1"/>
    </xf>
    <xf numFmtId="0" fontId="15" fillId="4" borderId="97" xfId="0" applyNumberFormat="1" applyFont="1" applyFill="1" applyBorder="1" applyAlignment="1" applyProtection="1">
      <alignment vertical="center" wrapText="1"/>
    </xf>
    <xf numFmtId="0" fontId="8" fillId="42" borderId="99" xfId="4" applyNumberFormat="1" applyFont="1" applyFill="1" applyBorder="1" applyAlignment="1">
      <alignment vertical="top" wrapText="1"/>
    </xf>
    <xf numFmtId="0" fontId="8" fillId="42" borderId="100" xfId="4" applyNumberFormat="1" applyFont="1" applyFill="1" applyBorder="1" applyAlignment="1">
      <alignment vertical="top" wrapText="1"/>
    </xf>
    <xf numFmtId="0" fontId="8" fillId="42" borderId="101" xfId="4" applyNumberFormat="1" applyFont="1" applyFill="1" applyBorder="1" applyAlignment="1">
      <alignment vertical="top" wrapText="1"/>
    </xf>
    <xf numFmtId="0" fontId="8" fillId="7" borderId="101" xfId="4" applyNumberFormat="1" applyFont="1" applyFill="1" applyBorder="1" applyAlignment="1">
      <alignment vertical="top" wrapText="1"/>
    </xf>
    <xf numFmtId="0" fontId="8" fillId="5" borderId="101" xfId="4" applyNumberFormat="1" applyFont="1" applyFill="1" applyBorder="1" applyAlignment="1">
      <alignment vertical="top" wrapText="1"/>
    </xf>
    <xf numFmtId="0" fontId="8" fillId="7" borderId="98" xfId="4" applyNumberFormat="1" applyFont="1" applyFill="1" applyBorder="1" applyAlignment="1">
      <alignment horizontal="left" vertical="top" wrapText="1"/>
    </xf>
    <xf numFmtId="178" fontId="8" fillId="0" borderId="1" xfId="28" applyNumberFormat="1" applyFont="1" applyFill="1" applyBorder="1" applyAlignment="1">
      <alignment horizontal="center" vertical="top"/>
    </xf>
    <xf numFmtId="179" fontId="8" fillId="0" borderId="1" xfId="28" applyNumberFormat="1" applyFont="1" applyFill="1" applyBorder="1" applyAlignment="1">
      <alignment horizontal="center" vertical="top"/>
    </xf>
    <xf numFmtId="180" fontId="8" fillId="0" borderId="1" xfId="28" applyNumberFormat="1" applyFont="1" applyFill="1" applyBorder="1" applyAlignment="1">
      <alignment horizontal="center" vertical="top"/>
    </xf>
    <xf numFmtId="0" fontId="16" fillId="8" borderId="1" xfId="0" applyFont="1" applyFill="1" applyBorder="1" applyAlignment="1">
      <alignment horizontal="center"/>
    </xf>
    <xf numFmtId="49" fontId="16" fillId="8" borderId="1" xfId="0" applyNumberFormat="1" applyFont="1" applyFill="1" applyBorder="1" applyAlignment="1">
      <alignment horizontal="center"/>
    </xf>
    <xf numFmtId="0" fontId="30" fillId="5" borderId="1" xfId="0" applyFont="1" applyFill="1" applyBorder="1" applyAlignment="1">
      <alignment horizontal="center"/>
    </xf>
    <xf numFmtId="177" fontId="16" fillId="5" borderId="1" xfId="0" applyNumberFormat="1" applyFont="1" applyFill="1" applyBorder="1" applyAlignment="1">
      <alignment horizontal="center"/>
    </xf>
    <xf numFmtId="0" fontId="45" fillId="0" borderId="8" xfId="0" applyNumberFormat="1" applyFont="1" applyFill="1" applyBorder="1" applyAlignment="1" applyProtection="1">
      <alignment horizontal="center" vertical="center" wrapText="1"/>
    </xf>
    <xf numFmtId="49" fontId="45" fillId="0" borderId="8" xfId="0" applyNumberFormat="1" applyFont="1" applyFill="1" applyBorder="1" applyAlignment="1" applyProtection="1">
      <alignment horizontal="center" vertical="center" wrapText="1"/>
    </xf>
    <xf numFmtId="0" fontId="0" fillId="0" borderId="8" xfId="0" applyBorder="1"/>
    <xf numFmtId="175" fontId="10" fillId="0" borderId="1" xfId="0" applyNumberFormat="1" applyFont="1" applyFill="1" applyBorder="1" applyAlignment="1" applyProtection="1">
      <alignment horizontal="left" vertical="top" wrapText="1" readingOrder="1"/>
      <protection locked="0"/>
    </xf>
    <xf numFmtId="173" fontId="10" fillId="0" borderId="1" xfId="0" applyNumberFormat="1" applyFont="1" applyFill="1" applyBorder="1" applyAlignment="1" applyProtection="1">
      <alignment horizontal="left" vertical="top" wrapText="1" readingOrder="1"/>
      <protection locked="0"/>
    </xf>
    <xf numFmtId="49" fontId="0" fillId="0" borderId="1" xfId="0" applyNumberFormat="1" applyFill="1" applyBorder="1" applyAlignment="1">
      <alignment horizontal="center"/>
    </xf>
    <xf numFmtId="181" fontId="0" fillId="0" borderId="1" xfId="0" applyNumberFormat="1" applyFill="1" applyBorder="1" applyAlignment="1">
      <alignment horizontal="center"/>
    </xf>
    <xf numFmtId="0" fontId="8" fillId="42" borderId="102" xfId="4" applyNumberFormat="1" applyFont="1" applyFill="1" applyBorder="1" applyAlignment="1">
      <alignment vertical="top" wrapText="1"/>
    </xf>
    <xf numFmtId="3" fontId="44" fillId="0" borderId="1" xfId="0" applyNumberFormat="1" applyFont="1" applyFill="1" applyBorder="1" applyAlignment="1" applyProtection="1">
      <alignment horizontal="center" vertical="center" wrapText="1"/>
    </xf>
    <xf numFmtId="0" fontId="15" fillId="0" borderId="108" xfId="0" applyNumberFormat="1" applyFont="1" applyFill="1" applyBorder="1" applyAlignment="1" applyProtection="1">
      <alignment horizontal="center" vertical="center" wrapText="1"/>
    </xf>
    <xf numFmtId="0" fontId="15" fillId="0" borderId="109" xfId="0" applyNumberFormat="1" applyFont="1" applyFill="1" applyBorder="1" applyAlignment="1" applyProtection="1">
      <alignment vertical="center" wrapText="1"/>
    </xf>
    <xf numFmtId="0" fontId="15" fillId="7" borderId="89" xfId="0" applyNumberFormat="1" applyFont="1" applyFill="1" applyBorder="1" applyAlignment="1" applyProtection="1">
      <alignment vertical="center" wrapText="1"/>
    </xf>
    <xf numFmtId="3" fontId="15" fillId="0" borderId="83" xfId="0" applyNumberFormat="1" applyFont="1" applyFill="1" applyBorder="1" applyAlignment="1" applyProtection="1">
      <alignment vertical="center" wrapText="1"/>
    </xf>
    <xf numFmtId="3" fontId="15" fillId="0" borderId="87" xfId="0" applyNumberFormat="1" applyFont="1" applyFill="1" applyBorder="1" applyAlignment="1" applyProtection="1">
      <alignment vertical="center" wrapText="1"/>
    </xf>
    <xf numFmtId="0" fontId="0" fillId="0" borderId="0" xfId="0" applyFill="1" applyAlignment="1"/>
    <xf numFmtId="0" fontId="0" fillId="0" borderId="31" xfId="0" applyFill="1" applyBorder="1" applyAlignment="1">
      <alignment horizontal="center"/>
    </xf>
    <xf numFmtId="0" fontId="0" fillId="0" borderId="5" xfId="0" applyFill="1" applyBorder="1" applyAlignment="1">
      <alignment horizontal="center" wrapText="1"/>
    </xf>
    <xf numFmtId="0" fontId="7" fillId="0" borderId="5" xfId="0" applyFont="1" applyFill="1" applyBorder="1" applyAlignment="1">
      <alignment horizontal="center" wrapText="1"/>
    </xf>
    <xf numFmtId="0" fontId="0" fillId="0" borderId="6" xfId="0" applyFill="1" applyBorder="1" applyAlignment="1">
      <alignment horizontal="center" wrapText="1"/>
    </xf>
    <xf numFmtId="0" fontId="7" fillId="0" borderId="4" xfId="0" applyFont="1" applyFill="1" applyBorder="1" applyAlignment="1">
      <alignment horizontal="center" wrapText="1"/>
    </xf>
    <xf numFmtId="0" fontId="8" fillId="0" borderId="1" xfId="0" applyFont="1" applyFill="1" applyBorder="1" applyAlignment="1">
      <alignment horizontal="center" vertical="distributed"/>
    </xf>
    <xf numFmtId="0" fontId="8" fillId="0" borderId="1" xfId="0" applyNumberFormat="1" applyFont="1" applyFill="1" applyBorder="1" applyAlignment="1">
      <alignment horizontal="center" vertical="top"/>
    </xf>
    <xf numFmtId="0" fontId="0" fillId="0" borderId="0" xfId="0" applyAlignment="1">
      <alignment horizontal="right"/>
    </xf>
    <xf numFmtId="0" fontId="13" fillId="7" borderId="42" xfId="0" applyFont="1" applyFill="1" applyBorder="1" applyAlignment="1">
      <alignment horizontal="right" vertical="center" wrapText="1"/>
    </xf>
    <xf numFmtId="0" fontId="0" fillId="0" borderId="0" xfId="0" applyFill="1" applyAlignment="1">
      <alignment horizontal="right"/>
    </xf>
    <xf numFmtId="0" fontId="7" fillId="0" borderId="0" xfId="0" applyFont="1" applyFill="1" applyAlignment="1">
      <alignment wrapText="1"/>
    </xf>
    <xf numFmtId="0" fontId="65" fillId="0" borderId="1" xfId="0" applyFont="1" applyFill="1" applyBorder="1" applyAlignment="1">
      <alignment horizontal="center"/>
    </xf>
    <xf numFmtId="0" fontId="63" fillId="0" borderId="0" xfId="0" applyFont="1"/>
    <xf numFmtId="0" fontId="63" fillId="0" borderId="0" xfId="0" applyFont="1" applyFill="1"/>
    <xf numFmtId="0" fontId="13" fillId="0" borderId="42" xfId="0" applyFont="1" applyFill="1" applyBorder="1" applyAlignment="1">
      <alignment horizontal="right" vertical="center" wrapText="1"/>
    </xf>
    <xf numFmtId="1" fontId="66" fillId="0" borderId="98" xfId="0" applyNumberFormat="1" applyFont="1" applyFill="1" applyBorder="1" applyAlignment="1">
      <alignment horizontal="left" vertical="top" wrapText="1"/>
    </xf>
    <xf numFmtId="0" fontId="0" fillId="0" borderId="1" xfId="0" applyFill="1" applyBorder="1" applyAlignment="1">
      <alignment horizontal="left"/>
    </xf>
    <xf numFmtId="1" fontId="8" fillId="0" borderId="98" xfId="0" applyNumberFormat="1" applyFont="1" applyFill="1" applyBorder="1" applyAlignment="1">
      <alignment horizontal="center" vertical="center" wrapText="1"/>
    </xf>
    <xf numFmtId="3" fontId="8" fillId="0" borderId="98" xfId="0" applyNumberFormat="1" applyFont="1" applyFill="1" applyBorder="1" applyAlignment="1">
      <alignment horizontal="center" vertical="center"/>
    </xf>
    <xf numFmtId="1" fontId="8" fillId="0" borderId="98" xfId="0" applyNumberFormat="1" applyFont="1" applyFill="1" applyBorder="1" applyAlignment="1">
      <alignment horizontal="center" vertical="center"/>
    </xf>
    <xf numFmtId="2" fontId="8" fillId="0" borderId="98" xfId="0" applyNumberFormat="1" applyFont="1" applyFill="1" applyBorder="1" applyAlignment="1">
      <alignment horizontal="center" vertical="center" wrapText="1"/>
    </xf>
    <xf numFmtId="0" fontId="8" fillId="0" borderId="99" xfId="4" applyNumberFormat="1" applyFont="1" applyFill="1" applyBorder="1" applyAlignment="1">
      <alignment vertical="top" wrapText="1"/>
    </xf>
    <xf numFmtId="1" fontId="15" fillId="0" borderId="98" xfId="0" applyNumberFormat="1" applyFont="1" applyFill="1" applyBorder="1" applyAlignment="1">
      <alignment horizontal="center" vertical="top" wrapText="1"/>
    </xf>
    <xf numFmtId="166" fontId="8" fillId="0" borderId="1" xfId="0" applyNumberFormat="1" applyFont="1" applyFill="1" applyBorder="1"/>
    <xf numFmtId="14" fontId="44" fillId="0" borderId="1" xfId="0" applyNumberFormat="1" applyFont="1" applyFill="1" applyBorder="1" applyAlignment="1" applyProtection="1">
      <alignment horizontal="center" vertical="center" wrapText="1"/>
    </xf>
    <xf numFmtId="181" fontId="64" fillId="0" borderId="1" xfId="0" applyNumberFormat="1" applyFont="1" applyFill="1" applyBorder="1" applyAlignment="1">
      <alignment horizontal="center"/>
    </xf>
    <xf numFmtId="0" fontId="64" fillId="0" borderId="1" xfId="0" applyFont="1" applyFill="1" applyBorder="1" applyAlignment="1">
      <alignment horizontal="left"/>
    </xf>
    <xf numFmtId="3" fontId="0" fillId="0" borderId="1" xfId="0" applyNumberFormat="1" applyFill="1" applyBorder="1" applyAlignment="1">
      <alignment horizontal="center"/>
    </xf>
    <xf numFmtId="0" fontId="0" fillId="0" borderId="0" xfId="0" applyFont="1" applyFill="1" applyAlignment="1">
      <alignment horizontal="left"/>
    </xf>
    <xf numFmtId="0" fontId="8" fillId="0" borderId="0" xfId="0" applyFont="1" applyFill="1"/>
    <xf numFmtId="0" fontId="14" fillId="0" borderId="0" xfId="0" applyFont="1" applyAlignment="1">
      <alignment horizontal="center"/>
    </xf>
    <xf numFmtId="0" fontId="14" fillId="0" borderId="0" xfId="0" applyFont="1"/>
    <xf numFmtId="0" fontId="44" fillId="0" borderId="0" xfId="0" applyFont="1" applyAlignment="1">
      <alignment horizontal="center" vertical="center"/>
    </xf>
    <xf numFmtId="0" fontId="44" fillId="0" borderId="1" xfId="0" applyFont="1" applyFill="1" applyBorder="1" applyAlignment="1">
      <alignment horizontal="center" vertical="center"/>
    </xf>
    <xf numFmtId="14" fontId="13" fillId="0" borderId="117" xfId="0" applyNumberFormat="1" applyFont="1" applyFill="1" applyBorder="1" applyAlignment="1" applyProtection="1">
      <alignment horizontal="center" vertical="center"/>
    </xf>
    <xf numFmtId="0" fontId="28" fillId="0" borderId="40" xfId="0" applyNumberFormat="1" applyFont="1" applyFill="1" applyBorder="1" applyAlignment="1">
      <alignment horizontal="center" vertical="center"/>
    </xf>
    <xf numFmtId="1" fontId="15" fillId="0" borderId="98" xfId="0" applyNumberFormat="1" applyFont="1" applyFill="1" applyBorder="1" applyAlignment="1">
      <alignment horizontal="left" vertical="top" wrapText="1"/>
    </xf>
    <xf numFmtId="0" fontId="15" fillId="0" borderId="98" xfId="0" applyNumberFormat="1" applyFont="1" applyFill="1" applyBorder="1" applyAlignment="1">
      <alignment horizontal="center" vertical="top" wrapText="1"/>
    </xf>
    <xf numFmtId="3" fontId="15" fillId="0" borderId="98" xfId="0" applyNumberFormat="1" applyFont="1" applyFill="1" applyBorder="1" applyAlignment="1">
      <alignment horizontal="right" vertical="top"/>
    </xf>
    <xf numFmtId="0" fontId="15" fillId="0" borderId="98" xfId="0" applyNumberFormat="1" applyFont="1" applyFill="1" applyBorder="1" applyAlignment="1">
      <alignment horizontal="left" vertical="top" wrapText="1"/>
    </xf>
    <xf numFmtId="0" fontId="44" fillId="0" borderId="0" xfId="0" applyFont="1" applyFill="1" applyAlignment="1">
      <alignment horizontal="center" vertical="center"/>
    </xf>
    <xf numFmtId="181" fontId="44" fillId="0" borderId="1" xfId="0" applyNumberFormat="1" applyFont="1" applyFill="1" applyBorder="1" applyAlignment="1">
      <alignment horizontal="center" vertical="center"/>
    </xf>
    <xf numFmtId="0" fontId="45" fillId="0" borderId="1" xfId="0" applyFont="1" applyFill="1" applyBorder="1" applyAlignment="1">
      <alignment horizontal="center" vertical="center"/>
    </xf>
    <xf numFmtId="3" fontId="44" fillId="0" borderId="1" xfId="0" applyNumberFormat="1" applyFont="1" applyFill="1" applyBorder="1" applyAlignment="1">
      <alignment horizontal="center" vertical="center"/>
    </xf>
    <xf numFmtId="0" fontId="7" fillId="39" borderId="0" xfId="5" applyFill="1"/>
    <xf numFmtId="1" fontId="39" fillId="0" borderId="1" xfId="0" applyNumberFormat="1" applyFont="1" applyBorder="1" applyAlignment="1">
      <alignment horizontal="center" vertical="center"/>
    </xf>
    <xf numFmtId="1" fontId="15" fillId="0" borderId="98" xfId="0" applyNumberFormat="1" applyFont="1" applyFill="1" applyBorder="1" applyAlignment="1">
      <alignment horizontal="left" vertical="top" wrapText="1" indent="2"/>
    </xf>
    <xf numFmtId="0" fontId="68" fillId="0" borderId="118" xfId="0" applyNumberFormat="1" applyFont="1" applyFill="1" applyBorder="1" applyAlignment="1">
      <alignment horizontal="left" vertical="top" wrapText="1"/>
    </xf>
    <xf numFmtId="0" fontId="68" fillId="0" borderId="104" xfId="0" applyNumberFormat="1" applyFont="1" applyFill="1" applyBorder="1" applyAlignment="1">
      <alignment horizontal="center" vertical="top" wrapText="1"/>
    </xf>
    <xf numFmtId="1" fontId="68" fillId="0" borderId="98" xfId="0" applyNumberFormat="1" applyFont="1" applyFill="1" applyBorder="1" applyAlignment="1">
      <alignment horizontal="center" vertical="top" wrapText="1"/>
    </xf>
    <xf numFmtId="1" fontId="68" fillId="0" borderId="98" xfId="0" applyNumberFormat="1" applyFont="1" applyFill="1" applyBorder="1" applyAlignment="1">
      <alignment horizontal="left" vertical="top" wrapText="1"/>
    </xf>
    <xf numFmtId="1" fontId="68" fillId="0" borderId="98" xfId="0" applyNumberFormat="1" applyFont="1" applyFill="1" applyBorder="1" applyAlignment="1">
      <alignment horizontal="left" vertical="top" wrapText="1" indent="2"/>
    </xf>
    <xf numFmtId="0" fontId="68" fillId="0" borderId="98" xfId="0" applyNumberFormat="1" applyFont="1" applyFill="1" applyBorder="1" applyAlignment="1">
      <alignment horizontal="left" vertical="top" wrapText="1"/>
    </xf>
    <xf numFmtId="0" fontId="68" fillId="0" borderId="98" xfId="0" applyNumberFormat="1" applyFont="1" applyFill="1" applyBorder="1" applyAlignment="1">
      <alignment horizontal="center" vertical="top" wrapText="1"/>
    </xf>
    <xf numFmtId="3" fontId="68" fillId="0" borderId="98" xfId="0" applyNumberFormat="1" applyFont="1" applyFill="1" applyBorder="1" applyAlignment="1">
      <alignment horizontal="right" vertical="top"/>
    </xf>
    <xf numFmtId="0" fontId="44" fillId="0" borderId="1" xfId="0" applyFont="1" applyFill="1" applyBorder="1" applyAlignment="1">
      <alignment horizontal="left"/>
    </xf>
    <xf numFmtId="49" fontId="39" fillId="0" borderId="116" xfId="0" applyNumberFormat="1" applyFont="1" applyFill="1" applyBorder="1" applyAlignment="1" applyProtection="1">
      <alignment horizontal="center" vertical="center"/>
      <protection locked="0"/>
    </xf>
    <xf numFmtId="0" fontId="37" fillId="0" borderId="8" xfId="1" applyNumberFormat="1" applyFont="1" applyFill="1" applyBorder="1" applyAlignment="1" applyProtection="1">
      <alignment horizontal="center" vertical="center"/>
      <protection locked="0"/>
    </xf>
    <xf numFmtId="0" fontId="37" fillId="0" borderId="115" xfId="1" applyNumberFormat="1" applyFont="1" applyFill="1" applyBorder="1" applyAlignment="1" applyProtection="1">
      <alignment horizontal="center" vertical="center"/>
      <protection locked="0"/>
    </xf>
    <xf numFmtId="1" fontId="39" fillId="0" borderId="8" xfId="0" applyNumberFormat="1" applyFont="1" applyBorder="1" applyAlignment="1">
      <alignment horizontal="center" vertical="center"/>
    </xf>
    <xf numFmtId="1" fontId="39" fillId="0" borderId="82" xfId="0" applyNumberFormat="1" applyFont="1" applyBorder="1" applyAlignment="1">
      <alignment horizontal="center" vertical="center"/>
    </xf>
    <xf numFmtId="167" fontId="69" fillId="0" borderId="1" xfId="0" applyNumberFormat="1" applyFont="1" applyBorder="1" applyAlignment="1">
      <alignment horizontal="center" vertical="center"/>
    </xf>
    <xf numFmtId="0" fontId="69" fillId="0" borderId="0" xfId="0" applyFont="1"/>
    <xf numFmtId="0" fontId="37" fillId="0" borderId="1" xfId="1" applyNumberFormat="1" applyFont="1" applyFill="1" applyBorder="1" applyAlignment="1" applyProtection="1">
      <alignment horizontal="center" vertical="center"/>
      <protection locked="0"/>
    </xf>
    <xf numFmtId="49" fontId="39" fillId="0" borderId="1" xfId="0" applyNumberFormat="1" applyFont="1" applyFill="1" applyBorder="1" applyAlignment="1" applyProtection="1">
      <alignment horizontal="center" vertical="center"/>
      <protection locked="0"/>
    </xf>
    <xf numFmtId="1" fontId="39" fillId="0" borderId="19" xfId="0" applyNumberFormat="1" applyFont="1" applyBorder="1" applyAlignment="1">
      <alignment horizontal="center" vertical="center"/>
    </xf>
    <xf numFmtId="0" fontId="39" fillId="0" borderId="103" xfId="0" applyNumberFormat="1" applyFont="1" applyFill="1" applyBorder="1" applyAlignment="1">
      <alignment horizontal="center" vertical="center"/>
    </xf>
    <xf numFmtId="0" fontId="8" fillId="0" borderId="0" xfId="0" applyFont="1" applyFill="1" applyAlignment="1">
      <alignment horizontal="center"/>
    </xf>
    <xf numFmtId="0" fontId="61" fillId="0" borderId="1" xfId="0" applyFont="1" applyFill="1" applyBorder="1"/>
    <xf numFmtId="0" fontId="8" fillId="0" borderId="1" xfId="76" applyFont="1" applyFill="1" applyBorder="1" applyAlignment="1">
      <alignment horizontal="center"/>
    </xf>
    <xf numFmtId="14" fontId="8" fillId="0" borderId="1" xfId="28" applyNumberFormat="1" applyFont="1" applyFill="1" applyBorder="1" applyAlignment="1">
      <alignment horizontal="center" vertical="distributed"/>
    </xf>
    <xf numFmtId="0" fontId="73" fillId="0" borderId="1" xfId="0" applyFont="1" applyFill="1" applyBorder="1"/>
    <xf numFmtId="0" fontId="29" fillId="0" borderId="1" xfId="0" applyNumberFormat="1" applyFont="1" applyFill="1" applyBorder="1" applyAlignment="1">
      <alignment horizontal="left" vertical="center" wrapText="1"/>
    </xf>
    <xf numFmtId="3" fontId="29" fillId="0" borderId="1" xfId="0" applyNumberFormat="1" applyFont="1" applyFill="1" applyBorder="1" applyAlignment="1">
      <alignment horizontal="right" vertical="center"/>
    </xf>
    <xf numFmtId="0" fontId="0" fillId="6" borderId="0" xfId="0" applyFont="1" applyFill="1" applyBorder="1"/>
    <xf numFmtId="0" fontId="0" fillId="0" borderId="1" xfId="0" applyNumberFormat="1" applyFont="1" applyFill="1" applyBorder="1" applyAlignment="1">
      <alignment horizontal="center" vertical="top"/>
    </xf>
    <xf numFmtId="0" fontId="0" fillId="0" borderId="0" xfId="0" applyFont="1" applyFill="1" applyBorder="1"/>
    <xf numFmtId="1" fontId="74" fillId="0" borderId="98" xfId="0" applyNumberFormat="1" applyFont="1" applyBorder="1" applyAlignment="1">
      <alignment horizontal="left" vertical="top" wrapText="1" indent="2"/>
    </xf>
    <xf numFmtId="1" fontId="74" fillId="0" borderId="98" xfId="0" applyNumberFormat="1" applyFont="1" applyBorder="1" applyAlignment="1">
      <alignment horizontal="center" vertical="top" wrapText="1"/>
    </xf>
    <xf numFmtId="1" fontId="74" fillId="0" borderId="98" xfId="0" applyNumberFormat="1" applyFont="1" applyBorder="1" applyAlignment="1">
      <alignment horizontal="left" vertical="top" wrapText="1"/>
    </xf>
    <xf numFmtId="3" fontId="74" fillId="0" borderId="98" xfId="0" applyNumberFormat="1" applyFont="1" applyBorder="1" applyAlignment="1">
      <alignment horizontal="right" vertical="top"/>
    </xf>
    <xf numFmtId="0" fontId="74" fillId="0" borderId="98" xfId="0" applyNumberFormat="1" applyFont="1" applyBorder="1" applyAlignment="1">
      <alignment horizontal="left" vertical="top" wrapText="1"/>
    </xf>
    <xf numFmtId="0" fontId="74" fillId="0" borderId="98" xfId="0" applyNumberFormat="1" applyFont="1" applyBorder="1" applyAlignment="1">
      <alignment horizontal="center" vertical="top" wrapText="1"/>
    </xf>
    <xf numFmtId="0" fontId="69" fillId="0" borderId="0" xfId="0" applyFont="1" applyFill="1"/>
    <xf numFmtId="0" fontId="0" fillId="0" borderId="0" xfId="0" applyFill="1" applyAlignment="1">
      <alignment horizontal="left"/>
    </xf>
    <xf numFmtId="0" fontId="8" fillId="0" borderId="0" xfId="0" applyFont="1" applyFill="1" applyAlignment="1">
      <alignment horizontal="right"/>
    </xf>
    <xf numFmtId="2" fontId="8" fillId="0" borderId="0" xfId="0" applyNumberFormat="1" applyFont="1" applyFill="1" applyBorder="1" applyAlignment="1">
      <alignment horizontal="center"/>
    </xf>
    <xf numFmtId="1" fontId="75" fillId="15" borderId="98" xfId="0" applyNumberFormat="1" applyFont="1" applyFill="1" applyBorder="1" applyAlignment="1">
      <alignment horizontal="right" vertical="top" wrapText="1"/>
    </xf>
    <xf numFmtId="0" fontId="75" fillId="15" borderId="98" xfId="0" applyNumberFormat="1" applyFont="1" applyFill="1" applyBorder="1" applyAlignment="1">
      <alignment horizontal="left" vertical="top" wrapText="1"/>
    </xf>
    <xf numFmtId="0" fontId="75" fillId="15" borderId="98" xfId="0" applyNumberFormat="1" applyFont="1" applyFill="1" applyBorder="1" applyAlignment="1">
      <alignment horizontal="center" vertical="top" wrapText="1"/>
    </xf>
    <xf numFmtId="3" fontId="75" fillId="15" borderId="98" xfId="0" applyNumberFormat="1" applyFont="1" applyFill="1" applyBorder="1" applyAlignment="1">
      <alignment horizontal="right" vertical="top"/>
    </xf>
    <xf numFmtId="0" fontId="0" fillId="15" borderId="0" xfId="0" applyFill="1"/>
    <xf numFmtId="14" fontId="15" fillId="0" borderId="110" xfId="0" applyNumberFormat="1" applyFont="1" applyFill="1" applyBorder="1" applyAlignment="1">
      <alignment horizontal="left" vertical="top" wrapText="1"/>
    </xf>
    <xf numFmtId="1" fontId="75" fillId="0" borderId="110" xfId="0" applyNumberFormat="1" applyFont="1" applyFill="1" applyBorder="1" applyAlignment="1">
      <alignment horizontal="center" vertical="top" wrapText="1"/>
    </xf>
    <xf numFmtId="1" fontId="75" fillId="0" borderId="110" xfId="0" applyNumberFormat="1" applyFont="1" applyFill="1" applyBorder="1" applyAlignment="1">
      <alignment horizontal="right" vertical="top"/>
    </xf>
    <xf numFmtId="0" fontId="15" fillId="5" borderId="98" xfId="0" applyNumberFormat="1" applyFont="1" applyFill="1" applyBorder="1" applyAlignment="1">
      <alignment horizontal="right" vertical="top" wrapText="1"/>
    </xf>
    <xf numFmtId="166" fontId="15" fillId="5" borderId="98" xfId="0" applyNumberFormat="1" applyFont="1" applyFill="1" applyBorder="1" applyAlignment="1">
      <alignment horizontal="right" vertical="top" wrapText="1"/>
    </xf>
    <xf numFmtId="0" fontId="0" fillId="44" borderId="0" xfId="0" applyFont="1" applyFill="1" applyBorder="1"/>
    <xf numFmtId="3" fontId="8" fillId="0" borderId="1" xfId="0" applyNumberFormat="1" applyFont="1" applyFill="1" applyBorder="1" applyAlignment="1">
      <alignment horizontal="center" vertical="distributed"/>
    </xf>
    <xf numFmtId="1" fontId="76" fillId="0" borderId="1" xfId="0" applyNumberFormat="1" applyFont="1" applyFill="1" applyBorder="1" applyAlignment="1">
      <alignment horizontal="center" vertical="top" wrapText="1"/>
    </xf>
    <xf numFmtId="0" fontId="14" fillId="0" borderId="1" xfId="0" applyFont="1" applyFill="1" applyBorder="1"/>
    <xf numFmtId="1" fontId="14" fillId="0" borderId="111" xfId="0" applyNumberFormat="1" applyFont="1" applyFill="1" applyBorder="1" applyAlignment="1">
      <alignment horizontal="center" vertical="center" wrapText="1"/>
    </xf>
    <xf numFmtId="0" fontId="8" fillId="0" borderId="98" xfId="0" applyNumberFormat="1" applyFont="1" applyFill="1" applyBorder="1" applyAlignment="1">
      <alignment horizontal="center" vertical="center" wrapText="1"/>
    </xf>
    <xf numFmtId="1" fontId="75" fillId="0" borderId="111" xfId="0" applyNumberFormat="1" applyFont="1" applyFill="1" applyBorder="1" applyAlignment="1">
      <alignment horizontal="center" vertical="top" wrapText="1"/>
    </xf>
    <xf numFmtId="0" fontId="75" fillId="0" borderId="110" xfId="0" applyFont="1" applyFill="1" applyBorder="1" applyAlignment="1">
      <alignment horizontal="left" vertical="top" wrapText="1"/>
    </xf>
    <xf numFmtId="0" fontId="8" fillId="42" borderId="98" xfId="4" applyNumberFormat="1" applyFont="1" applyFill="1" applyBorder="1" applyAlignment="1">
      <alignment horizontal="left" vertical="top" wrapText="1"/>
    </xf>
    <xf numFmtId="167" fontId="63" fillId="0" borderId="0" xfId="0" applyNumberFormat="1" applyFont="1" applyBorder="1" applyAlignment="1">
      <alignment horizontal="right"/>
    </xf>
    <xf numFmtId="2" fontId="63" fillId="0" borderId="0" xfId="0" applyNumberFormat="1" applyFont="1" applyBorder="1"/>
    <xf numFmtId="1" fontId="15" fillId="0" borderId="98" xfId="0" applyNumberFormat="1" applyFont="1" applyFill="1" applyBorder="1" applyAlignment="1">
      <alignment horizontal="left" vertical="top" wrapText="1" indent="6"/>
    </xf>
    <xf numFmtId="0" fontId="8" fillId="0" borderId="101" xfId="4" applyNumberFormat="1" applyFont="1" applyFill="1" applyBorder="1" applyAlignment="1">
      <alignment vertical="top" wrapText="1"/>
    </xf>
    <xf numFmtId="1" fontId="15" fillId="0" borderId="98" xfId="0" applyNumberFormat="1" applyFont="1" applyFill="1" applyBorder="1" applyAlignment="1">
      <alignment horizontal="right" vertical="top"/>
    </xf>
    <xf numFmtId="2" fontId="15" fillId="0" borderId="98" xfId="0" applyNumberFormat="1" applyFont="1" applyFill="1" applyBorder="1" applyAlignment="1">
      <alignment horizontal="right" vertical="top" wrapText="1"/>
    </xf>
    <xf numFmtId="0" fontId="15" fillId="0" borderId="98" xfId="0" applyNumberFormat="1" applyFont="1" applyFill="1" applyBorder="1" applyAlignment="1">
      <alignment horizontal="right" vertical="top" wrapText="1"/>
    </xf>
    <xf numFmtId="0" fontId="7" fillId="5" borderId="12" xfId="0" applyFont="1" applyFill="1" applyBorder="1" applyAlignment="1"/>
    <xf numFmtId="0" fontId="7" fillId="5" borderId="16" xfId="0" applyFont="1" applyFill="1" applyBorder="1" applyAlignment="1"/>
    <xf numFmtId="0" fontId="8" fillId="42" borderId="104" xfId="4" applyNumberFormat="1" applyFont="1" applyFill="1" applyBorder="1" applyAlignment="1">
      <alignment vertical="top" wrapText="1"/>
    </xf>
    <xf numFmtId="0" fontId="8" fillId="42" borderId="107" xfId="4" applyNumberFormat="1" applyFont="1" applyFill="1" applyBorder="1" applyAlignment="1">
      <alignment vertical="top" wrapText="1"/>
    </xf>
    <xf numFmtId="0" fontId="8" fillId="42" borderId="105" xfId="4" applyNumberFormat="1" applyFont="1" applyFill="1" applyBorder="1" applyAlignment="1">
      <alignment vertical="top" wrapText="1"/>
    </xf>
    <xf numFmtId="0" fontId="8" fillId="42" borderId="126" xfId="4" applyNumberFormat="1" applyFont="1" applyFill="1" applyBorder="1" applyAlignment="1">
      <alignment vertical="top" wrapText="1"/>
    </xf>
    <xf numFmtId="0" fontId="8" fillId="42" borderId="127" xfId="4" applyNumberFormat="1" applyFont="1" applyFill="1" applyBorder="1" applyAlignment="1">
      <alignment vertical="top" wrapText="1"/>
    </xf>
    <xf numFmtId="0" fontId="8" fillId="42" borderId="128" xfId="4" applyNumberFormat="1" applyFont="1" applyFill="1" applyBorder="1" applyAlignment="1">
      <alignment vertical="top" wrapText="1"/>
    </xf>
    <xf numFmtId="0" fontId="8" fillId="7" borderId="104" xfId="4" applyNumberFormat="1" applyFont="1" applyFill="1" applyBorder="1" applyAlignment="1">
      <alignment vertical="top" wrapText="1"/>
    </xf>
    <xf numFmtId="0" fontId="8" fillId="7" borderId="105" xfId="4" applyNumberFormat="1" applyFont="1" applyFill="1" applyBorder="1" applyAlignment="1">
      <alignment vertical="top" wrapText="1"/>
    </xf>
    <xf numFmtId="0" fontId="8" fillId="42" borderId="106" xfId="4" applyNumberFormat="1" applyFont="1" applyFill="1" applyBorder="1" applyAlignment="1">
      <alignment vertical="top" wrapText="1"/>
    </xf>
    <xf numFmtId="0" fontId="8" fillId="5" borderId="106" xfId="4" applyNumberFormat="1" applyFont="1" applyFill="1" applyBorder="1" applyAlignment="1">
      <alignment vertical="top" wrapText="1"/>
    </xf>
    <xf numFmtId="1" fontId="75" fillId="0" borderId="112" xfId="0" applyNumberFormat="1" applyFont="1" applyFill="1" applyBorder="1" applyAlignment="1">
      <alignment vertical="top" wrapText="1"/>
    </xf>
    <xf numFmtId="1" fontId="75" fillId="0" borderId="114" xfId="0" applyNumberFormat="1" applyFont="1" applyFill="1" applyBorder="1" applyAlignment="1">
      <alignment vertical="top" wrapText="1"/>
    </xf>
    <xf numFmtId="0" fontId="75" fillId="0" borderId="114" xfId="0" applyFont="1" applyFill="1" applyBorder="1" applyAlignment="1">
      <alignment vertical="top" wrapText="1"/>
    </xf>
    <xf numFmtId="1" fontId="14" fillId="0" borderId="111" xfId="0" applyNumberFormat="1" applyFont="1" applyFill="1" applyBorder="1" applyAlignment="1">
      <alignment vertical="center" wrapText="1"/>
    </xf>
    <xf numFmtId="1" fontId="14" fillId="0" borderId="112" xfId="0" applyNumberFormat="1" applyFont="1" applyFill="1" applyBorder="1" applyAlignment="1">
      <alignment vertical="center" wrapText="1"/>
    </xf>
    <xf numFmtId="1" fontId="14" fillId="0" borderId="113" xfId="0" applyNumberFormat="1" applyFont="1" applyFill="1" applyBorder="1" applyAlignment="1">
      <alignment vertical="center" wrapText="1"/>
    </xf>
    <xf numFmtId="0" fontId="8" fillId="0" borderId="104" xfId="0" applyNumberFormat="1" applyFont="1" applyFill="1" applyBorder="1" applyAlignment="1">
      <alignment vertical="center" wrapText="1"/>
    </xf>
    <xf numFmtId="0" fontId="8" fillId="0" borderId="105" xfId="0" applyNumberFormat="1" applyFont="1" applyFill="1" applyBorder="1" applyAlignment="1">
      <alignment vertical="center" wrapText="1"/>
    </xf>
    <xf numFmtId="22" fontId="77" fillId="43" borderId="1" xfId="77" applyNumberFormat="1" applyFont="1" applyFill="1" applyBorder="1" applyAlignment="1">
      <alignment horizontal="left" vertical="top" wrapText="1"/>
    </xf>
    <xf numFmtId="1" fontId="77" fillId="43" borderId="1" xfId="77" applyNumberFormat="1" applyFont="1" applyFill="1" applyBorder="1" applyAlignment="1">
      <alignment horizontal="left" vertical="top" wrapText="1"/>
    </xf>
    <xf numFmtId="0" fontId="77" fillId="43" borderId="1" xfId="77" applyNumberFormat="1" applyFont="1" applyFill="1" applyBorder="1" applyAlignment="1">
      <alignment horizontal="left" vertical="top" wrapText="1"/>
    </xf>
    <xf numFmtId="3" fontId="77" fillId="43" borderId="1" xfId="77" applyNumberFormat="1" applyFont="1" applyFill="1" applyBorder="1" applyAlignment="1">
      <alignment horizontal="right" vertical="top"/>
    </xf>
    <xf numFmtId="2" fontId="77" fillId="43" borderId="1" xfId="77" applyNumberFormat="1" applyFont="1" applyFill="1" applyBorder="1" applyAlignment="1">
      <alignment horizontal="right" vertical="top"/>
    </xf>
    <xf numFmtId="1" fontId="78" fillId="0" borderId="123" xfId="0" applyNumberFormat="1" applyFont="1" applyFill="1" applyBorder="1" applyAlignment="1">
      <alignment horizontal="center" vertical="top" wrapText="1"/>
    </xf>
    <xf numFmtId="1" fontId="78" fillId="0" borderId="124" xfId="0" applyNumberFormat="1" applyFont="1" applyFill="1" applyBorder="1" applyAlignment="1">
      <alignment vertical="top" wrapText="1"/>
    </xf>
    <xf numFmtId="1" fontId="78" fillId="0" borderId="125" xfId="0" applyNumberFormat="1" applyFont="1" applyFill="1" applyBorder="1" applyAlignment="1">
      <alignment vertical="top" wrapText="1"/>
    </xf>
    <xf numFmtId="22" fontId="78" fillId="43" borderId="1" xfId="77" applyNumberFormat="1" applyFont="1" applyFill="1" applyBorder="1" applyAlignment="1">
      <alignment horizontal="left" vertical="top" wrapText="1"/>
    </xf>
    <xf numFmtId="0" fontId="78" fillId="0" borderId="125" xfId="0" applyFont="1" applyFill="1" applyBorder="1" applyAlignment="1">
      <alignment vertical="top" wrapText="1"/>
    </xf>
    <xf numFmtId="1" fontId="78" fillId="43" borderId="1" xfId="77" applyNumberFormat="1" applyFont="1" applyFill="1" applyBorder="1" applyAlignment="1">
      <alignment horizontal="left" vertical="top" wrapText="1"/>
    </xf>
    <xf numFmtId="0" fontId="78" fillId="43" borderId="1" xfId="77" applyNumberFormat="1" applyFont="1" applyFill="1" applyBorder="1" applyAlignment="1">
      <alignment horizontal="left" vertical="top" wrapText="1"/>
    </xf>
    <xf numFmtId="0" fontId="78" fillId="0" borderId="110" xfId="0" applyFont="1" applyFill="1" applyBorder="1" applyAlignment="1">
      <alignment horizontal="left" vertical="top" wrapText="1"/>
    </xf>
    <xf numFmtId="0" fontId="63" fillId="0" borderId="99" xfId="4" applyNumberFormat="1" applyFont="1" applyFill="1" applyBorder="1" applyAlignment="1">
      <alignment vertical="top" wrapText="1"/>
    </xf>
    <xf numFmtId="1" fontId="78" fillId="0" borderId="110" xfId="0" applyNumberFormat="1" applyFont="1" applyFill="1" applyBorder="1" applyAlignment="1">
      <alignment horizontal="center" vertical="top" wrapText="1"/>
    </xf>
    <xf numFmtId="0" fontId="79" fillId="0" borderId="1" xfId="0" applyFont="1" applyBorder="1" applyAlignment="1">
      <alignment horizontal="center"/>
    </xf>
    <xf numFmtId="0" fontId="63" fillId="0" borderId="1" xfId="0" applyFont="1" applyBorder="1" applyAlignment="1">
      <alignment horizontal="center"/>
    </xf>
    <xf numFmtId="3" fontId="63" fillId="0" borderId="110" xfId="0" applyNumberFormat="1" applyFont="1" applyFill="1" applyBorder="1" applyAlignment="1">
      <alignment horizontal="center" vertical="top"/>
    </xf>
    <xf numFmtId="3" fontId="78" fillId="43" borderId="1" xfId="77" applyNumberFormat="1" applyFont="1" applyFill="1" applyBorder="1" applyAlignment="1">
      <alignment horizontal="right" vertical="top"/>
    </xf>
    <xf numFmtId="1" fontId="78" fillId="0" borderId="110" xfId="0" applyNumberFormat="1" applyFont="1" applyFill="1" applyBorder="1" applyAlignment="1">
      <alignment horizontal="right" vertical="top"/>
    </xf>
    <xf numFmtId="2" fontId="78" fillId="43" borderId="1" xfId="77" applyNumberFormat="1" applyFont="1" applyFill="1" applyBorder="1" applyAlignment="1">
      <alignment horizontal="right" vertical="top"/>
    </xf>
    <xf numFmtId="0" fontId="63" fillId="0" borderId="110" xfId="0" applyFont="1" applyFill="1" applyBorder="1" applyAlignment="1">
      <alignment horizontal="center" vertical="top" wrapText="1"/>
    </xf>
    <xf numFmtId="2" fontId="63" fillId="0" borderId="110" xfId="0" applyNumberFormat="1" applyFont="1" applyFill="1" applyBorder="1" applyAlignment="1">
      <alignment horizontal="center" vertical="top" wrapText="1"/>
    </xf>
    <xf numFmtId="0" fontId="80" fillId="0" borderId="0" xfId="0" applyFont="1" applyFill="1" applyAlignment="1">
      <alignment horizontal="center"/>
    </xf>
    <xf numFmtId="0" fontId="63" fillId="46" borderId="110" xfId="0" applyFont="1" applyFill="1" applyBorder="1" applyAlignment="1">
      <alignment horizontal="left" vertical="top" wrapText="1"/>
    </xf>
    <xf numFmtId="0" fontId="63" fillId="46" borderId="110" xfId="0" applyFont="1" applyFill="1" applyBorder="1" applyAlignment="1">
      <alignment horizontal="right" vertical="top" wrapText="1"/>
    </xf>
    <xf numFmtId="0" fontId="80" fillId="46" borderId="0" xfId="0" applyFont="1" applyFill="1"/>
    <xf numFmtId="0" fontId="80" fillId="46" borderId="0" xfId="0" applyFont="1" applyFill="1" applyAlignment="1">
      <alignment horizontal="center"/>
    </xf>
    <xf numFmtId="1" fontId="78" fillId="0" borderId="111" xfId="0" applyNumberFormat="1" applyFont="1" applyFill="1" applyBorder="1" applyAlignment="1">
      <alignment horizontal="center" vertical="top" wrapText="1"/>
    </xf>
    <xf numFmtId="1" fontId="78" fillId="0" borderId="112" xfId="0" applyNumberFormat="1" applyFont="1" applyFill="1" applyBorder="1" applyAlignment="1">
      <alignment vertical="top" wrapText="1"/>
    </xf>
    <xf numFmtId="1" fontId="78" fillId="0" borderId="114" xfId="0" applyNumberFormat="1" applyFont="1" applyFill="1" applyBorder="1" applyAlignment="1">
      <alignment vertical="top" wrapText="1"/>
    </xf>
    <xf numFmtId="0" fontId="78" fillId="0" borderId="114" xfId="0" applyFont="1" applyFill="1" applyBorder="1" applyAlignment="1">
      <alignment vertical="top" wrapText="1"/>
    </xf>
    <xf numFmtId="0" fontId="63" fillId="47" borderId="110" xfId="0" applyFont="1" applyFill="1" applyBorder="1" applyAlignment="1">
      <alignment horizontal="left" vertical="top" wrapText="1"/>
    </xf>
    <xf numFmtId="0" fontId="63" fillId="47" borderId="110" xfId="0" applyFont="1" applyFill="1" applyBorder="1" applyAlignment="1">
      <alignment horizontal="right" vertical="top" wrapText="1"/>
    </xf>
    <xf numFmtId="0" fontId="80" fillId="47" borderId="0" xfId="0" applyFont="1" applyFill="1"/>
    <xf numFmtId="0" fontId="80" fillId="47" borderId="0" xfId="0" applyFont="1" applyFill="1" applyAlignment="1">
      <alignment horizontal="center"/>
    </xf>
    <xf numFmtId="1" fontId="81" fillId="0" borderId="111" xfId="0" applyNumberFormat="1" applyFont="1" applyFill="1" applyBorder="1" applyAlignment="1">
      <alignment horizontal="center" vertical="center" wrapText="1"/>
    </xf>
    <xf numFmtId="1" fontId="81" fillId="0" borderId="112" xfId="0" applyNumberFormat="1" applyFont="1" applyFill="1" applyBorder="1" applyAlignment="1">
      <alignment vertical="center" wrapText="1"/>
    </xf>
    <xf numFmtId="1" fontId="81" fillId="0" borderId="113" xfId="0" applyNumberFormat="1" applyFont="1" applyFill="1" applyBorder="1" applyAlignment="1">
      <alignment vertical="center" wrapText="1"/>
    </xf>
    <xf numFmtId="14" fontId="78" fillId="0" borderId="1" xfId="0" applyNumberFormat="1" applyFont="1" applyBorder="1" applyAlignment="1">
      <alignment horizontal="left" vertical="top" wrapText="1"/>
    </xf>
    <xf numFmtId="0" fontId="63" fillId="0" borderId="105" xfId="0" applyNumberFormat="1" applyFont="1" applyFill="1" applyBorder="1" applyAlignment="1">
      <alignment vertical="center" wrapText="1"/>
    </xf>
    <xf numFmtId="1" fontId="78" fillId="0" borderId="1" xfId="0" applyNumberFormat="1" applyFont="1" applyBorder="1" applyAlignment="1">
      <alignment horizontal="left" vertical="top" wrapText="1"/>
    </xf>
    <xf numFmtId="0" fontId="78" fillId="0" borderId="1" xfId="0" applyFont="1" applyBorder="1" applyAlignment="1">
      <alignment horizontal="left" vertical="top" wrapText="1"/>
    </xf>
    <xf numFmtId="0" fontId="63" fillId="0" borderId="98" xfId="0" applyNumberFormat="1" applyFont="1" applyFill="1" applyBorder="1" applyAlignment="1">
      <alignment horizontal="center" vertical="center" wrapText="1"/>
    </xf>
    <xf numFmtId="1" fontId="63" fillId="0" borderId="98" xfId="0" applyNumberFormat="1" applyFont="1" applyFill="1" applyBorder="1" applyAlignment="1">
      <alignment horizontal="center" vertical="center" wrapText="1"/>
    </xf>
    <xf numFmtId="3" fontId="63" fillId="0" borderId="98" xfId="0" applyNumberFormat="1" applyFont="1" applyFill="1" applyBorder="1" applyAlignment="1">
      <alignment horizontal="center" vertical="center"/>
    </xf>
    <xf numFmtId="3" fontId="78" fillId="0" borderId="1" xfId="0" applyNumberFormat="1" applyFont="1" applyBorder="1" applyAlignment="1">
      <alignment horizontal="right" vertical="top"/>
    </xf>
    <xf numFmtId="1" fontId="63" fillId="0" borderId="98" xfId="0" applyNumberFormat="1" applyFont="1" applyFill="1" applyBorder="1" applyAlignment="1">
      <alignment horizontal="center" vertical="center"/>
    </xf>
    <xf numFmtId="2" fontId="78" fillId="0" borderId="1" xfId="0" applyNumberFormat="1" applyFont="1" applyBorder="1" applyAlignment="1">
      <alignment horizontal="right" vertical="top"/>
    </xf>
    <xf numFmtId="2" fontId="63" fillId="0" borderId="98" xfId="0" applyNumberFormat="1" applyFont="1" applyFill="1" applyBorder="1" applyAlignment="1">
      <alignment horizontal="center" vertical="center" wrapText="1"/>
    </xf>
    <xf numFmtId="169" fontId="78" fillId="0" borderId="1" xfId="0" applyNumberFormat="1" applyFont="1" applyBorder="1" applyAlignment="1">
      <alignment horizontal="left" vertical="top" wrapText="1"/>
    </xf>
    <xf numFmtId="0" fontId="28" fillId="0" borderId="1" xfId="0" applyNumberFormat="1" applyFont="1" applyFill="1" applyBorder="1" applyAlignment="1">
      <alignment horizontal="left" vertical="center" wrapText="1"/>
    </xf>
    <xf numFmtId="14" fontId="77" fillId="0" borderId="1" xfId="78" applyNumberFormat="1" applyFont="1" applyFill="1" applyBorder="1" applyAlignment="1">
      <alignment horizontal="left" vertical="top" wrapText="1"/>
    </xf>
    <xf numFmtId="0" fontId="77" fillId="0" borderId="1" xfId="78" applyNumberFormat="1" applyFont="1" applyFill="1" applyBorder="1" applyAlignment="1">
      <alignment horizontal="left" vertical="top" wrapText="1"/>
    </xf>
    <xf numFmtId="1" fontId="77" fillId="0" borderId="1" xfId="78" applyNumberFormat="1" applyFont="1" applyFill="1" applyBorder="1" applyAlignment="1">
      <alignment horizontal="left" vertical="top" wrapText="1"/>
    </xf>
    <xf numFmtId="2" fontId="77" fillId="0" borderId="1" xfId="78" applyNumberFormat="1" applyFont="1" applyFill="1" applyBorder="1" applyAlignment="1">
      <alignment horizontal="right" vertical="top"/>
    </xf>
    <xf numFmtId="0" fontId="29" fillId="0" borderId="0" xfId="0" applyFont="1" applyFill="1" applyAlignment="1">
      <alignment horizontal="center"/>
    </xf>
    <xf numFmtId="3" fontId="77" fillId="0" borderId="1" xfId="78" applyNumberFormat="1" applyFont="1" applyFill="1" applyBorder="1" applyAlignment="1">
      <alignment horizontal="right" vertical="top"/>
    </xf>
    <xf numFmtId="0" fontId="82" fillId="0" borderId="1" xfId="78" applyNumberFormat="1" applyFont="1" applyBorder="1" applyAlignment="1">
      <alignment horizontal="left" vertical="top" wrapText="1"/>
    </xf>
    <xf numFmtId="14" fontId="82" fillId="0" borderId="1" xfId="78" applyNumberFormat="1" applyFont="1" applyBorder="1" applyAlignment="1">
      <alignment horizontal="left" vertical="top" wrapText="1"/>
    </xf>
    <xf numFmtId="3" fontId="82" fillId="0" borderId="1" xfId="78" applyNumberFormat="1" applyFont="1" applyBorder="1" applyAlignment="1">
      <alignment horizontal="right" vertical="top"/>
    </xf>
    <xf numFmtId="2" fontId="82" fillId="0" borderId="1" xfId="78" applyNumberFormat="1" applyFont="1" applyBorder="1" applyAlignment="1">
      <alignment horizontal="right" vertical="top"/>
    </xf>
    <xf numFmtId="1" fontId="82" fillId="0" borderId="1" xfId="78" applyNumberFormat="1" applyFont="1" applyBorder="1" applyAlignment="1">
      <alignment horizontal="left" vertical="top" wrapText="1"/>
    </xf>
    <xf numFmtId="0" fontId="82" fillId="0" borderId="1" xfId="78" applyNumberFormat="1" applyFont="1" applyFill="1" applyBorder="1" applyAlignment="1">
      <alignment horizontal="left" vertical="top" wrapText="1"/>
    </xf>
    <xf numFmtId="0" fontId="83" fillId="0" borderId="1" xfId="78" applyNumberFormat="1" applyFont="1" applyFill="1" applyBorder="1" applyAlignment="1">
      <alignment horizontal="left" vertical="top" wrapText="1"/>
    </xf>
    <xf numFmtId="167" fontId="31" fillId="48" borderId="39" xfId="0" applyNumberFormat="1" applyFont="1" applyFill="1" applyBorder="1" applyAlignment="1">
      <alignment horizontal="center" vertical="center"/>
    </xf>
    <xf numFmtId="0" fontId="31" fillId="48" borderId="0" xfId="0" applyFont="1" applyFill="1" applyBorder="1"/>
    <xf numFmtId="0" fontId="31" fillId="48" borderId="37" xfId="0" applyFont="1" applyFill="1" applyBorder="1"/>
    <xf numFmtId="0" fontId="29" fillId="48" borderId="0" xfId="0" applyFont="1" applyFill="1"/>
    <xf numFmtId="0" fontId="76" fillId="0" borderId="129" xfId="0" applyFont="1" applyFill="1" applyBorder="1" applyAlignment="1">
      <alignment horizontal="left" vertical="top" wrapText="1"/>
    </xf>
    <xf numFmtId="0" fontId="8" fillId="0" borderId="1" xfId="0" applyFont="1" applyFill="1" applyBorder="1" applyAlignment="1"/>
    <xf numFmtId="0" fontId="84" fillId="0" borderId="129" xfId="0" applyFont="1" applyFill="1" applyBorder="1" applyAlignment="1">
      <alignment horizontal="right" vertical="top"/>
    </xf>
    <xf numFmtId="49" fontId="45" fillId="0" borderId="1" xfId="0" applyNumberFormat="1" applyFont="1" applyFill="1" applyBorder="1" applyAlignment="1">
      <alignment horizontal="center" vertical="center"/>
    </xf>
    <xf numFmtId="1" fontId="45" fillId="0" borderId="1" xfId="0" applyNumberFormat="1" applyFont="1" applyFill="1" applyBorder="1" applyAlignment="1">
      <alignment horizontal="center" vertical="center"/>
    </xf>
    <xf numFmtId="184" fontId="45" fillId="0" borderId="8" xfId="0" applyNumberFormat="1" applyFont="1" applyFill="1" applyBorder="1" applyAlignment="1">
      <alignment horizontal="center" vertical="center"/>
    </xf>
    <xf numFmtId="0" fontId="44" fillId="0" borderId="8" xfId="0" applyFont="1" applyFill="1" applyBorder="1" applyAlignment="1">
      <alignment horizontal="center" vertical="center"/>
    </xf>
    <xf numFmtId="49" fontId="0" fillId="0" borderId="0" xfId="0" applyNumberFormat="1" applyFill="1" applyAlignment="1">
      <alignment horizontal="center"/>
    </xf>
    <xf numFmtId="14" fontId="85" fillId="0" borderId="129" xfId="0" applyNumberFormat="1" applyFont="1" applyFill="1" applyBorder="1" applyAlignment="1">
      <alignment horizontal="left" vertical="top" wrapText="1"/>
    </xf>
    <xf numFmtId="0" fontId="85" fillId="0" borderId="129" xfId="0" applyFont="1" applyFill="1" applyBorder="1" applyAlignment="1">
      <alignment horizontal="left" vertical="top" wrapText="1"/>
    </xf>
    <xf numFmtId="1" fontId="85" fillId="0" borderId="129" xfId="0" applyNumberFormat="1" applyFont="1" applyFill="1" applyBorder="1" applyAlignment="1">
      <alignment horizontal="left" vertical="top" wrapText="1"/>
    </xf>
    <xf numFmtId="2" fontId="85" fillId="0" borderId="129" xfId="0" applyNumberFormat="1" applyFont="1" applyFill="1" applyBorder="1" applyAlignment="1">
      <alignment horizontal="right" vertical="top"/>
    </xf>
    <xf numFmtId="169" fontId="85" fillId="0" borderId="129" xfId="0" applyNumberFormat="1" applyFont="1" applyFill="1" applyBorder="1" applyAlignment="1">
      <alignment horizontal="left" vertical="top" wrapText="1"/>
    </xf>
    <xf numFmtId="0" fontId="14" fillId="0" borderId="0" xfId="0" applyFont="1" applyFill="1"/>
    <xf numFmtId="167" fontId="86" fillId="0" borderId="0" xfId="0" applyNumberFormat="1" applyFont="1" applyFill="1" applyAlignment="1">
      <alignment horizontal="center"/>
    </xf>
    <xf numFmtId="0" fontId="86" fillId="0" borderId="0" xfId="0" applyFont="1" applyFill="1" applyAlignment="1">
      <alignment horizontal="center"/>
    </xf>
    <xf numFmtId="167" fontId="39" fillId="0" borderId="10" xfId="79" applyNumberFormat="1" applyFont="1" applyFill="1" applyBorder="1" applyAlignment="1" applyProtection="1">
      <alignment horizontal="center" vertical="center"/>
      <protection locked="0"/>
    </xf>
    <xf numFmtId="14" fontId="37" fillId="0" borderId="1" xfId="0" applyNumberFormat="1" applyFont="1" applyFill="1" applyBorder="1" applyAlignment="1" applyProtection="1">
      <alignment horizontal="center" vertical="center"/>
      <protection locked="0"/>
    </xf>
    <xf numFmtId="2" fontId="76" fillId="0" borderId="129" xfId="0" applyNumberFormat="1" applyFont="1" applyFill="1" applyBorder="1" applyAlignment="1">
      <alignment horizontal="right" vertical="top"/>
    </xf>
    <xf numFmtId="1" fontId="76" fillId="0" borderId="129" xfId="0" applyNumberFormat="1" applyFont="1" applyFill="1" applyBorder="1" applyAlignment="1">
      <alignment horizontal="left" vertical="top" wrapText="1"/>
    </xf>
    <xf numFmtId="14" fontId="76" fillId="0" borderId="129" xfId="0" applyNumberFormat="1" applyFont="1" applyFill="1" applyBorder="1" applyAlignment="1">
      <alignment horizontal="left" vertical="top" wrapText="1"/>
    </xf>
    <xf numFmtId="167" fontId="39" fillId="0" borderId="1" xfId="0" applyNumberFormat="1" applyFont="1" applyFill="1" applyBorder="1" applyAlignment="1" applyProtection="1">
      <alignment horizontal="center" vertical="center"/>
      <protection locked="0"/>
    </xf>
    <xf numFmtId="14" fontId="37" fillId="5" borderId="1" xfId="0" applyNumberFormat="1" applyFont="1" applyFill="1" applyBorder="1" applyAlignment="1" applyProtection="1">
      <alignment horizontal="center" vertical="center"/>
      <protection locked="0"/>
    </xf>
    <xf numFmtId="0" fontId="37" fillId="5" borderId="1" xfId="1" applyNumberFormat="1" applyFont="1" applyFill="1" applyBorder="1" applyAlignment="1" applyProtection="1">
      <alignment horizontal="center" vertical="center"/>
      <protection locked="0"/>
    </xf>
    <xf numFmtId="49" fontId="39" fillId="5" borderId="1" xfId="0" applyNumberFormat="1" applyFont="1" applyFill="1" applyBorder="1" applyAlignment="1" applyProtection="1">
      <alignment horizontal="center" vertical="center"/>
      <protection locked="0"/>
    </xf>
    <xf numFmtId="166" fontId="37" fillId="0" borderId="1" xfId="0" applyNumberFormat="1" applyFont="1" applyFill="1" applyBorder="1" applyAlignment="1" applyProtection="1">
      <alignment horizontal="center" vertical="center"/>
      <protection hidden="1"/>
    </xf>
    <xf numFmtId="0" fontId="89" fillId="45" borderId="129" xfId="0" applyFont="1" applyFill="1" applyBorder="1" applyAlignment="1">
      <alignment horizontal="left" vertical="top" wrapText="1"/>
    </xf>
    <xf numFmtId="14" fontId="89" fillId="45" borderId="129" xfId="0" applyNumberFormat="1" applyFont="1" applyFill="1" applyBorder="1" applyAlignment="1">
      <alignment horizontal="left" vertical="top" wrapText="1"/>
    </xf>
    <xf numFmtId="1" fontId="89" fillId="45" borderId="129" xfId="0" applyNumberFormat="1" applyFont="1" applyFill="1" applyBorder="1" applyAlignment="1">
      <alignment horizontal="left" vertical="top" wrapText="1"/>
    </xf>
    <xf numFmtId="2" fontId="89" fillId="45" borderId="129" xfId="0" applyNumberFormat="1" applyFont="1" applyFill="1" applyBorder="1" applyAlignment="1">
      <alignment horizontal="right" vertical="top"/>
    </xf>
    <xf numFmtId="2" fontId="37" fillId="0" borderId="1" xfId="0" applyNumberFormat="1" applyFont="1" applyFill="1" applyBorder="1" applyAlignment="1" applyProtection="1">
      <alignment horizontal="center" vertical="center"/>
      <protection hidden="1"/>
    </xf>
    <xf numFmtId="182" fontId="39" fillId="0" borderId="103" xfId="74" applyNumberFormat="1" applyFont="1" applyFill="1" applyBorder="1" applyAlignment="1">
      <alignment horizontal="right" vertical="center"/>
    </xf>
    <xf numFmtId="182" fontId="39" fillId="0" borderId="119" xfId="74" applyNumberFormat="1" applyFont="1" applyFill="1" applyBorder="1" applyAlignment="1">
      <alignment horizontal="right" vertical="center"/>
    </xf>
    <xf numFmtId="182" fontId="37" fillId="0" borderId="120" xfId="74" applyNumberFormat="1" applyFont="1" applyFill="1" applyBorder="1" applyAlignment="1" applyProtection="1">
      <alignment horizontal="right" vertical="center"/>
    </xf>
    <xf numFmtId="182" fontId="69" fillId="0" borderId="121" xfId="74" applyNumberFormat="1" applyFont="1" applyFill="1" applyBorder="1" applyAlignment="1">
      <alignment horizontal="right" vertical="center" wrapText="1"/>
    </xf>
    <xf numFmtId="1" fontId="39" fillId="0" borderId="122" xfId="0" applyNumberFormat="1" applyFont="1" applyFill="1" applyBorder="1" applyAlignment="1">
      <alignment horizontal="center" vertical="center"/>
    </xf>
    <xf numFmtId="1" fontId="39" fillId="0" borderId="8" xfId="0" applyNumberFormat="1" applyFont="1" applyFill="1" applyBorder="1" applyAlignment="1">
      <alignment horizontal="center" vertical="center"/>
    </xf>
    <xf numFmtId="1" fontId="39" fillId="0" borderId="19" xfId="0" applyNumberFormat="1" applyFont="1" applyFill="1" applyBorder="1" applyAlignment="1">
      <alignment horizontal="center" vertical="center"/>
    </xf>
    <xf numFmtId="1" fontId="39" fillId="0" borderId="1" xfId="0" applyNumberFormat="1" applyFont="1" applyFill="1" applyBorder="1" applyAlignment="1">
      <alignment horizontal="center" vertical="center"/>
    </xf>
    <xf numFmtId="166" fontId="37" fillId="52" borderId="1" xfId="0" applyNumberFormat="1" applyFont="1" applyFill="1" applyBorder="1" applyAlignment="1" applyProtection="1">
      <alignment horizontal="center" vertical="center"/>
      <protection hidden="1"/>
    </xf>
    <xf numFmtId="0" fontId="7" fillId="0" borderId="0" xfId="5" applyFill="1" applyAlignment="1">
      <alignment horizontal="center"/>
    </xf>
    <xf numFmtId="14" fontId="89" fillId="0" borderId="129" xfId="0" applyNumberFormat="1" applyFont="1" applyFill="1" applyBorder="1" applyAlignment="1">
      <alignment horizontal="left" vertical="top" wrapText="1"/>
    </xf>
    <xf numFmtId="0" fontId="89" fillId="0" borderId="129" xfId="0" applyFont="1" applyFill="1" applyBorder="1" applyAlignment="1">
      <alignment horizontal="left" vertical="top" wrapText="1"/>
    </xf>
    <xf numFmtId="1" fontId="89" fillId="0" borderId="129" xfId="0" applyNumberFormat="1" applyFont="1" applyFill="1" applyBorder="1" applyAlignment="1">
      <alignment horizontal="left" vertical="top" wrapText="1"/>
    </xf>
    <xf numFmtId="2" fontId="89" fillId="0" borderId="129" xfId="0" applyNumberFormat="1" applyFont="1" applyFill="1" applyBorder="1" applyAlignment="1">
      <alignment horizontal="right" vertical="top"/>
    </xf>
    <xf numFmtId="167" fontId="39" fillId="51" borderId="1" xfId="0" applyNumberFormat="1" applyFont="1" applyFill="1" applyBorder="1" applyAlignment="1" applyProtection="1">
      <alignment horizontal="center" vertical="center"/>
      <protection locked="0"/>
    </xf>
    <xf numFmtId="167" fontId="39" fillId="5" borderId="1" xfId="0" applyNumberFormat="1" applyFont="1" applyFill="1" applyBorder="1" applyAlignment="1" applyProtection="1">
      <alignment horizontal="center" vertical="center"/>
      <protection locked="0"/>
    </xf>
    <xf numFmtId="0" fontId="37" fillId="51" borderId="1" xfId="1" applyNumberFormat="1" applyFont="1" applyFill="1" applyBorder="1" applyAlignment="1" applyProtection="1">
      <alignment horizontal="center" vertical="center"/>
      <protection locked="0"/>
    </xf>
    <xf numFmtId="1" fontId="76" fillId="45" borderId="129" xfId="0" applyNumberFormat="1" applyFont="1" applyFill="1" applyBorder="1" applyAlignment="1">
      <alignment horizontal="left" vertical="top" wrapText="1"/>
    </xf>
    <xf numFmtId="2" fontId="76" fillId="45" borderId="129" xfId="0" applyNumberFormat="1" applyFont="1" applyFill="1" applyBorder="1" applyAlignment="1">
      <alignment horizontal="right" vertical="top"/>
    </xf>
    <xf numFmtId="0" fontId="76" fillId="45" borderId="129" xfId="0" applyFont="1" applyFill="1" applyBorder="1" applyAlignment="1">
      <alignment horizontal="left" vertical="top" wrapText="1"/>
    </xf>
    <xf numFmtId="14" fontId="76" fillId="45" borderId="129" xfId="0" applyNumberFormat="1" applyFont="1" applyFill="1" applyBorder="1" applyAlignment="1">
      <alignment horizontal="left" vertical="top" wrapText="1"/>
    </xf>
    <xf numFmtId="185" fontId="76" fillId="45" borderId="129" xfId="0" applyNumberFormat="1" applyFont="1" applyFill="1" applyBorder="1" applyAlignment="1">
      <alignment horizontal="left" vertical="top" wrapText="1"/>
    </xf>
    <xf numFmtId="0" fontId="76" fillId="45" borderId="129" xfId="0" applyFont="1" applyFill="1" applyBorder="1" applyAlignment="1">
      <alignment horizontal="right" vertical="top"/>
    </xf>
    <xf numFmtId="14" fontId="91" fillId="0" borderId="129" xfId="0" applyNumberFormat="1" applyFont="1" applyFill="1" applyBorder="1" applyAlignment="1">
      <alignment horizontal="left" vertical="top" wrapText="1"/>
    </xf>
    <xf numFmtId="0" fontId="91" fillId="0" borderId="129" xfId="0" applyFont="1" applyFill="1" applyBorder="1" applyAlignment="1">
      <alignment horizontal="left" vertical="top" wrapText="1"/>
    </xf>
    <xf numFmtId="169" fontId="91" fillId="0" borderId="129" xfId="0" applyNumberFormat="1" applyFont="1" applyFill="1" applyBorder="1" applyAlignment="1">
      <alignment horizontal="left" vertical="top" wrapText="1"/>
    </xf>
    <xf numFmtId="3" fontId="91" fillId="0" borderId="129" xfId="0" applyNumberFormat="1" applyFont="1" applyFill="1" applyBorder="1" applyAlignment="1">
      <alignment horizontal="right" vertical="top"/>
    </xf>
    <xf numFmtId="2" fontId="91" fillId="0" borderId="129" xfId="0" applyNumberFormat="1" applyFont="1" applyFill="1" applyBorder="1" applyAlignment="1">
      <alignment horizontal="right" vertical="top"/>
    </xf>
    <xf numFmtId="14" fontId="0" fillId="49" borderId="1" xfId="0" applyNumberFormat="1" applyFill="1" applyBorder="1" applyAlignment="1">
      <alignment horizontal="center" vertical="center"/>
    </xf>
    <xf numFmtId="0" fontId="0" fillId="49" borderId="1" xfId="0" applyFill="1" applyBorder="1" applyAlignment="1">
      <alignment horizontal="center" vertical="center"/>
    </xf>
    <xf numFmtId="0" fontId="0" fillId="49" borderId="1" xfId="0" applyFill="1" applyBorder="1" applyAlignment="1">
      <alignment vertical="center"/>
    </xf>
    <xf numFmtId="167" fontId="0" fillId="49" borderId="1" xfId="0" applyNumberFormat="1" applyFill="1" applyBorder="1" applyAlignment="1">
      <alignment vertical="center"/>
    </xf>
    <xf numFmtId="14" fontId="0" fillId="0" borderId="1" xfId="0" applyNumberFormat="1" applyFill="1" applyBorder="1" applyAlignment="1">
      <alignment horizontal="center" vertical="center"/>
    </xf>
    <xf numFmtId="0" fontId="0" fillId="0" borderId="1" xfId="0" applyFill="1" applyBorder="1" applyAlignment="1">
      <alignment vertical="center"/>
    </xf>
    <xf numFmtId="0" fontId="0" fillId="0" borderId="1" xfId="0" applyFill="1" applyBorder="1" applyAlignment="1">
      <alignment horizontal="center" vertical="center"/>
    </xf>
    <xf numFmtId="3" fontId="0" fillId="0" borderId="1" xfId="0" applyNumberFormat="1" applyFill="1" applyBorder="1" applyAlignment="1">
      <alignment vertical="center"/>
    </xf>
    <xf numFmtId="167" fontId="0" fillId="0" borderId="1" xfId="0" applyNumberFormat="1" applyFill="1" applyBorder="1" applyAlignment="1">
      <alignment vertical="center"/>
    </xf>
    <xf numFmtId="22" fontId="0" fillId="0" borderId="0" xfId="0" applyNumberFormat="1" applyAlignment="1">
      <alignment horizontal="center"/>
    </xf>
    <xf numFmtId="0" fontId="92" fillId="0" borderId="1" xfId="0" applyFont="1" applyFill="1" applyBorder="1"/>
    <xf numFmtId="0" fontId="92" fillId="0" borderId="1" xfId="0" applyFont="1" applyFill="1" applyBorder="1" applyAlignment="1">
      <alignment horizontal="center"/>
    </xf>
    <xf numFmtId="0" fontId="93" fillId="0" borderId="1" xfId="0" applyNumberFormat="1" applyFont="1" applyFill="1" applyBorder="1" applyAlignment="1">
      <alignment horizontal="left" vertical="center" wrapText="1"/>
    </xf>
    <xf numFmtId="166" fontId="92" fillId="0" borderId="1" xfId="0" applyNumberFormat="1" applyFont="1" applyFill="1" applyBorder="1"/>
    <xf numFmtId="2" fontId="92" fillId="0" borderId="1" xfId="0" applyNumberFormat="1" applyFont="1" applyFill="1" applyBorder="1"/>
    <xf numFmtId="168" fontId="92" fillId="0" borderId="1" xfId="0" applyNumberFormat="1" applyFont="1" applyFill="1" applyBorder="1" applyAlignment="1">
      <alignment horizontal="center"/>
    </xf>
    <xf numFmtId="0" fontId="92" fillId="0" borderId="1" xfId="0" applyFont="1" applyFill="1" applyBorder="1" applyAlignment="1"/>
    <xf numFmtId="0" fontId="8" fillId="6" borderId="1" xfId="0" applyFont="1" applyFill="1" applyBorder="1"/>
    <xf numFmtId="0" fontId="8" fillId="6" borderId="1" xfId="0" applyFont="1" applyFill="1" applyBorder="1" applyAlignment="1">
      <alignment horizontal="center"/>
    </xf>
    <xf numFmtId="0" fontId="28" fillId="6" borderId="1" xfId="0" applyNumberFormat="1" applyFont="1" applyFill="1" applyBorder="1" applyAlignment="1">
      <alignment horizontal="left" vertical="center" wrapText="1"/>
    </xf>
    <xf numFmtId="166" fontId="8" fillId="6" borderId="1" xfId="0" applyNumberFormat="1" applyFont="1" applyFill="1" applyBorder="1"/>
    <xf numFmtId="0" fontId="7" fillId="6" borderId="1" xfId="0" applyFont="1" applyFill="1" applyBorder="1" applyAlignment="1">
      <alignment horizontal="center"/>
    </xf>
    <xf numFmtId="2" fontId="8" fillId="6" borderId="1" xfId="0" applyNumberFormat="1" applyFont="1" applyFill="1" applyBorder="1"/>
    <xf numFmtId="168" fontId="8" fillId="6" borderId="1" xfId="0" applyNumberFormat="1" applyFont="1" applyFill="1" applyBorder="1" applyAlignment="1">
      <alignment horizontal="center"/>
    </xf>
    <xf numFmtId="0" fontId="8" fillId="6" borderId="1" xfId="0" applyFont="1" applyFill="1" applyBorder="1" applyAlignment="1"/>
    <xf numFmtId="0" fontId="94" fillId="6" borderId="1" xfId="0" applyFont="1" applyFill="1" applyBorder="1"/>
    <xf numFmtId="0" fontId="94" fillId="6" borderId="1" xfId="0" applyFont="1" applyFill="1" applyBorder="1" applyAlignment="1">
      <alignment horizontal="center"/>
    </xf>
    <xf numFmtId="0" fontId="95" fillId="6" borderId="1" xfId="0" applyNumberFormat="1" applyFont="1" applyFill="1" applyBorder="1" applyAlignment="1">
      <alignment horizontal="left" vertical="center" wrapText="1"/>
    </xf>
    <xf numFmtId="166" fontId="94" fillId="6" borderId="1" xfId="0" applyNumberFormat="1" applyFont="1" applyFill="1" applyBorder="1"/>
    <xf numFmtId="2" fontId="94" fillId="6" borderId="1" xfId="0" applyNumberFormat="1" applyFont="1" applyFill="1" applyBorder="1"/>
    <xf numFmtId="168" fontId="94" fillId="6" borderId="1" xfId="0" applyNumberFormat="1" applyFont="1" applyFill="1" applyBorder="1" applyAlignment="1">
      <alignment horizontal="center"/>
    </xf>
    <xf numFmtId="0" fontId="94" fillId="6" borderId="1" xfId="0" applyFont="1" applyFill="1" applyBorder="1" applyAlignment="1"/>
    <xf numFmtId="0" fontId="94" fillId="0" borderId="1" xfId="0" applyFont="1" applyFill="1" applyBorder="1"/>
    <xf numFmtId="0" fontId="94" fillId="0" borderId="1" xfId="0" applyFont="1" applyFill="1" applyBorder="1" applyAlignment="1">
      <alignment horizontal="center"/>
    </xf>
    <xf numFmtId="0" fontId="95" fillId="0" borderId="1" xfId="0" applyNumberFormat="1" applyFont="1" applyFill="1" applyBorder="1" applyAlignment="1">
      <alignment horizontal="left" vertical="center" wrapText="1"/>
    </xf>
    <xf numFmtId="166" fontId="94" fillId="0" borderId="1" xfId="0" applyNumberFormat="1" applyFont="1" applyFill="1" applyBorder="1"/>
    <xf numFmtId="168" fontId="94" fillId="0" borderId="1" xfId="0" applyNumberFormat="1" applyFont="1" applyFill="1" applyBorder="1" applyAlignment="1">
      <alignment horizontal="center"/>
    </xf>
    <xf numFmtId="0" fontId="94" fillId="0" borderId="1" xfId="0" applyFont="1" applyFill="1" applyBorder="1" applyAlignment="1"/>
    <xf numFmtId="2" fontId="91" fillId="0" borderId="1" xfId="0" applyNumberFormat="1" applyFont="1" applyFill="1" applyBorder="1" applyAlignment="1">
      <alignment horizontal="right" vertical="top"/>
    </xf>
    <xf numFmtId="2" fontId="94" fillId="0" borderId="1" xfId="0" applyNumberFormat="1" applyFont="1" applyFill="1" applyBorder="1"/>
    <xf numFmtId="0" fontId="92" fillId="6" borderId="1" xfId="0" applyFont="1" applyFill="1" applyBorder="1"/>
    <xf numFmtId="0" fontId="92" fillId="6" borderId="1" xfId="0" applyFont="1" applyFill="1" applyBorder="1" applyAlignment="1">
      <alignment horizontal="center"/>
    </xf>
    <xf numFmtId="0" fontId="93" fillId="6" borderId="1" xfId="0" applyNumberFormat="1" applyFont="1" applyFill="1" applyBorder="1" applyAlignment="1">
      <alignment horizontal="left" vertical="center" wrapText="1"/>
    </xf>
    <xf numFmtId="166" fontId="92" fillId="6" borderId="1" xfId="0" applyNumberFormat="1" applyFont="1" applyFill="1" applyBorder="1"/>
    <xf numFmtId="2" fontId="92" fillId="6" borderId="1" xfId="0" applyNumberFormat="1" applyFont="1" applyFill="1" applyBorder="1"/>
    <xf numFmtId="168" fontId="92" fillId="6" borderId="1" xfId="0" applyNumberFormat="1" applyFont="1" applyFill="1" applyBorder="1" applyAlignment="1">
      <alignment horizontal="center"/>
    </xf>
    <xf numFmtId="0" fontId="44" fillId="0" borderId="59" xfId="0" applyFont="1" applyFill="1" applyBorder="1" applyAlignment="1">
      <alignment horizontal="center" vertical="center"/>
    </xf>
    <xf numFmtId="14" fontId="7" fillId="0" borderId="68" xfId="0" applyNumberFormat="1" applyFont="1" applyFill="1" applyBorder="1" applyAlignment="1">
      <alignment horizontal="center"/>
    </xf>
    <xf numFmtId="0" fontId="7" fillId="0" borderId="68" xfId="0" applyFont="1" applyFill="1" applyBorder="1" applyAlignment="1">
      <alignment horizontal="center"/>
    </xf>
    <xf numFmtId="0" fontId="15" fillId="4" borderId="59" xfId="0" applyNumberFormat="1" applyFont="1" applyFill="1" applyBorder="1" applyAlignment="1" applyProtection="1">
      <alignment vertical="center" wrapText="1"/>
    </xf>
    <xf numFmtId="0" fontId="15" fillId="4" borderId="59" xfId="0" applyNumberFormat="1" applyFont="1" applyFill="1" applyBorder="1" applyAlignment="1" applyProtection="1">
      <alignment horizontal="center" vertical="center" wrapText="1"/>
    </xf>
    <xf numFmtId="14" fontId="15" fillId="7" borderId="59" xfId="0" applyNumberFormat="1" applyFont="1" applyFill="1" applyBorder="1" applyAlignment="1" applyProtection="1">
      <alignment horizontal="left" vertical="center" wrapText="1"/>
    </xf>
    <xf numFmtId="49" fontId="15" fillId="7" borderId="59" xfId="0" applyNumberFormat="1" applyFont="1" applyFill="1" applyBorder="1" applyAlignment="1" applyProtection="1">
      <alignment horizontal="center" vertical="center" wrapText="1"/>
    </xf>
    <xf numFmtId="0" fontId="15" fillId="7" borderId="59" xfId="0" applyNumberFormat="1" applyFont="1" applyFill="1" applyBorder="1" applyAlignment="1" applyProtection="1">
      <alignment horizontal="center" vertical="center" wrapText="1"/>
    </xf>
    <xf numFmtId="3" fontId="15" fillId="0" borderId="59" xfId="0" applyNumberFormat="1" applyFont="1" applyFill="1" applyBorder="1" applyAlignment="1" applyProtection="1">
      <alignment vertical="center" wrapText="1"/>
    </xf>
    <xf numFmtId="0" fontId="15" fillId="0" borderId="59" xfId="0" applyNumberFormat="1" applyFont="1" applyFill="1" applyBorder="1" applyAlignment="1" applyProtection="1">
      <alignment horizontal="center" vertical="center" wrapText="1"/>
    </xf>
    <xf numFmtId="0" fontId="15" fillId="0" borderId="59" xfId="0" applyNumberFormat="1" applyFont="1" applyFill="1" applyBorder="1" applyAlignment="1" applyProtection="1">
      <alignment vertical="center" wrapText="1"/>
    </xf>
    <xf numFmtId="14" fontId="15" fillId="4" borderId="59" xfId="0" applyNumberFormat="1" applyFont="1" applyFill="1" applyBorder="1" applyAlignment="1" applyProtection="1">
      <alignment vertical="center" wrapText="1"/>
    </xf>
    <xf numFmtId="49" fontId="15" fillId="4" borderId="59" xfId="0" applyNumberFormat="1" applyFont="1" applyFill="1" applyBorder="1" applyAlignment="1" applyProtection="1">
      <alignment horizontal="center" vertical="center" wrapText="1"/>
    </xf>
    <xf numFmtId="0" fontId="15" fillId="7" borderId="59" xfId="0" applyNumberFormat="1" applyFont="1" applyFill="1" applyBorder="1" applyAlignment="1" applyProtection="1">
      <alignment vertical="center" wrapText="1"/>
    </xf>
    <xf numFmtId="0" fontId="0" fillId="0" borderId="0" xfId="0" applyBorder="1" applyAlignment="1">
      <alignment horizontal="left"/>
    </xf>
    <xf numFmtId="0" fontId="15" fillId="5" borderId="59" xfId="0" applyNumberFormat="1" applyFont="1" applyFill="1" applyBorder="1" applyAlignment="1" applyProtection="1">
      <alignment horizontal="left" vertical="center" wrapText="1"/>
    </xf>
    <xf numFmtId="14" fontId="0" fillId="0" borderId="0" xfId="0" applyNumberFormat="1" applyAlignment="1">
      <alignment horizontal="center"/>
    </xf>
    <xf numFmtId="0" fontId="8" fillId="0" borderId="0" xfId="0" applyFont="1"/>
    <xf numFmtId="2" fontId="76" fillId="0" borderId="1" xfId="0" applyNumberFormat="1" applyFont="1" applyFill="1" applyBorder="1" applyAlignment="1">
      <alignment horizontal="right" vertical="top"/>
    </xf>
    <xf numFmtId="0" fontId="96" fillId="0" borderId="1" xfId="0" applyFont="1" applyFill="1" applyBorder="1" applyAlignment="1">
      <alignment horizontal="center" vertical="center"/>
    </xf>
    <xf numFmtId="14" fontId="0" fillId="53" borderId="0" xfId="0" applyNumberFormat="1" applyFill="1" applyAlignment="1">
      <alignment horizontal="center"/>
    </xf>
    <xf numFmtId="0" fontId="0" fillId="53" borderId="0" xfId="0" applyFill="1" applyAlignment="1">
      <alignment horizontal="center"/>
    </xf>
    <xf numFmtId="0" fontId="0" fillId="53" borderId="0" xfId="0" applyFill="1"/>
    <xf numFmtId="0" fontId="0" fillId="45" borderId="0" xfId="0" applyFill="1"/>
    <xf numFmtId="0" fontId="0" fillId="53" borderId="1" xfId="0" applyFill="1" applyBorder="1" applyAlignment="1">
      <alignment horizontal="center"/>
    </xf>
    <xf numFmtId="0" fontId="0" fillId="6" borderId="1" xfId="0" applyFill="1" applyBorder="1" applyAlignment="1">
      <alignment horizontal="center"/>
    </xf>
    <xf numFmtId="0" fontId="8" fillId="9" borderId="1" xfId="0" applyFont="1" applyFill="1" applyBorder="1"/>
    <xf numFmtId="0" fontId="8" fillId="9" borderId="1" xfId="0" applyFont="1" applyFill="1" applyBorder="1" applyAlignment="1">
      <alignment horizontal="center"/>
    </xf>
    <xf numFmtId="0" fontId="28" fillId="9" borderId="1" xfId="0" applyNumberFormat="1" applyFont="1" applyFill="1" applyBorder="1" applyAlignment="1">
      <alignment horizontal="left" vertical="center" wrapText="1"/>
    </xf>
    <xf numFmtId="166" fontId="8" fillId="9" borderId="1" xfId="0" applyNumberFormat="1" applyFont="1" applyFill="1" applyBorder="1"/>
    <xf numFmtId="3" fontId="8" fillId="9" borderId="1" xfId="0" applyNumberFormat="1" applyFont="1" applyFill="1" applyBorder="1" applyAlignment="1">
      <alignment horizontal="center" vertical="center"/>
    </xf>
    <xf numFmtId="2" fontId="8" fillId="9" borderId="1" xfId="0" applyNumberFormat="1" applyFont="1" applyFill="1" applyBorder="1"/>
    <xf numFmtId="168" fontId="8" fillId="9" borderId="1" xfId="0" applyNumberFormat="1" applyFont="1" applyFill="1" applyBorder="1" applyAlignment="1">
      <alignment horizontal="center"/>
    </xf>
    <xf numFmtId="0" fontId="8" fillId="9" borderId="1" xfId="0" applyFont="1" applyFill="1" applyBorder="1" applyAlignment="1">
      <alignment horizontal="center" vertical="center"/>
    </xf>
    <xf numFmtId="0" fontId="0" fillId="9" borderId="1" xfId="0" applyFill="1" applyBorder="1" applyAlignment="1">
      <alignment horizontal="center"/>
    </xf>
    <xf numFmtId="0" fontId="8" fillId="7" borderId="1" xfId="0" applyFont="1" applyFill="1" applyBorder="1"/>
    <xf numFmtId="0" fontId="8" fillId="7" borderId="1" xfId="0" applyFont="1" applyFill="1" applyBorder="1" applyAlignment="1">
      <alignment horizontal="center"/>
    </xf>
    <xf numFmtId="0" fontId="28" fillId="7" borderId="1" xfId="0" applyNumberFormat="1" applyFont="1" applyFill="1" applyBorder="1" applyAlignment="1">
      <alignment horizontal="left" vertical="center" wrapText="1"/>
    </xf>
    <xf numFmtId="166" fontId="8" fillId="7" borderId="1" xfId="0" applyNumberFormat="1" applyFont="1" applyFill="1" applyBorder="1"/>
    <xf numFmtId="3" fontId="8" fillId="7" borderId="1" xfId="0" applyNumberFormat="1" applyFont="1" applyFill="1" applyBorder="1" applyAlignment="1">
      <alignment horizontal="center" vertical="center"/>
    </xf>
    <xf numFmtId="2" fontId="8" fillId="7" borderId="1" xfId="0" applyNumberFormat="1" applyFont="1" applyFill="1" applyBorder="1"/>
    <xf numFmtId="168" fontId="8" fillId="7" borderId="1" xfId="0" applyNumberFormat="1" applyFont="1" applyFill="1" applyBorder="1" applyAlignment="1">
      <alignment horizontal="center"/>
    </xf>
    <xf numFmtId="0" fontId="8" fillId="7" borderId="1" xfId="0" applyFont="1" applyFill="1" applyBorder="1" applyAlignment="1">
      <alignment horizontal="center" vertical="center"/>
    </xf>
    <xf numFmtId="0" fontId="8" fillId="45" borderId="1" xfId="0" applyFont="1" applyFill="1" applyBorder="1"/>
    <xf numFmtId="0" fontId="8" fillId="45" borderId="1" xfId="0" applyFont="1" applyFill="1" applyBorder="1" applyAlignment="1">
      <alignment horizontal="center"/>
    </xf>
    <xf numFmtId="0" fontId="28" fillId="45" borderId="1" xfId="0" applyNumberFormat="1" applyFont="1" applyFill="1" applyBorder="1" applyAlignment="1">
      <alignment horizontal="left" vertical="center" wrapText="1"/>
    </xf>
    <xf numFmtId="166" fontId="8" fillId="45" borderId="1" xfId="0" applyNumberFormat="1" applyFont="1" applyFill="1" applyBorder="1"/>
    <xf numFmtId="2" fontId="8" fillId="45" borderId="1" xfId="0" applyNumberFormat="1" applyFont="1" applyFill="1" applyBorder="1"/>
    <xf numFmtId="168" fontId="8" fillId="45" borderId="1" xfId="0" applyNumberFormat="1" applyFont="1" applyFill="1" applyBorder="1" applyAlignment="1">
      <alignment horizontal="center"/>
    </xf>
    <xf numFmtId="0" fontId="8" fillId="45" borderId="1" xfId="0" applyFont="1" applyFill="1" applyBorder="1" applyAlignment="1"/>
    <xf numFmtId="3"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44" borderId="1" xfId="0" applyFont="1" applyFill="1" applyBorder="1"/>
    <xf numFmtId="0" fontId="8" fillId="44" borderId="1" xfId="0" applyFont="1" applyFill="1" applyBorder="1" applyAlignment="1">
      <alignment horizontal="center"/>
    </xf>
    <xf numFmtId="0" fontId="28" fillId="44" borderId="1" xfId="0" applyNumberFormat="1" applyFont="1" applyFill="1" applyBorder="1" applyAlignment="1">
      <alignment horizontal="left" vertical="center" wrapText="1"/>
    </xf>
    <xf numFmtId="166" fontId="8" fillId="44" borderId="1" xfId="0" applyNumberFormat="1" applyFont="1" applyFill="1" applyBorder="1"/>
    <xf numFmtId="3" fontId="8" fillId="44" borderId="1" xfId="0" applyNumberFormat="1" applyFont="1" applyFill="1" applyBorder="1" applyAlignment="1">
      <alignment horizontal="center" vertical="center"/>
    </xf>
    <xf numFmtId="2" fontId="8" fillId="44" borderId="1" xfId="0" applyNumberFormat="1" applyFont="1" applyFill="1" applyBorder="1"/>
    <xf numFmtId="168" fontId="8" fillId="44" borderId="1" xfId="0" applyNumberFormat="1" applyFont="1" applyFill="1" applyBorder="1" applyAlignment="1">
      <alignment horizontal="center"/>
    </xf>
    <xf numFmtId="0" fontId="8" fillId="44" borderId="1" xfId="0" applyFont="1" applyFill="1" applyBorder="1" applyAlignment="1">
      <alignment horizontal="center" vertical="center"/>
    </xf>
    <xf numFmtId="3" fontId="8" fillId="0" borderId="1" xfId="0" applyNumberFormat="1" applyFont="1" applyFill="1" applyBorder="1" applyAlignment="1">
      <alignment horizontal="center" vertical="center"/>
    </xf>
    <xf numFmtId="0" fontId="63" fillId="0" borderId="1" xfId="0" applyFont="1" applyFill="1" applyBorder="1"/>
    <xf numFmtId="0" fontId="63" fillId="0" borderId="1" xfId="0" applyFont="1" applyFill="1" applyBorder="1" applyAlignment="1">
      <alignment horizontal="center"/>
    </xf>
    <xf numFmtId="0" fontId="97" fillId="0" borderId="1" xfId="0" applyNumberFormat="1" applyFont="1" applyFill="1" applyBorder="1" applyAlignment="1">
      <alignment horizontal="left" vertical="center" wrapText="1"/>
    </xf>
    <xf numFmtId="166" fontId="63" fillId="0" borderId="1" xfId="0" applyNumberFormat="1" applyFont="1" applyFill="1" applyBorder="1"/>
    <xf numFmtId="3" fontId="63" fillId="0" borderId="1" xfId="0" applyNumberFormat="1" applyFont="1" applyFill="1" applyBorder="1" applyAlignment="1">
      <alignment horizontal="center" vertical="center"/>
    </xf>
    <xf numFmtId="2" fontId="63" fillId="0" borderId="1" xfId="0" applyNumberFormat="1" applyFont="1" applyFill="1" applyBorder="1"/>
    <xf numFmtId="168" fontId="63" fillId="0" borderId="1" xfId="0" applyNumberFormat="1" applyFont="1" applyFill="1" applyBorder="1" applyAlignment="1">
      <alignment horizontal="center"/>
    </xf>
    <xf numFmtId="0" fontId="63" fillId="0" borderId="1" xfId="0" applyFont="1" applyFill="1" applyBorder="1" applyAlignment="1">
      <alignment horizontal="center" vertical="center"/>
    </xf>
    <xf numFmtId="0" fontId="0" fillId="54" borderId="0" xfId="0" applyFill="1"/>
    <xf numFmtId="2" fontId="76" fillId="55" borderId="129" xfId="0" applyNumberFormat="1" applyFont="1" applyFill="1" applyBorder="1" applyAlignment="1">
      <alignment horizontal="right" vertical="top"/>
    </xf>
    <xf numFmtId="186" fontId="8" fillId="0" borderId="1" xfId="0" applyNumberFormat="1" applyFont="1" applyFill="1" applyBorder="1" applyAlignment="1">
      <alignment horizontal="center" vertical="center"/>
    </xf>
    <xf numFmtId="0" fontId="0" fillId="44" borderId="0" xfId="0" applyFill="1"/>
    <xf numFmtId="3" fontId="76" fillId="0" borderId="129" xfId="0" applyNumberFormat="1" applyFont="1" applyFill="1" applyBorder="1" applyAlignment="1">
      <alignment horizontal="right" vertical="top"/>
    </xf>
    <xf numFmtId="166" fontId="0" fillId="0" borderId="0" xfId="0" applyNumberFormat="1"/>
    <xf numFmtId="0" fontId="8" fillId="0" borderId="8" xfId="92" applyFont="1" applyFill="1" applyBorder="1" applyAlignment="1">
      <alignment horizontal="center" vertical="center"/>
    </xf>
    <xf numFmtId="0" fontId="8" fillId="0" borderId="1" xfId="92" applyFont="1" applyFill="1" applyBorder="1" applyAlignment="1">
      <alignment horizontal="center" vertical="center"/>
    </xf>
    <xf numFmtId="186" fontId="8" fillId="0" borderId="8" xfId="92" applyNumberFormat="1" applyFont="1" applyFill="1" applyBorder="1" applyAlignment="1">
      <alignment horizontal="center" vertical="center"/>
    </xf>
    <xf numFmtId="186" fontId="8" fillId="0" borderId="1" xfId="92" applyNumberFormat="1" applyFont="1" applyFill="1" applyBorder="1" applyAlignment="1">
      <alignment horizontal="center" vertical="center"/>
    </xf>
    <xf numFmtId="0" fontId="8" fillId="0" borderId="1" xfId="92" applyFont="1" applyBorder="1" applyAlignment="1">
      <alignment horizontal="center" vertical="center"/>
    </xf>
    <xf numFmtId="186" fontId="8" fillId="0" borderId="1" xfId="92" applyNumberFormat="1" applyFont="1" applyBorder="1" applyAlignment="1">
      <alignment horizontal="center" vertical="center"/>
    </xf>
    <xf numFmtId="186" fontId="8" fillId="0" borderId="130" xfId="92" applyNumberFormat="1" applyFont="1" applyBorder="1" applyAlignment="1">
      <alignment horizontal="center" vertical="center"/>
    </xf>
    <xf numFmtId="186" fontId="0" fillId="0" borderId="0" xfId="0" applyNumberFormat="1"/>
    <xf numFmtId="0" fontId="8" fillId="0" borderId="1" xfId="94" applyFont="1" applyFill="1" applyBorder="1" applyAlignment="1">
      <alignment horizontal="center" vertical="center"/>
    </xf>
    <xf numFmtId="186" fontId="8" fillId="0" borderId="1" xfId="94" applyNumberFormat="1" applyFont="1" applyFill="1" applyBorder="1" applyAlignment="1">
      <alignment horizontal="center" vertical="center"/>
    </xf>
    <xf numFmtId="0" fontId="8" fillId="0" borderId="1" xfId="94" applyFont="1" applyBorder="1" applyAlignment="1">
      <alignment horizontal="center" vertical="center"/>
    </xf>
    <xf numFmtId="186" fontId="8" fillId="0" borderId="1" xfId="94" applyNumberFormat="1" applyFont="1" applyBorder="1" applyAlignment="1">
      <alignment horizontal="center" vertical="center"/>
    </xf>
    <xf numFmtId="186" fontId="8" fillId="0" borderId="1" xfId="105" applyNumberFormat="1" applyFont="1" applyFill="1" applyBorder="1" applyAlignment="1">
      <alignment horizontal="center" vertical="center"/>
    </xf>
    <xf numFmtId="186" fontId="8" fillId="0" borderId="1" xfId="5" applyNumberFormat="1" applyFont="1" applyFill="1" applyBorder="1" applyAlignment="1">
      <alignment horizontal="center" vertical="center"/>
    </xf>
    <xf numFmtId="0" fontId="63" fillId="0" borderId="1" xfId="0" applyFont="1" applyBorder="1" applyAlignment="1">
      <alignment horizontal="center" vertical="center"/>
    </xf>
    <xf numFmtId="186" fontId="63" fillId="0" borderId="1" xfId="0" applyNumberFormat="1" applyFont="1" applyBorder="1" applyAlignment="1">
      <alignment horizontal="center" vertical="center"/>
    </xf>
    <xf numFmtId="0" fontId="8" fillId="0" borderId="1" xfId="5" applyFont="1" applyFill="1" applyBorder="1" applyAlignment="1">
      <alignment horizontal="center" vertical="center"/>
    </xf>
    <xf numFmtId="0" fontId="8" fillId="56" borderId="1" xfId="0" applyFont="1" applyFill="1" applyBorder="1"/>
    <xf numFmtId="0" fontId="8" fillId="0" borderId="1" xfId="0" applyFont="1" applyBorder="1" applyAlignment="1">
      <alignment horizontal="center" vertical="center"/>
    </xf>
    <xf numFmtId="186" fontId="8" fillId="0" borderId="1" xfId="0" applyNumberFormat="1" applyFont="1" applyBorder="1" applyAlignment="1">
      <alignment horizontal="center" vertical="center"/>
    </xf>
    <xf numFmtId="0" fontId="8" fillId="0" borderId="20" xfId="5" applyFont="1" applyFill="1" applyBorder="1" applyAlignment="1">
      <alignment horizontal="center" vertical="center"/>
    </xf>
    <xf numFmtId="186" fontId="8" fillId="0" borderId="20" xfId="5" applyNumberFormat="1" applyFont="1" applyFill="1" applyBorder="1" applyAlignment="1">
      <alignment horizontal="center" vertical="center"/>
    </xf>
    <xf numFmtId="186" fontId="8" fillId="0" borderId="130" xfId="0" applyNumberFormat="1" applyFont="1" applyBorder="1" applyAlignment="1">
      <alignment horizontal="center" vertical="center"/>
    </xf>
    <xf numFmtId="186" fontId="8" fillId="0" borderId="130" xfId="0" applyNumberFormat="1" applyFont="1" applyFill="1" applyBorder="1" applyAlignment="1">
      <alignment horizontal="center" vertical="center"/>
    </xf>
    <xf numFmtId="0" fontId="0" fillId="0" borderId="0" xfId="0" applyFill="1" applyAlignment="1">
      <alignment horizontal="center" vertical="justify"/>
    </xf>
    <xf numFmtId="0" fontId="0" fillId="0" borderId="0" xfId="0" applyFill="1" applyAlignment="1">
      <alignment horizontal="center" vertical="center" shrinkToFit="1"/>
    </xf>
    <xf numFmtId="0" fontId="0" fillId="0" borderId="0" xfId="0" applyFill="1" applyBorder="1" applyAlignment="1">
      <alignment horizontal="center" vertical="center" shrinkToFit="1"/>
    </xf>
    <xf numFmtId="0" fontId="8" fillId="5" borderId="1" xfId="0" applyFont="1" applyFill="1" applyBorder="1"/>
    <xf numFmtId="0" fontId="8" fillId="0" borderId="1" xfId="107" applyFont="1" applyBorder="1" applyAlignment="1">
      <alignment horizontal="center" vertical="center"/>
    </xf>
    <xf numFmtId="0" fontId="8" fillId="0" borderId="1" xfId="106" applyFont="1" applyFill="1" applyBorder="1" applyAlignment="1">
      <alignment horizontal="center" vertical="center"/>
    </xf>
    <xf numFmtId="186" fontId="8" fillId="0" borderId="1" xfId="106" applyNumberFormat="1" applyFont="1" applyFill="1" applyBorder="1" applyAlignment="1">
      <alignment horizontal="center" vertical="center"/>
    </xf>
    <xf numFmtId="186" fontId="94" fillId="0" borderId="1" xfId="107" applyNumberFormat="1" applyFont="1" applyBorder="1" applyAlignment="1">
      <alignment horizontal="center" vertical="center"/>
    </xf>
    <xf numFmtId="0" fontId="8" fillId="0" borderId="1" xfId="107" applyFont="1" applyBorder="1" applyAlignment="1">
      <alignment horizontal="center" vertical="center"/>
    </xf>
    <xf numFmtId="0" fontId="94" fillId="0" borderId="1" xfId="107" applyFont="1" applyBorder="1" applyAlignment="1">
      <alignment horizontal="center" vertical="center"/>
    </xf>
    <xf numFmtId="0" fontId="8" fillId="0" borderId="1" xfId="107" applyFont="1" applyFill="1" applyBorder="1" applyAlignment="1">
      <alignment horizontal="center" vertical="center"/>
    </xf>
    <xf numFmtId="0" fontId="95" fillId="0" borderId="1" xfId="109" applyNumberFormat="1" applyFont="1" applyFill="1" applyBorder="1" applyAlignment="1">
      <alignment horizontal="left" vertical="center" wrapText="1"/>
    </xf>
    <xf numFmtId="0" fontId="76" fillId="53" borderId="129" xfId="0" applyFont="1" applyFill="1" applyBorder="1" applyAlignment="1">
      <alignment horizontal="left" vertical="top" wrapText="1"/>
    </xf>
    <xf numFmtId="1" fontId="76" fillId="53" borderId="129" xfId="0" applyNumberFormat="1" applyFont="1" applyFill="1" applyBorder="1" applyAlignment="1">
      <alignment horizontal="left" vertical="top" wrapText="1"/>
    </xf>
    <xf numFmtId="3" fontId="76" fillId="53" borderId="129" xfId="0" applyNumberFormat="1" applyFont="1" applyFill="1" applyBorder="1" applyAlignment="1">
      <alignment horizontal="right" vertical="top"/>
    </xf>
    <xf numFmtId="0" fontId="8" fillId="0" borderId="8" xfId="5" applyFont="1" applyFill="1" applyBorder="1" applyAlignment="1">
      <alignment horizontal="center" vertical="center"/>
    </xf>
    <xf numFmtId="169" fontId="76" fillId="0" borderId="129" xfId="0" applyNumberFormat="1" applyFont="1" applyFill="1" applyBorder="1" applyAlignment="1">
      <alignment horizontal="left" vertical="top" wrapText="1"/>
    </xf>
    <xf numFmtId="184" fontId="76" fillId="0" borderId="129" xfId="0" applyNumberFormat="1" applyFont="1" applyFill="1" applyBorder="1" applyAlignment="1">
      <alignment horizontal="left" vertical="top" wrapText="1"/>
    </xf>
    <xf numFmtId="0" fontId="15" fillId="0" borderId="1" xfId="0" applyNumberFormat="1" applyFont="1" applyFill="1" applyBorder="1" applyAlignment="1">
      <alignment horizontal="left" vertical="center" wrapText="1"/>
    </xf>
    <xf numFmtId="0" fontId="15" fillId="4" borderId="1" xfId="0" applyNumberFormat="1" applyFont="1" applyFill="1" applyBorder="1" applyAlignment="1" applyProtection="1">
      <alignment vertical="center" wrapText="1"/>
    </xf>
    <xf numFmtId="0" fontId="15" fillId="4" borderId="1" xfId="0" applyNumberFormat="1" applyFont="1" applyFill="1" applyBorder="1" applyAlignment="1" applyProtection="1">
      <alignment horizontal="center" vertical="center" wrapText="1"/>
    </xf>
    <xf numFmtId="14" fontId="15" fillId="7" borderId="1" xfId="0" applyNumberFormat="1" applyFont="1" applyFill="1" applyBorder="1" applyAlignment="1" applyProtection="1">
      <alignment horizontal="left" vertical="center" wrapText="1"/>
    </xf>
    <xf numFmtId="14" fontId="15" fillId="7" borderId="0" xfId="0" applyNumberFormat="1" applyFont="1" applyFill="1" applyBorder="1" applyAlignment="1" applyProtection="1">
      <alignment horizontal="left" vertical="center" wrapText="1"/>
    </xf>
    <xf numFmtId="0" fontId="15" fillId="4" borderId="0" xfId="0" applyNumberFormat="1" applyFont="1" applyFill="1" applyBorder="1" applyAlignment="1" applyProtection="1">
      <alignment vertical="center" wrapText="1"/>
    </xf>
    <xf numFmtId="0" fontId="15" fillId="5" borderId="1" xfId="0" applyNumberFormat="1" applyFont="1" applyFill="1" applyBorder="1" applyAlignment="1" applyProtection="1">
      <alignment horizontal="left" vertical="center" wrapText="1"/>
    </xf>
    <xf numFmtId="49" fontId="15" fillId="7" borderId="0" xfId="0" applyNumberFormat="1" applyFont="1" applyFill="1" applyBorder="1" applyAlignment="1" applyProtection="1">
      <alignment horizontal="center" vertical="center" wrapText="1"/>
    </xf>
    <xf numFmtId="0" fontId="15" fillId="7" borderId="0" xfId="0" applyNumberFormat="1" applyFont="1" applyFill="1" applyBorder="1" applyAlignment="1" applyProtection="1">
      <alignment horizontal="center" vertical="center" wrapText="1"/>
    </xf>
    <xf numFmtId="3" fontId="15" fillId="0" borderId="1" xfId="0" applyNumberFormat="1" applyFont="1" applyFill="1" applyBorder="1" applyAlignment="1" applyProtection="1">
      <alignment vertical="center" wrapText="1"/>
    </xf>
    <xf numFmtId="3" fontId="15" fillId="0" borderId="1" xfId="0" applyNumberFormat="1" applyFont="1" applyFill="1" applyBorder="1" applyAlignment="1" applyProtection="1">
      <alignment horizontal="center" vertical="center" wrapText="1"/>
    </xf>
    <xf numFmtId="3" fontId="15" fillId="0" borderId="0" xfId="0" applyNumberFormat="1" applyFont="1" applyFill="1" applyBorder="1" applyAlignment="1" applyProtection="1">
      <alignment horizontal="center" vertical="center" wrapText="1"/>
    </xf>
    <xf numFmtId="0" fontId="15" fillId="0" borderId="1" xfId="0" applyNumberFormat="1" applyFont="1" applyFill="1" applyBorder="1" applyAlignment="1" applyProtection="1">
      <alignment horizontal="center" vertical="center" wrapText="1"/>
    </xf>
    <xf numFmtId="14" fontId="15" fillId="4" borderId="1" xfId="0" applyNumberFormat="1" applyFont="1" applyFill="1" applyBorder="1" applyAlignment="1" applyProtection="1">
      <alignment vertical="center" wrapText="1"/>
    </xf>
    <xf numFmtId="49" fontId="15" fillId="4" borderId="1" xfId="0" applyNumberFormat="1" applyFont="1" applyFill="1" applyBorder="1" applyAlignment="1" applyProtection="1">
      <alignment horizontal="center" vertical="center" wrapText="1"/>
    </xf>
    <xf numFmtId="0" fontId="15" fillId="7" borderId="0" xfId="0" applyNumberFormat="1" applyFont="1" applyFill="1" applyBorder="1" applyAlignment="1" applyProtection="1">
      <alignment vertical="center" wrapText="1"/>
    </xf>
    <xf numFmtId="0" fontId="7" fillId="0" borderId="9" xfId="0" applyFont="1" applyBorder="1" applyAlignment="1">
      <alignment horizontal="center"/>
    </xf>
    <xf numFmtId="0" fontId="0" fillId="0" borderId="10" xfId="0" applyBorder="1" applyAlignment="1">
      <alignment horizontal="center"/>
    </xf>
    <xf numFmtId="0" fontId="0" fillId="0" borderId="11" xfId="0" applyFill="1" applyBorder="1" applyAlignment="1">
      <alignment horizontal="center"/>
    </xf>
    <xf numFmtId="0" fontId="0" fillId="0" borderId="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7" fillId="0" borderId="91" xfId="0" applyFont="1" applyBorder="1" applyAlignment="1">
      <alignment horizontal="center"/>
    </xf>
    <xf numFmtId="0" fontId="7" fillId="0" borderId="81" xfId="0" applyFont="1" applyBorder="1" applyAlignment="1">
      <alignment horizontal="center"/>
    </xf>
    <xf numFmtId="0" fontId="7" fillId="0" borderId="90" xfId="0" applyFont="1" applyBorder="1" applyAlignment="1">
      <alignment horizontal="center"/>
    </xf>
    <xf numFmtId="0" fontId="7" fillId="0" borderId="68" xfId="0" applyFont="1" applyBorder="1" applyAlignment="1">
      <alignment horizontal="center"/>
    </xf>
    <xf numFmtId="14" fontId="13" fillId="0" borderId="14" xfId="0" applyNumberFormat="1" applyFont="1" applyFill="1" applyBorder="1" applyAlignment="1" applyProtection="1">
      <alignment horizontal="center" vertical="center"/>
    </xf>
    <xf numFmtId="14" fontId="13" fillId="0" borderId="22" xfId="0" applyNumberFormat="1" applyFont="1" applyFill="1" applyBorder="1" applyAlignment="1" applyProtection="1">
      <alignment horizontal="center" vertical="center"/>
    </xf>
    <xf numFmtId="0" fontId="13" fillId="5" borderId="14" xfId="0" applyFont="1" applyFill="1" applyBorder="1" applyAlignment="1" applyProtection="1">
      <alignment horizontal="center" vertical="center"/>
    </xf>
    <xf numFmtId="0" fontId="13" fillId="5" borderId="17" xfId="0" applyFont="1" applyFill="1" applyBorder="1" applyAlignment="1" applyProtection="1">
      <alignment horizontal="center" vertical="center"/>
    </xf>
    <xf numFmtId="0" fontId="13" fillId="0" borderId="15" xfId="0" applyNumberFormat="1" applyFont="1" applyFill="1" applyBorder="1" applyAlignment="1" applyProtection="1">
      <alignment horizontal="center"/>
    </xf>
    <xf numFmtId="0" fontId="13" fillId="0" borderId="16" xfId="0" applyNumberFormat="1" applyFont="1" applyFill="1" applyBorder="1" applyAlignment="1" applyProtection="1">
      <alignment horizontal="center"/>
    </xf>
    <xf numFmtId="14" fontId="13" fillId="0" borderId="12" xfId="0" applyNumberFormat="1" applyFont="1" applyFill="1" applyBorder="1" applyAlignment="1" applyProtection="1">
      <alignment horizontal="center"/>
    </xf>
    <xf numFmtId="14" fontId="13" fillId="0" borderId="15" xfId="0" applyNumberFormat="1" applyFont="1" applyFill="1" applyBorder="1" applyAlignment="1" applyProtection="1">
      <alignment horizontal="center"/>
    </xf>
    <xf numFmtId="14" fontId="13" fillId="0" borderId="16" xfId="0" applyNumberFormat="1" applyFont="1" applyFill="1" applyBorder="1" applyAlignment="1" applyProtection="1">
      <alignment horizontal="center"/>
    </xf>
    <xf numFmtId="14" fontId="13" fillId="0" borderId="21" xfId="0" applyNumberFormat="1" applyFont="1" applyFill="1" applyBorder="1" applyAlignment="1" applyProtection="1">
      <alignment horizontal="center" vertical="center"/>
    </xf>
    <xf numFmtId="14" fontId="13" fillId="0" borderId="17" xfId="0" applyNumberFormat="1" applyFont="1" applyFill="1" applyBorder="1" applyAlignment="1" applyProtection="1">
      <alignment horizontal="center" vertical="center"/>
    </xf>
    <xf numFmtId="14" fontId="13" fillId="0" borderId="12" xfId="0" applyNumberFormat="1" applyFont="1" applyFill="1" applyBorder="1" applyAlignment="1" applyProtection="1">
      <alignment horizontal="center" vertical="center"/>
    </xf>
    <xf numFmtId="14" fontId="13" fillId="0" borderId="15" xfId="0" applyNumberFormat="1" applyFont="1" applyFill="1" applyBorder="1" applyAlignment="1" applyProtection="1">
      <alignment horizontal="center" vertical="center"/>
    </xf>
    <xf numFmtId="14" fontId="13" fillId="0" borderId="16" xfId="0" applyNumberFormat="1" applyFont="1" applyFill="1" applyBorder="1" applyAlignment="1" applyProtection="1">
      <alignment horizontal="center" vertical="center"/>
    </xf>
    <xf numFmtId="0" fontId="13" fillId="0" borderId="12" xfId="0" applyNumberFormat="1" applyFont="1" applyFill="1" applyBorder="1" applyAlignment="1" applyProtection="1">
      <alignment horizontal="center"/>
    </xf>
    <xf numFmtId="14" fontId="13" fillId="0" borderId="71" xfId="0" applyNumberFormat="1" applyFont="1" applyFill="1" applyBorder="1" applyAlignment="1" applyProtection="1">
      <alignment horizontal="center" vertical="center"/>
    </xf>
    <xf numFmtId="14" fontId="30" fillId="16" borderId="48" xfId="26" applyNumberFormat="1" applyFont="1" applyFill="1" applyBorder="1" applyAlignment="1" applyProtection="1">
      <alignment horizontal="center" vertical="center"/>
    </xf>
    <xf numFmtId="0" fontId="30" fillId="18" borderId="48" xfId="26" applyFont="1" applyFill="1" applyBorder="1" applyAlignment="1" applyProtection="1">
      <alignment horizontal="center" vertical="center"/>
    </xf>
    <xf numFmtId="14" fontId="30" fillId="16" borderId="54" xfId="26" applyNumberFormat="1" applyFont="1" applyFill="1" applyBorder="1" applyAlignment="1" applyProtection="1">
      <alignment horizontal="center" vertical="center"/>
    </xf>
    <xf numFmtId="14" fontId="30" fillId="16" borderId="47" xfId="26" applyNumberFormat="1" applyFont="1" applyFill="1" applyBorder="1" applyAlignment="1" applyProtection="1">
      <alignment horizontal="center" vertical="center"/>
    </xf>
    <xf numFmtId="3" fontId="15" fillId="0" borderId="59" xfId="0" applyNumberFormat="1" applyFont="1" applyFill="1" applyBorder="1" applyAlignment="1" applyProtection="1">
      <alignment horizontal="center" vertical="center" wrapText="1"/>
    </xf>
    <xf numFmtId="3" fontId="15" fillId="0" borderId="84" xfId="0" applyNumberFormat="1" applyFont="1" applyFill="1" applyBorder="1" applyAlignment="1" applyProtection="1">
      <alignment horizontal="center" vertical="center" wrapText="1"/>
    </xf>
    <xf numFmtId="3" fontId="15" fillId="0" borderId="85" xfId="0" applyNumberFormat="1" applyFont="1" applyFill="1" applyBorder="1" applyAlignment="1" applyProtection="1">
      <alignment horizontal="center" vertical="center" wrapText="1"/>
    </xf>
  </cellXfs>
  <cellStyles count="130">
    <cellStyle name="20% - Акцент1" xfId="29"/>
    <cellStyle name="20% - Акцент2" xfId="30"/>
    <cellStyle name="20% - Акцент3" xfId="31"/>
    <cellStyle name="20% - Акцент4" xfId="32"/>
    <cellStyle name="20% - Акцент5" xfId="33"/>
    <cellStyle name="20% - Акцент6" xfId="34"/>
    <cellStyle name="40% - Акцент1" xfId="35"/>
    <cellStyle name="40% - Акцент2" xfId="36"/>
    <cellStyle name="40% - Акцент3" xfId="37"/>
    <cellStyle name="40% - Акцент4" xfId="38"/>
    <cellStyle name="40% - Акцент5" xfId="39"/>
    <cellStyle name="40% - Акцент6" xfId="40"/>
    <cellStyle name="60% - Акцент1" xfId="41"/>
    <cellStyle name="60% - Акцент2" xfId="42"/>
    <cellStyle name="60% - Акцент3" xfId="43"/>
    <cellStyle name="60% - Акцент4" xfId="44"/>
    <cellStyle name="60% - Акцент5" xfId="45"/>
    <cellStyle name="60% - Акцент6" xfId="46"/>
    <cellStyle name="Comma" xfId="74" builtinId="3"/>
    <cellStyle name="Comma 2" xfId="98"/>
    <cellStyle name="Comma 3" xfId="113"/>
    <cellStyle name="Normal" xfId="0" builtinId="0"/>
    <cellStyle name="Normal 10" xfId="95"/>
    <cellStyle name="Normal 11" xfId="107"/>
    <cellStyle name="Normal 11 2" xfId="111"/>
    <cellStyle name="Normal 12" xfId="109"/>
    <cellStyle name="Normal 2" xfId="5"/>
    <cellStyle name="Normal 2 2" xfId="92"/>
    <cellStyle name="Normal 2 2 2" xfId="105"/>
    <cellStyle name="Normal 2 2 2 2" xfId="124"/>
    <cellStyle name="Normal 2 2 3" xfId="117"/>
    <cellStyle name="Normal 2 3" xfId="94"/>
    <cellStyle name="Normal 2 3 2" xfId="119"/>
    <cellStyle name="Normal 2 4" xfId="96"/>
    <cellStyle name="Normal 2 5" xfId="106"/>
    <cellStyle name="Normal 3" xfId="6"/>
    <cellStyle name="Normal 3 2" xfId="97"/>
    <cellStyle name="Normal 3 2 2" xfId="120"/>
    <cellStyle name="Normal 3 3" xfId="112"/>
    <cellStyle name="Normal 3 4" xfId="110"/>
    <cellStyle name="Normal 4" xfId="24"/>
    <cellStyle name="Normal 5" xfId="79"/>
    <cellStyle name="Normal 5 2" xfId="99"/>
    <cellStyle name="Normal 5 2 2" xfId="121"/>
    <cellStyle name="Normal 5 3" xfId="114"/>
    <cellStyle name="Normal 6" xfId="80"/>
    <cellStyle name="Normal 7" xfId="89"/>
    <cellStyle name="Normal 7 2" xfId="102"/>
    <cellStyle name="Normal 7 2 2" xfId="122"/>
    <cellStyle name="Normal 7 3" xfId="115"/>
    <cellStyle name="Normal 8" xfId="91"/>
    <cellStyle name="Normal 8 2" xfId="104"/>
    <cellStyle name="Normal 8 2 2" xfId="123"/>
    <cellStyle name="Normal 8 3" xfId="116"/>
    <cellStyle name="Normal 9" xfId="93"/>
    <cellStyle name="Normal 9 2" xfId="118"/>
    <cellStyle name="Normal_general intake " xfId="77"/>
    <cellStyle name="Normal_general intake by car" xfId="78"/>
    <cellStyle name="Normal_Tr#7611" xfId="1"/>
    <cellStyle name="S10" xfId="7"/>
    <cellStyle name="S10 2" xfId="82"/>
    <cellStyle name="S11" xfId="8"/>
    <cellStyle name="S12" xfId="9"/>
    <cellStyle name="S14" xfId="83"/>
    <cellStyle name="S15" xfId="84"/>
    <cellStyle name="S2" xfId="10"/>
    <cellStyle name="S3" xfId="11"/>
    <cellStyle name="S4" xfId="12"/>
    <cellStyle name="S5" xfId="13"/>
    <cellStyle name="S6" xfId="2"/>
    <cellStyle name="S7" xfId="3"/>
    <cellStyle name="S7 2" xfId="85"/>
    <cellStyle name="S8" xfId="14"/>
    <cellStyle name="S9" xfId="15"/>
    <cellStyle name="S9 2" xfId="86"/>
    <cellStyle name="Style 1" xfId="81"/>
    <cellStyle name="Style 1 2" xfId="88"/>
    <cellStyle name="Style 1 2 2" xfId="101"/>
    <cellStyle name="Style 1 3" xfId="100"/>
    <cellStyle name="Акцент1" xfId="47"/>
    <cellStyle name="Акцент2" xfId="48"/>
    <cellStyle name="Акцент3" xfId="49"/>
    <cellStyle name="Акцент4" xfId="50"/>
    <cellStyle name="Акцент5" xfId="51"/>
    <cellStyle name="Акцент6" xfId="52"/>
    <cellStyle name="Ввод " xfId="53"/>
    <cellStyle name="Ввод  2" xfId="125"/>
    <cellStyle name="Вывод" xfId="54"/>
    <cellStyle name="Вывод 2" xfId="126"/>
    <cellStyle name="Вычисление" xfId="55"/>
    <cellStyle name="Вычисление 2" xfId="127"/>
    <cellStyle name="Заголовок 1" xfId="56"/>
    <cellStyle name="Заголовок 2" xfId="57"/>
    <cellStyle name="Заголовок 3" xfId="58"/>
    <cellStyle name="Заголовок 4" xfId="59"/>
    <cellStyle name="Итог" xfId="60"/>
    <cellStyle name="Итог 2" xfId="128"/>
    <cellStyle name="Контрольная ячейка" xfId="61"/>
    <cellStyle name="Название" xfId="62"/>
    <cellStyle name="Нейтральный" xfId="63"/>
    <cellStyle name="Обычный 2" xfId="4"/>
    <cellStyle name="Обычный 2 2" xfId="16"/>
    <cellStyle name="Обычный 2 3" xfId="17"/>
    <cellStyle name="Обычный 2 4" xfId="18"/>
    <cellStyle name="Обычный 2 5" xfId="19"/>
    <cellStyle name="Обычный 2 6" xfId="27"/>
    <cellStyle name="Обычный 2_Odesa" xfId="64"/>
    <cellStyle name="Обычный 3" xfId="20"/>
    <cellStyle name="Обычный 4" xfId="21"/>
    <cellStyle name="Обычный 5" xfId="22"/>
    <cellStyle name="Обычный 6" xfId="23"/>
    <cellStyle name="Обычный 7" xfId="25"/>
    <cellStyle name="Обычный_Кукуруза " xfId="73"/>
    <cellStyle name="Обычный_Общая_1" xfId="71"/>
    <cellStyle name="Обычный_Общая_2" xfId="28"/>
    <cellStyle name="Обычный_ПОРТО САН" xfId="76"/>
    <cellStyle name="Обычный_Сводка_Нобл_Р.У._Херсон_07.05.2012" xfId="26"/>
    <cellStyle name="Плохой" xfId="65"/>
    <cellStyle name="Плохой 2" xfId="87"/>
    <cellStyle name="Пояснение" xfId="66"/>
    <cellStyle name="Примечание" xfId="67"/>
    <cellStyle name="Примечание 2" xfId="129"/>
    <cellStyle name="Связанная ячейка" xfId="68"/>
    <cellStyle name="Стиль 1" xfId="90"/>
    <cellStyle name="Стиль 1 2" xfId="103"/>
    <cellStyle name="Стиль 1 3" xfId="108"/>
    <cellStyle name="Текст предупреждения" xfId="69"/>
    <cellStyle name="Финансовый 2" xfId="72"/>
    <cellStyle name="Финансовый_Сводка Ячмень 10.08.15" xfId="75"/>
    <cellStyle name="Хороший" xfId="70"/>
  </cellStyles>
  <dxfs count="2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4"/>
        </patternFill>
      </fill>
    </dxf>
    <dxf>
      <fill>
        <patternFill>
          <bgColor indexed="14"/>
        </patternFill>
      </fill>
    </dxf>
    <dxf>
      <fill>
        <patternFill>
          <bgColor rgb="FFFF0000"/>
        </patternFill>
      </fill>
    </dxf>
    <dxf>
      <fill>
        <patternFill>
          <bgColor rgb="FFFF0000"/>
        </patternFill>
      </fill>
    </dxf>
    <dxf>
      <fill>
        <patternFill>
          <bgColor indexed="14"/>
        </patternFill>
      </fill>
    </dxf>
    <dxf>
      <fill>
        <patternFill>
          <bgColor rgb="FFFF0000"/>
        </patternFill>
      </fill>
    </dxf>
    <dxf>
      <fill>
        <patternFill>
          <bgColor rgb="FFFF0000"/>
        </patternFill>
      </fill>
    </dxf>
    <dxf>
      <fill>
        <patternFill>
          <bgColor rgb="FFFF0000"/>
        </patternFill>
      </fill>
    </dxf>
    <dxf>
      <fill>
        <patternFill>
          <bgColor indexed="14"/>
        </patternFill>
      </fill>
    </dxf>
    <dxf>
      <fill>
        <patternFill>
          <bgColor rgb="FFFF0000"/>
        </patternFill>
      </fill>
    </dxf>
    <dxf>
      <fill>
        <patternFill>
          <bgColor indexed="14"/>
        </patternFill>
      </fill>
    </dxf>
    <dxf>
      <fill>
        <patternFill>
          <bgColor indexed="9"/>
        </patternFill>
      </fill>
    </dxf>
    <dxf>
      <fill>
        <patternFill>
          <bgColor indexed="43"/>
        </patternFill>
      </fill>
    </dxf>
    <dxf>
      <fill>
        <patternFill>
          <bgColor indexed="13"/>
        </patternFill>
      </fill>
    </dxf>
    <dxf>
      <fill>
        <patternFill>
          <bgColor indexed="1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9" defaultPivotStyle="PivotStyleLight16"/>
  <colors>
    <mruColors>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5" Type="http://schemas.openxmlformats.org/officeDocument/2006/relationships/image" Target="../media/image34.emf"/><Relationship Id="rId4" Type="http://schemas.openxmlformats.org/officeDocument/2006/relationships/image" Target="../media/image3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1</xdr:row>
          <xdr:rowOff>9525</xdr:rowOff>
        </xdr:from>
        <xdr:to>
          <xdr:col>6</xdr:col>
          <xdr:colOff>142875</xdr:colOff>
          <xdr:row>3</xdr:row>
          <xdr:rowOff>161925</xdr:rowOff>
        </xdr:to>
        <xdr:sp macro="" textlink="">
          <xdr:nvSpPr>
            <xdr:cNvPr id="49153" name="CommandButton0101"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xdr:row>
          <xdr:rowOff>9525</xdr:rowOff>
        </xdr:from>
        <xdr:to>
          <xdr:col>9</xdr:col>
          <xdr:colOff>552450</xdr:colOff>
          <xdr:row>7</xdr:row>
          <xdr:rowOff>161925</xdr:rowOff>
        </xdr:to>
        <xdr:sp macro="" textlink="">
          <xdr:nvSpPr>
            <xdr:cNvPr id="49154" name="CommandButton0102" hidden="1">
              <a:extLst>
                <a:ext uri="{63B3BB69-23CF-44E3-9099-C40C66FF867C}">
                  <a14:compatExt spid="_x0000_s49154"/>
                </a:ext>
                <a:ext uri="{FF2B5EF4-FFF2-40B4-BE49-F238E27FC236}">
                  <a16:creationId xmlns:a16="http://schemas.microsoft.com/office/drawing/2014/main" id="{00000000-0008-0000-0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19050</xdr:rowOff>
        </xdr:from>
        <xdr:to>
          <xdr:col>3</xdr:col>
          <xdr:colOff>390525</xdr:colOff>
          <xdr:row>3</xdr:row>
          <xdr:rowOff>161925</xdr:rowOff>
        </xdr:to>
        <xdr:sp macro="" textlink="">
          <xdr:nvSpPr>
            <xdr:cNvPr id="18446" name="CommandButton1101" hidden="1">
              <a:extLst>
                <a:ext uri="{63B3BB69-23CF-44E3-9099-C40C66FF867C}">
                  <a14:compatExt spid="_x0000_s18446"/>
                </a:ext>
                <a:ext uri="{FF2B5EF4-FFF2-40B4-BE49-F238E27FC236}">
                  <a16:creationId xmlns:a16="http://schemas.microsoft.com/office/drawing/2014/main" id="{00000000-0008-0000-03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xdr:row>
          <xdr:rowOff>9525</xdr:rowOff>
        </xdr:from>
        <xdr:to>
          <xdr:col>12</xdr:col>
          <xdr:colOff>581025</xdr:colOff>
          <xdr:row>3</xdr:row>
          <xdr:rowOff>152400</xdr:rowOff>
        </xdr:to>
        <xdr:sp macro="" textlink="">
          <xdr:nvSpPr>
            <xdr:cNvPr id="18447" name="CommandButton1103" hidden="1">
              <a:extLst>
                <a:ext uri="{63B3BB69-23CF-44E3-9099-C40C66FF867C}">
                  <a14:compatExt spid="_x0000_s18447"/>
                </a:ext>
                <a:ext uri="{FF2B5EF4-FFF2-40B4-BE49-F238E27FC236}">
                  <a16:creationId xmlns:a16="http://schemas.microsoft.com/office/drawing/2014/main" id="{00000000-0008-0000-03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xdr:row>
          <xdr:rowOff>9525</xdr:rowOff>
        </xdr:from>
        <xdr:to>
          <xdr:col>7</xdr:col>
          <xdr:colOff>133350</xdr:colOff>
          <xdr:row>3</xdr:row>
          <xdr:rowOff>152400</xdr:rowOff>
        </xdr:to>
        <xdr:sp macro="" textlink="">
          <xdr:nvSpPr>
            <xdr:cNvPr id="18448" name="CommandButton1102" hidden="1">
              <a:extLst>
                <a:ext uri="{63B3BB69-23CF-44E3-9099-C40C66FF867C}">
                  <a14:compatExt spid="_x0000_s18448"/>
                </a:ext>
                <a:ext uri="{FF2B5EF4-FFF2-40B4-BE49-F238E27FC236}">
                  <a16:creationId xmlns:a16="http://schemas.microsoft.com/office/drawing/2014/main" id="{00000000-0008-0000-0300-000010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1</xdr:row>
          <xdr:rowOff>19050</xdr:rowOff>
        </xdr:from>
        <xdr:to>
          <xdr:col>1</xdr:col>
          <xdr:colOff>1762125</xdr:colOff>
          <xdr:row>3</xdr:row>
          <xdr:rowOff>161925</xdr:rowOff>
        </xdr:to>
        <xdr:sp macro="" textlink="">
          <xdr:nvSpPr>
            <xdr:cNvPr id="38913" name="CommandButton170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0</xdr:row>
          <xdr:rowOff>152400</xdr:rowOff>
        </xdr:from>
        <xdr:to>
          <xdr:col>12</xdr:col>
          <xdr:colOff>695325</xdr:colOff>
          <xdr:row>3</xdr:row>
          <xdr:rowOff>142875</xdr:rowOff>
        </xdr:to>
        <xdr:sp macro="" textlink="">
          <xdr:nvSpPr>
            <xdr:cNvPr id="38914" name="CommandButton1703"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704850</xdr:colOff>
          <xdr:row>1</xdr:row>
          <xdr:rowOff>19050</xdr:rowOff>
        </xdr:from>
        <xdr:to>
          <xdr:col>8</xdr:col>
          <xdr:colOff>447675</xdr:colOff>
          <xdr:row>3</xdr:row>
          <xdr:rowOff>161925</xdr:rowOff>
        </xdr:to>
        <xdr:sp macro="" textlink="">
          <xdr:nvSpPr>
            <xdr:cNvPr id="38915" name="CommandButton1702" hidden="1">
              <a:extLst>
                <a:ext uri="{63B3BB69-23CF-44E3-9099-C40C66FF867C}">
                  <a14:compatExt spid="_x0000_s38915"/>
                </a:ext>
                <a:ext uri="{FF2B5EF4-FFF2-40B4-BE49-F238E27FC236}">
                  <a16:creationId xmlns:a16="http://schemas.microsoft.com/office/drawing/2014/main" id="{00000000-0008-0000-04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2</xdr:col>
          <xdr:colOff>552450</xdr:colOff>
          <xdr:row>3</xdr:row>
          <xdr:rowOff>161925</xdr:rowOff>
        </xdr:to>
        <xdr:sp macro="" textlink="">
          <xdr:nvSpPr>
            <xdr:cNvPr id="24577" name="CommandButton140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xdr:row>
          <xdr:rowOff>0</xdr:rowOff>
        </xdr:from>
        <xdr:to>
          <xdr:col>14</xdr:col>
          <xdr:colOff>28575</xdr:colOff>
          <xdr:row>3</xdr:row>
          <xdr:rowOff>152400</xdr:rowOff>
        </xdr:to>
        <xdr:sp macro="" textlink="">
          <xdr:nvSpPr>
            <xdr:cNvPr id="24578" name="CommandButton1403"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xdr:row>
          <xdr:rowOff>19050</xdr:rowOff>
        </xdr:from>
        <xdr:to>
          <xdr:col>8</xdr:col>
          <xdr:colOff>1114425</xdr:colOff>
          <xdr:row>3</xdr:row>
          <xdr:rowOff>161925</xdr:rowOff>
        </xdr:to>
        <xdr:sp macro="" textlink="">
          <xdr:nvSpPr>
            <xdr:cNvPr id="24579" name="CommandButton1402"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2</xdr:col>
          <xdr:colOff>1238250</xdr:colOff>
          <xdr:row>4</xdr:row>
          <xdr:rowOff>19050</xdr:rowOff>
        </xdr:to>
        <xdr:sp macro="" textlink="">
          <xdr:nvSpPr>
            <xdr:cNvPr id="50177" name="CommandButton1601"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1</xdr:row>
          <xdr:rowOff>0</xdr:rowOff>
        </xdr:from>
        <xdr:to>
          <xdr:col>13</xdr:col>
          <xdr:colOff>495300</xdr:colOff>
          <xdr:row>4</xdr:row>
          <xdr:rowOff>9525</xdr:rowOff>
        </xdr:to>
        <xdr:sp macro="" textlink="">
          <xdr:nvSpPr>
            <xdr:cNvPr id="50178" name="CommandButton1603" hidden="1">
              <a:extLst>
                <a:ext uri="{63B3BB69-23CF-44E3-9099-C40C66FF867C}">
                  <a14:compatExt spid="_x0000_s50178"/>
                </a:ext>
                <a:ext uri="{FF2B5EF4-FFF2-40B4-BE49-F238E27FC236}">
                  <a16:creationId xmlns:a16="http://schemas.microsoft.com/office/drawing/2014/main" id="{00000000-0008-0000-06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xdr:row>
          <xdr:rowOff>9525</xdr:rowOff>
        </xdr:from>
        <xdr:to>
          <xdr:col>8</xdr:col>
          <xdr:colOff>695325</xdr:colOff>
          <xdr:row>4</xdr:row>
          <xdr:rowOff>9525</xdr:rowOff>
        </xdr:to>
        <xdr:sp macro="" textlink="">
          <xdr:nvSpPr>
            <xdr:cNvPr id="50179" name="CommandButton1602" hidden="1">
              <a:extLst>
                <a:ext uri="{63B3BB69-23CF-44E3-9099-C40C66FF867C}">
                  <a14:compatExt spid="_x0000_s50179"/>
                </a:ext>
                <a:ext uri="{FF2B5EF4-FFF2-40B4-BE49-F238E27FC236}">
                  <a16:creationId xmlns:a16="http://schemas.microsoft.com/office/drawing/2014/main" id="{00000000-0008-0000-0600-000003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3</xdr:col>
          <xdr:colOff>9525</xdr:colOff>
          <xdr:row>3</xdr:row>
          <xdr:rowOff>161925</xdr:rowOff>
        </xdr:to>
        <xdr:sp macro="" textlink="">
          <xdr:nvSpPr>
            <xdr:cNvPr id="57345" name="CommandButton1801"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xdr:row>
          <xdr:rowOff>9525</xdr:rowOff>
        </xdr:from>
        <xdr:to>
          <xdr:col>14</xdr:col>
          <xdr:colOff>600075</xdr:colOff>
          <xdr:row>3</xdr:row>
          <xdr:rowOff>161925</xdr:rowOff>
        </xdr:to>
        <xdr:sp macro="" textlink="">
          <xdr:nvSpPr>
            <xdr:cNvPr id="57346" name="CommandButton1803" hidden="1">
              <a:extLst>
                <a:ext uri="{63B3BB69-23CF-44E3-9099-C40C66FF867C}">
                  <a14:compatExt spid="_x0000_s57346"/>
                </a:ext>
                <a:ext uri="{FF2B5EF4-FFF2-40B4-BE49-F238E27FC236}">
                  <a16:creationId xmlns:a16="http://schemas.microsoft.com/office/drawing/2014/main" id="{00000000-0008-0000-07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xdr:row>
          <xdr:rowOff>9525</xdr:rowOff>
        </xdr:from>
        <xdr:to>
          <xdr:col>7</xdr:col>
          <xdr:colOff>0</xdr:colOff>
          <xdr:row>3</xdr:row>
          <xdr:rowOff>152400</xdr:rowOff>
        </xdr:to>
        <xdr:sp macro="" textlink="">
          <xdr:nvSpPr>
            <xdr:cNvPr id="57347" name="CommandButton1802"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19050</xdr:rowOff>
        </xdr:from>
        <xdr:to>
          <xdr:col>2</xdr:col>
          <xdr:colOff>781050</xdr:colOff>
          <xdr:row>3</xdr:row>
          <xdr:rowOff>161925</xdr:rowOff>
        </xdr:to>
        <xdr:sp macro="" textlink="">
          <xdr:nvSpPr>
            <xdr:cNvPr id="27649" name="CommandButton150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xdr:row>
          <xdr:rowOff>0</xdr:rowOff>
        </xdr:from>
        <xdr:to>
          <xdr:col>14</xdr:col>
          <xdr:colOff>685800</xdr:colOff>
          <xdr:row>3</xdr:row>
          <xdr:rowOff>152400</xdr:rowOff>
        </xdr:to>
        <xdr:sp macro="" textlink="">
          <xdr:nvSpPr>
            <xdr:cNvPr id="27650" name="CommandButton1503" hidden="1">
              <a:extLst>
                <a:ext uri="{63B3BB69-23CF-44E3-9099-C40C66FF867C}">
                  <a14:compatExt spid="_x0000_s27650"/>
                </a:ext>
                <a:ext uri="{FF2B5EF4-FFF2-40B4-BE49-F238E27FC236}">
                  <a16:creationId xmlns:a16="http://schemas.microsoft.com/office/drawing/2014/main" id="{00000000-0008-0000-08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xdr:row>
          <xdr:rowOff>9525</xdr:rowOff>
        </xdr:from>
        <xdr:to>
          <xdr:col>9</xdr:col>
          <xdr:colOff>0</xdr:colOff>
          <xdr:row>3</xdr:row>
          <xdr:rowOff>152400</xdr:rowOff>
        </xdr:to>
        <xdr:sp macro="" textlink="">
          <xdr:nvSpPr>
            <xdr:cNvPr id="27651" name="CommandButton1502" hidden="1">
              <a:extLst>
                <a:ext uri="{63B3BB69-23CF-44E3-9099-C40C66FF867C}">
                  <a14:compatExt spid="_x0000_s27651"/>
                </a:ext>
                <a:ext uri="{FF2B5EF4-FFF2-40B4-BE49-F238E27FC236}">
                  <a16:creationId xmlns:a16="http://schemas.microsoft.com/office/drawing/2014/main" id="{00000000-0008-0000-0800-000003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2</xdr:col>
          <xdr:colOff>476250</xdr:colOff>
          <xdr:row>3</xdr:row>
          <xdr:rowOff>161925</xdr:rowOff>
        </xdr:to>
        <xdr:sp macro="" textlink="">
          <xdr:nvSpPr>
            <xdr:cNvPr id="60417" name="CommandButton1901" hidden="1">
              <a:extLst>
                <a:ext uri="{63B3BB69-23CF-44E3-9099-C40C66FF867C}">
                  <a14:compatExt spid="_x0000_s60417"/>
                </a:ext>
                <a:ext uri="{FF2B5EF4-FFF2-40B4-BE49-F238E27FC236}">
                  <a16:creationId xmlns:a16="http://schemas.microsoft.com/office/drawing/2014/main" id="{00000000-0008-0000-0900-00000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0</xdr:row>
          <xdr:rowOff>152400</xdr:rowOff>
        </xdr:from>
        <xdr:to>
          <xdr:col>12</xdr:col>
          <xdr:colOff>1038225</xdr:colOff>
          <xdr:row>3</xdr:row>
          <xdr:rowOff>142875</xdr:rowOff>
        </xdr:to>
        <xdr:sp macro="" textlink="">
          <xdr:nvSpPr>
            <xdr:cNvPr id="60418" name="CommandButton1903" hidden="1">
              <a:extLst>
                <a:ext uri="{63B3BB69-23CF-44E3-9099-C40C66FF867C}">
                  <a14:compatExt spid="_x0000_s60418"/>
                </a:ext>
                <a:ext uri="{FF2B5EF4-FFF2-40B4-BE49-F238E27FC236}">
                  <a16:creationId xmlns:a16="http://schemas.microsoft.com/office/drawing/2014/main" id="{00000000-0008-0000-09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xdr:row>
          <xdr:rowOff>9525</xdr:rowOff>
        </xdr:from>
        <xdr:to>
          <xdr:col>7</xdr:col>
          <xdr:colOff>514350</xdr:colOff>
          <xdr:row>3</xdr:row>
          <xdr:rowOff>152400</xdr:rowOff>
        </xdr:to>
        <xdr:sp macro="" textlink="">
          <xdr:nvSpPr>
            <xdr:cNvPr id="60419" name="CommandButton1902" hidden="1">
              <a:extLst>
                <a:ext uri="{63B3BB69-23CF-44E3-9099-C40C66FF867C}">
                  <a14:compatExt spid="_x0000_s60419"/>
                </a:ext>
                <a:ext uri="{FF2B5EF4-FFF2-40B4-BE49-F238E27FC236}">
                  <a16:creationId xmlns:a16="http://schemas.microsoft.com/office/drawing/2014/main" id="{00000000-0008-0000-09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3</xdr:col>
          <xdr:colOff>0</xdr:colOff>
          <xdr:row>3</xdr:row>
          <xdr:rowOff>161925</xdr:rowOff>
        </xdr:to>
        <xdr:sp macro="" textlink="">
          <xdr:nvSpPr>
            <xdr:cNvPr id="130049" name="CommandButton200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0</xdr:row>
          <xdr:rowOff>152400</xdr:rowOff>
        </xdr:from>
        <xdr:to>
          <xdr:col>12</xdr:col>
          <xdr:colOff>1038225</xdr:colOff>
          <xdr:row>3</xdr:row>
          <xdr:rowOff>142875</xdr:rowOff>
        </xdr:to>
        <xdr:sp macro="" textlink="">
          <xdr:nvSpPr>
            <xdr:cNvPr id="130050" name="CommandButton2003" hidden="1">
              <a:extLst>
                <a:ext uri="{63B3BB69-23CF-44E3-9099-C40C66FF867C}">
                  <a14:compatExt spid="_x0000_s130050"/>
                </a:ext>
                <a:ext uri="{FF2B5EF4-FFF2-40B4-BE49-F238E27FC236}">
                  <a16:creationId xmlns:a16="http://schemas.microsoft.com/office/drawing/2014/main" id="{00000000-0008-0000-0A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xdr:row>
          <xdr:rowOff>9525</xdr:rowOff>
        </xdr:from>
        <xdr:to>
          <xdr:col>8</xdr:col>
          <xdr:colOff>0</xdr:colOff>
          <xdr:row>3</xdr:row>
          <xdr:rowOff>152400</xdr:rowOff>
        </xdr:to>
        <xdr:sp macro="" textlink="">
          <xdr:nvSpPr>
            <xdr:cNvPr id="130051" name="CommandButton2002" hidden="1">
              <a:extLst>
                <a:ext uri="{63B3BB69-23CF-44E3-9099-C40C66FF867C}">
                  <a14:compatExt spid="_x0000_s130051"/>
                </a:ext>
                <a:ext uri="{FF2B5EF4-FFF2-40B4-BE49-F238E27FC236}">
                  <a16:creationId xmlns:a16="http://schemas.microsoft.com/office/drawing/2014/main" id="{00000000-0008-0000-0A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9</xdr:col>
          <xdr:colOff>647700</xdr:colOff>
          <xdr:row>4</xdr:row>
          <xdr:rowOff>142875</xdr:rowOff>
        </xdr:to>
        <xdr:sp macro="" textlink="">
          <xdr:nvSpPr>
            <xdr:cNvPr id="2008065" name="CommandButton2101" hidden="1">
              <a:extLst>
                <a:ext uri="{63B3BB69-23CF-44E3-9099-C40C66FF867C}">
                  <a14:compatExt spid="_x0000_s2008065"/>
                </a:ext>
                <a:ext uri="{FF2B5EF4-FFF2-40B4-BE49-F238E27FC236}">
                  <a16:creationId xmlns:a16="http://schemas.microsoft.com/office/drawing/2014/main" id="{00000000-0008-0000-0B00-000001A4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695325</xdr:colOff>
          <xdr:row>1</xdr:row>
          <xdr:rowOff>9525</xdr:rowOff>
        </xdr:from>
        <xdr:to>
          <xdr:col>14</xdr:col>
          <xdr:colOff>523875</xdr:colOff>
          <xdr:row>4</xdr:row>
          <xdr:rowOff>152400</xdr:rowOff>
        </xdr:to>
        <xdr:sp macro="" textlink="">
          <xdr:nvSpPr>
            <xdr:cNvPr id="2008066" name="CommandButton2103" hidden="1">
              <a:extLst>
                <a:ext uri="{63B3BB69-23CF-44E3-9099-C40C66FF867C}">
                  <a14:compatExt spid="_x0000_s2008066"/>
                </a:ext>
                <a:ext uri="{FF2B5EF4-FFF2-40B4-BE49-F238E27FC236}">
                  <a16:creationId xmlns:a16="http://schemas.microsoft.com/office/drawing/2014/main" id="{00000000-0008-0000-0B00-000002A4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xdr:row>
          <xdr:rowOff>19050</xdr:rowOff>
        </xdr:from>
        <xdr:to>
          <xdr:col>11</xdr:col>
          <xdr:colOff>38100</xdr:colOff>
          <xdr:row>4</xdr:row>
          <xdr:rowOff>142875</xdr:rowOff>
        </xdr:to>
        <xdr:sp macro="" textlink="">
          <xdr:nvSpPr>
            <xdr:cNvPr id="2008067" name="CommandButton2102" hidden="1">
              <a:extLst>
                <a:ext uri="{63B3BB69-23CF-44E3-9099-C40C66FF867C}">
                  <a14:compatExt spid="_x0000_s2008067"/>
                </a:ext>
                <a:ext uri="{FF2B5EF4-FFF2-40B4-BE49-F238E27FC236}">
                  <a16:creationId xmlns:a16="http://schemas.microsoft.com/office/drawing/2014/main" id="{00000000-0008-0000-0B00-000003A4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495300</xdr:colOff>
          <xdr:row>1</xdr:row>
          <xdr:rowOff>19050</xdr:rowOff>
        </xdr:from>
        <xdr:to>
          <xdr:col>12</xdr:col>
          <xdr:colOff>609600</xdr:colOff>
          <xdr:row>2</xdr:row>
          <xdr:rowOff>228600</xdr:rowOff>
        </xdr:to>
        <xdr:sp macro="" textlink="">
          <xdr:nvSpPr>
            <xdr:cNvPr id="30721" name="CommandButton1001" hidden="1">
              <a:extLst>
                <a:ext uri="{63B3BB69-23CF-44E3-9099-C40C66FF867C}">
                  <a14:compatExt spid="_x0000_s30721"/>
                </a:ext>
                <a:ext uri="{FF2B5EF4-FFF2-40B4-BE49-F238E27FC236}">
                  <a16:creationId xmlns:a16="http://schemas.microsoft.com/office/drawing/2014/main" id="{00000000-0008-0000-0C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15</xdr:col>
          <xdr:colOff>0</xdr:colOff>
          <xdr:row>2</xdr:row>
          <xdr:rowOff>219075</xdr:rowOff>
        </xdr:to>
        <xdr:sp macro="" textlink="">
          <xdr:nvSpPr>
            <xdr:cNvPr id="30722" name="CommandButton1003" hidden="1">
              <a:extLst>
                <a:ext uri="{63B3BB69-23CF-44E3-9099-C40C66FF867C}">
                  <a14:compatExt spid="_x0000_s30722"/>
                </a:ext>
                <a:ext uri="{FF2B5EF4-FFF2-40B4-BE49-F238E27FC236}">
                  <a16:creationId xmlns:a16="http://schemas.microsoft.com/office/drawing/2014/main" id="{00000000-0008-0000-0C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xdr:row>
          <xdr:rowOff>9525</xdr:rowOff>
        </xdr:from>
        <xdr:to>
          <xdr:col>13</xdr:col>
          <xdr:colOff>647700</xdr:colOff>
          <xdr:row>2</xdr:row>
          <xdr:rowOff>219075</xdr:rowOff>
        </xdr:to>
        <xdr:sp macro="" textlink="">
          <xdr:nvSpPr>
            <xdr:cNvPr id="30723" name="CommandButton1002" hidden="1">
              <a:extLst>
                <a:ext uri="{63B3BB69-23CF-44E3-9099-C40C66FF867C}">
                  <a14:compatExt spid="_x0000_s30723"/>
                </a:ext>
                <a:ext uri="{FF2B5EF4-FFF2-40B4-BE49-F238E27FC236}">
                  <a16:creationId xmlns:a16="http://schemas.microsoft.com/office/drawing/2014/main" id="{00000000-0008-0000-0C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0</xdr:col>
          <xdr:colOff>838200</xdr:colOff>
          <xdr:row>2</xdr:row>
          <xdr:rowOff>219075</xdr:rowOff>
        </xdr:to>
        <xdr:sp macro="" textlink="">
          <xdr:nvSpPr>
            <xdr:cNvPr id="30724" name="CommandButton1004" hidden="1">
              <a:extLst>
                <a:ext uri="{63B3BB69-23CF-44E3-9099-C40C66FF867C}">
                  <a14:compatExt spid="_x0000_s30724"/>
                </a:ext>
                <a:ext uri="{FF2B5EF4-FFF2-40B4-BE49-F238E27FC236}">
                  <a16:creationId xmlns:a16="http://schemas.microsoft.com/office/drawing/2014/main" id="{00000000-0008-0000-0C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1</xdr:col>
          <xdr:colOff>1028700</xdr:colOff>
          <xdr:row>2</xdr:row>
          <xdr:rowOff>219075</xdr:rowOff>
        </xdr:to>
        <xdr:sp macro="" textlink="">
          <xdr:nvSpPr>
            <xdr:cNvPr id="30725" name="CommandButton1005" hidden="1">
              <a:extLst>
                <a:ext uri="{63B3BB69-23CF-44E3-9099-C40C66FF867C}">
                  <a14:compatExt spid="_x0000_s30725"/>
                </a:ext>
                <a:ext uri="{FF2B5EF4-FFF2-40B4-BE49-F238E27FC236}">
                  <a16:creationId xmlns:a16="http://schemas.microsoft.com/office/drawing/2014/main" id="{00000000-0008-0000-0C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6</xdr:col>
          <xdr:colOff>628650</xdr:colOff>
          <xdr:row>3</xdr:row>
          <xdr:rowOff>161925</xdr:rowOff>
        </xdr:to>
        <xdr:sp macro="" textlink="">
          <xdr:nvSpPr>
            <xdr:cNvPr id="135169" name="CommandButton2101" hidden="1">
              <a:extLst>
                <a:ext uri="{63B3BB69-23CF-44E3-9099-C40C66FF867C}">
                  <a14:compatExt spid="_x0000_s135169"/>
                </a:ext>
                <a:ext uri="{FF2B5EF4-FFF2-40B4-BE49-F238E27FC236}">
                  <a16:creationId xmlns:a16="http://schemas.microsoft.com/office/drawing/2014/main" id="{00000000-0008-0000-1000-0000011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695325</xdr:colOff>
          <xdr:row>1</xdr:row>
          <xdr:rowOff>9525</xdr:rowOff>
        </xdr:from>
        <xdr:to>
          <xdr:col>12</xdr:col>
          <xdr:colOff>1447800</xdr:colOff>
          <xdr:row>3</xdr:row>
          <xdr:rowOff>161925</xdr:rowOff>
        </xdr:to>
        <xdr:sp macro="" textlink="">
          <xdr:nvSpPr>
            <xdr:cNvPr id="135170" name="CommandButton2103" hidden="1">
              <a:extLst>
                <a:ext uri="{63B3BB69-23CF-44E3-9099-C40C66FF867C}">
                  <a14:compatExt spid="_x0000_s135170"/>
                </a:ext>
                <a:ext uri="{FF2B5EF4-FFF2-40B4-BE49-F238E27FC236}">
                  <a16:creationId xmlns:a16="http://schemas.microsoft.com/office/drawing/2014/main" id="{00000000-0008-0000-1000-0000021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xdr:row>
          <xdr:rowOff>19050</xdr:rowOff>
        </xdr:from>
        <xdr:to>
          <xdr:col>11</xdr:col>
          <xdr:colOff>171450</xdr:colOff>
          <xdr:row>3</xdr:row>
          <xdr:rowOff>161925</xdr:rowOff>
        </xdr:to>
        <xdr:sp macro="" textlink="">
          <xdr:nvSpPr>
            <xdr:cNvPr id="135171" name="CommandButton2102" hidden="1">
              <a:extLst>
                <a:ext uri="{63B3BB69-23CF-44E3-9099-C40C66FF867C}">
                  <a14:compatExt spid="_x0000_s135171"/>
                </a:ext>
                <a:ext uri="{FF2B5EF4-FFF2-40B4-BE49-F238E27FC236}">
                  <a16:creationId xmlns:a16="http://schemas.microsoft.com/office/drawing/2014/main" id="{00000000-0008-0000-1000-0000031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3</xdr:col>
          <xdr:colOff>9525</xdr:colOff>
          <xdr:row>3</xdr:row>
          <xdr:rowOff>161925</xdr:rowOff>
        </xdr:to>
        <xdr:sp macro="" textlink="">
          <xdr:nvSpPr>
            <xdr:cNvPr id="140289" name="CommandButton2201" hidden="1">
              <a:extLst>
                <a:ext uri="{63B3BB69-23CF-44E3-9099-C40C66FF867C}">
                  <a14:compatExt spid="_x0000_s140289"/>
                </a:ext>
                <a:ext uri="{FF2B5EF4-FFF2-40B4-BE49-F238E27FC236}">
                  <a16:creationId xmlns:a16="http://schemas.microsoft.com/office/drawing/2014/main" id="{00000000-0008-0000-1100-0000012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1</xdr:row>
          <xdr:rowOff>38100</xdr:rowOff>
        </xdr:from>
        <xdr:to>
          <xdr:col>16</xdr:col>
          <xdr:colOff>352425</xdr:colOff>
          <xdr:row>4</xdr:row>
          <xdr:rowOff>19050</xdr:rowOff>
        </xdr:to>
        <xdr:sp macro="" textlink="">
          <xdr:nvSpPr>
            <xdr:cNvPr id="140290" name="CommandButton2203" hidden="1">
              <a:extLst>
                <a:ext uri="{63B3BB69-23CF-44E3-9099-C40C66FF867C}">
                  <a14:compatExt spid="_x0000_s140290"/>
                </a:ext>
                <a:ext uri="{FF2B5EF4-FFF2-40B4-BE49-F238E27FC236}">
                  <a16:creationId xmlns:a16="http://schemas.microsoft.com/office/drawing/2014/main" id="{00000000-0008-0000-1100-0000022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638175</xdr:colOff>
          <xdr:row>1</xdr:row>
          <xdr:rowOff>19050</xdr:rowOff>
        </xdr:from>
        <xdr:to>
          <xdr:col>9</xdr:col>
          <xdr:colOff>219075</xdr:colOff>
          <xdr:row>3</xdr:row>
          <xdr:rowOff>161925</xdr:rowOff>
        </xdr:to>
        <xdr:sp macro="" textlink="">
          <xdr:nvSpPr>
            <xdr:cNvPr id="140291" name="CommandButton2202" hidden="1">
              <a:extLst>
                <a:ext uri="{63B3BB69-23CF-44E3-9099-C40C66FF867C}">
                  <a14:compatExt spid="_x0000_s140291"/>
                </a:ext>
                <a:ext uri="{FF2B5EF4-FFF2-40B4-BE49-F238E27FC236}">
                  <a16:creationId xmlns:a16="http://schemas.microsoft.com/office/drawing/2014/main" id="{00000000-0008-0000-1100-0000032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nikulina\AppData\Roaming\Microsoft\Excel\&#1053;&#1072;&#1082;&#1086;&#1087;&#1083;&#1077;&#1085;&#1080;&#1077;%20&#1053;&#1054;&#1041;&#1051;%20%20&#1057;&#1086;&#1103;%202015-2016%20(version%2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ZAVAR~1\AppData\Local\Temp\jZip\jZip3929E\jZip3A300\&#1053;&#1072;&#1082;&#1086;&#1087;&#1083;&#1077;&#1085;&#1080;&#1077;%20&#1053;&#1054;&#1041;&#1051;%20&#1055;&#1096;&#1077;&#1085;&#1080;&#1094;&#1072;%202015-201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НАКОПЛЕНИЕ"/>
      <sheetName val="Накопление по поставщикам"/>
      <sheetName val="ISCC наличие на складе"/>
      <sheetName val="Отгрузка"/>
      <sheetName val="Полный заход"/>
      <sheetName val="Ветеринарки"/>
      <sheetName val="info"/>
      <sheetName val="Лист1"/>
    </sheetNames>
    <sheetDataSet>
      <sheetData sheetId="0"/>
      <sheetData sheetId="1"/>
      <sheetData sheetId="2"/>
      <sheetData sheetId="3"/>
      <sheetData sheetId="4"/>
      <sheetData sheetId="5"/>
      <sheetData sheetId="6">
        <row r="2">
          <cell r="A2" t="str">
            <v>На элеваторе</v>
          </cell>
        </row>
        <row r="3">
          <cell r="A3" t="str">
            <v>Экспортировано</v>
          </cell>
        </row>
        <row r="4">
          <cell r="A4" t="str">
            <v>Передано</v>
          </cell>
        </row>
        <row r="5">
          <cell r="A5" t="str">
            <v>Переоформлено</v>
          </cell>
        </row>
        <row r="6">
          <cell r="A6" t="str">
            <v>Пробы</v>
          </cell>
        </row>
        <row r="7">
          <cell r="A7" t="str">
            <v>Списание</v>
          </cell>
        </row>
        <row r="8">
          <cell r="A8" t="str">
            <v>Продано</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НАКОПЛЕНИЕ"/>
      <sheetName val="Накопление по поставщикам"/>
      <sheetName val="Отгрузка"/>
      <sheetName val="Полный заход"/>
      <sheetName val="Ветеринарки"/>
      <sheetName val="Карантинки"/>
      <sheetName val="info"/>
    </sheetNames>
    <sheetDataSet>
      <sheetData sheetId="0"/>
      <sheetData sheetId="1"/>
      <sheetData sheetId="2"/>
      <sheetData sheetId="3"/>
      <sheetData sheetId="4"/>
      <sheetData sheetId="5"/>
      <sheetData sheetId="6">
        <row r="2">
          <cell r="A2" t="str">
            <v>На элеваторе</v>
          </cell>
        </row>
        <row r="3">
          <cell r="A3" t="str">
            <v>Экспортировано</v>
          </cell>
        </row>
        <row r="4">
          <cell r="A4" t="str">
            <v>Передано</v>
          </cell>
        </row>
        <row r="5">
          <cell r="A5" t="str">
            <v>Переоформлено</v>
          </cell>
        </row>
        <row r="6">
          <cell r="A6" t="str">
            <v>Пробы</v>
          </cell>
        </row>
        <row r="7">
          <cell r="A7" t="str">
            <v>Списание</v>
          </cell>
        </row>
        <row r="8">
          <cell r="A8" t="str">
            <v>Продано</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printerSettings" Target="../printerSettings/printerSettings5.bin"/><Relationship Id="rId7" Type="http://schemas.openxmlformats.org/officeDocument/2006/relationships/vmlDrawing" Target="../drawings/vmlDrawing2.vml"/><Relationship Id="rId12"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drawing" Target="../drawings/drawing2.xml"/><Relationship Id="rId11" Type="http://schemas.openxmlformats.org/officeDocument/2006/relationships/image" Target="../media/image4.emf"/><Relationship Id="rId5" Type="http://schemas.openxmlformats.org/officeDocument/2006/relationships/printerSettings" Target="../printerSettings/printerSettings7.bin"/><Relationship Id="rId10" Type="http://schemas.openxmlformats.org/officeDocument/2006/relationships/control" Target="../activeX/activeX4.xml"/><Relationship Id="rId4" Type="http://schemas.openxmlformats.org/officeDocument/2006/relationships/printerSettings" Target="../printerSettings/printerSettings6.bin"/><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printerSettings" Target="../printerSettings/printerSettings10.bin"/><Relationship Id="rId7" Type="http://schemas.openxmlformats.org/officeDocument/2006/relationships/vmlDrawing" Target="../drawings/vmlDrawing3.vml"/><Relationship Id="rId12" Type="http://schemas.openxmlformats.org/officeDocument/2006/relationships/control" Target="../activeX/activeX8.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drawing" Target="../drawings/drawing3.xml"/><Relationship Id="rId11" Type="http://schemas.openxmlformats.org/officeDocument/2006/relationships/image" Target="../media/image7.emf"/><Relationship Id="rId5" Type="http://schemas.openxmlformats.org/officeDocument/2006/relationships/printerSettings" Target="../printerSettings/printerSettings12.bin"/><Relationship Id="rId10" Type="http://schemas.openxmlformats.org/officeDocument/2006/relationships/control" Target="../activeX/activeX7.xml"/><Relationship Id="rId4" Type="http://schemas.openxmlformats.org/officeDocument/2006/relationships/printerSettings" Target="../printerSettings/printerSettings11.bin"/><Relationship Id="rId9" Type="http://schemas.openxmlformats.org/officeDocument/2006/relationships/image" Target="../media/image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printerSettings" Target="../printerSettings/printerSettings15.bin"/><Relationship Id="rId7" Type="http://schemas.openxmlformats.org/officeDocument/2006/relationships/vmlDrawing" Target="../drawings/vmlDrawing4.vml"/><Relationship Id="rId12" Type="http://schemas.openxmlformats.org/officeDocument/2006/relationships/control" Target="../activeX/activeX1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drawing" Target="../drawings/drawing4.xml"/><Relationship Id="rId11" Type="http://schemas.openxmlformats.org/officeDocument/2006/relationships/image" Target="../media/image10.emf"/><Relationship Id="rId5" Type="http://schemas.openxmlformats.org/officeDocument/2006/relationships/printerSettings" Target="../printerSettings/printerSettings17.bin"/><Relationship Id="rId10" Type="http://schemas.openxmlformats.org/officeDocument/2006/relationships/control" Target="../activeX/activeX10.xml"/><Relationship Id="rId4" Type="http://schemas.openxmlformats.org/officeDocument/2006/relationships/printerSettings" Target="../printerSettings/printerSettings16.bin"/><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5.xml"/><Relationship Id="rId1" Type="http://schemas.openxmlformats.org/officeDocument/2006/relationships/printerSettings" Target="../printerSettings/printerSettings18.bin"/><Relationship Id="rId6" Type="http://schemas.openxmlformats.org/officeDocument/2006/relationships/control" Target="../activeX/activeX13.xml"/><Relationship Id="rId5" Type="http://schemas.openxmlformats.org/officeDocument/2006/relationships/image" Target="../media/image12.emf"/><Relationship Id="rId4" Type="http://schemas.openxmlformats.org/officeDocument/2006/relationships/control" Target="../activeX/activeX12.xml"/><Relationship Id="rId9" Type="http://schemas.openxmlformats.org/officeDocument/2006/relationships/image" Target="../media/image14.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6.vml"/><Relationship Id="rId7" Type="http://schemas.openxmlformats.org/officeDocument/2006/relationships/image" Target="../media/image16.emf"/><Relationship Id="rId2" Type="http://schemas.openxmlformats.org/officeDocument/2006/relationships/drawing" Target="../drawings/drawing6.xml"/><Relationship Id="rId1" Type="http://schemas.openxmlformats.org/officeDocument/2006/relationships/printerSettings" Target="../printerSettings/printerSettings19.bin"/><Relationship Id="rId6" Type="http://schemas.openxmlformats.org/officeDocument/2006/relationships/control" Target="../activeX/activeX16.xml"/><Relationship Id="rId5" Type="http://schemas.openxmlformats.org/officeDocument/2006/relationships/image" Target="../media/image15.emf"/><Relationship Id="rId4" Type="http://schemas.openxmlformats.org/officeDocument/2006/relationships/control" Target="../activeX/activeX15.xml"/><Relationship Id="rId9" Type="http://schemas.openxmlformats.org/officeDocument/2006/relationships/image" Target="../media/image1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3" Type="http://schemas.openxmlformats.org/officeDocument/2006/relationships/printerSettings" Target="../printerSettings/printerSettings22.bin"/><Relationship Id="rId7" Type="http://schemas.openxmlformats.org/officeDocument/2006/relationships/vmlDrawing" Target="../drawings/vmlDrawing7.vml"/><Relationship Id="rId12" Type="http://schemas.openxmlformats.org/officeDocument/2006/relationships/control" Target="../activeX/activeX20.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drawing" Target="../drawings/drawing7.xml"/><Relationship Id="rId11" Type="http://schemas.openxmlformats.org/officeDocument/2006/relationships/image" Target="../media/image19.emf"/><Relationship Id="rId5" Type="http://schemas.openxmlformats.org/officeDocument/2006/relationships/printerSettings" Target="../printerSettings/printerSettings24.bin"/><Relationship Id="rId10" Type="http://schemas.openxmlformats.org/officeDocument/2006/relationships/control" Target="../activeX/activeX19.xml"/><Relationship Id="rId4" Type="http://schemas.openxmlformats.org/officeDocument/2006/relationships/printerSettings" Target="../printerSettings/printerSettings23.bin"/><Relationship Id="rId9" Type="http://schemas.openxmlformats.org/officeDocument/2006/relationships/image" Target="../media/image18.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8.vml"/><Relationship Id="rId7" Type="http://schemas.openxmlformats.org/officeDocument/2006/relationships/image" Target="../media/image22.emf"/><Relationship Id="rId2" Type="http://schemas.openxmlformats.org/officeDocument/2006/relationships/drawing" Target="../drawings/drawing8.xml"/><Relationship Id="rId1" Type="http://schemas.openxmlformats.org/officeDocument/2006/relationships/printerSettings" Target="../printerSettings/printerSettings25.bin"/><Relationship Id="rId6" Type="http://schemas.openxmlformats.org/officeDocument/2006/relationships/control" Target="../activeX/activeX22.xml"/><Relationship Id="rId5" Type="http://schemas.openxmlformats.org/officeDocument/2006/relationships/image" Target="../media/image21.emf"/><Relationship Id="rId10" Type="http://schemas.openxmlformats.org/officeDocument/2006/relationships/comments" Target="../comments1.xml"/><Relationship Id="rId4" Type="http://schemas.openxmlformats.org/officeDocument/2006/relationships/control" Target="../activeX/activeX21.xml"/><Relationship Id="rId9" Type="http://schemas.openxmlformats.org/officeDocument/2006/relationships/image" Target="../media/image23.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9.xml"/><Relationship Id="rId1" Type="http://schemas.openxmlformats.org/officeDocument/2006/relationships/printerSettings" Target="../printerSettings/printerSettings26.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 Id="rId9" Type="http://schemas.openxmlformats.org/officeDocument/2006/relationships/image" Target="../media/image26.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10.vml"/><Relationship Id="rId7" Type="http://schemas.openxmlformats.org/officeDocument/2006/relationships/image" Target="../media/image28.emf"/><Relationship Id="rId2" Type="http://schemas.openxmlformats.org/officeDocument/2006/relationships/drawing" Target="../drawings/drawing10.xml"/><Relationship Id="rId1" Type="http://schemas.openxmlformats.org/officeDocument/2006/relationships/printerSettings" Target="../printerSettings/printerSettings27.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32.emf"/><Relationship Id="rId3" Type="http://schemas.openxmlformats.org/officeDocument/2006/relationships/printerSettings" Target="../printerSettings/printerSettings30.bin"/><Relationship Id="rId7" Type="http://schemas.openxmlformats.org/officeDocument/2006/relationships/vmlDrawing" Target="../drawings/vmlDrawing11.vml"/><Relationship Id="rId12" Type="http://schemas.openxmlformats.org/officeDocument/2006/relationships/control" Target="../activeX/activeX32.xml"/><Relationship Id="rId17" Type="http://schemas.openxmlformats.org/officeDocument/2006/relationships/image" Target="../media/image34.emf"/><Relationship Id="rId2" Type="http://schemas.openxmlformats.org/officeDocument/2006/relationships/printerSettings" Target="../printerSettings/printerSettings29.bin"/><Relationship Id="rId16" Type="http://schemas.openxmlformats.org/officeDocument/2006/relationships/control" Target="../activeX/activeX34.xml"/><Relationship Id="rId1" Type="http://schemas.openxmlformats.org/officeDocument/2006/relationships/printerSettings" Target="../printerSettings/printerSettings28.bin"/><Relationship Id="rId6" Type="http://schemas.openxmlformats.org/officeDocument/2006/relationships/drawing" Target="../drawings/drawing11.xml"/><Relationship Id="rId11" Type="http://schemas.openxmlformats.org/officeDocument/2006/relationships/image" Target="../media/image31.emf"/><Relationship Id="rId5" Type="http://schemas.openxmlformats.org/officeDocument/2006/relationships/printerSettings" Target="../printerSettings/printerSettings32.bin"/><Relationship Id="rId15" Type="http://schemas.openxmlformats.org/officeDocument/2006/relationships/image" Target="../media/image33.emf"/><Relationship Id="rId10" Type="http://schemas.openxmlformats.org/officeDocument/2006/relationships/control" Target="../activeX/activeX31.xml"/><Relationship Id="rId4" Type="http://schemas.openxmlformats.org/officeDocument/2006/relationships/printerSettings" Target="../printerSettings/printerSettings31.bin"/><Relationship Id="rId9" Type="http://schemas.openxmlformats.org/officeDocument/2006/relationships/image" Target="../media/image30.emf"/><Relationship Id="rId14" Type="http://schemas.openxmlformats.org/officeDocument/2006/relationships/control" Target="../activeX/activeX3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2.vml"/><Relationship Id="rId7" Type="http://schemas.openxmlformats.org/officeDocument/2006/relationships/image" Target="../media/image36.emf"/><Relationship Id="rId2" Type="http://schemas.openxmlformats.org/officeDocument/2006/relationships/drawing" Target="../drawings/drawing12.xml"/><Relationship Id="rId1" Type="http://schemas.openxmlformats.org/officeDocument/2006/relationships/printerSettings" Target="../printerSettings/printerSettings33.bin"/><Relationship Id="rId6" Type="http://schemas.openxmlformats.org/officeDocument/2006/relationships/control" Target="../activeX/activeX36.xml"/><Relationship Id="rId5" Type="http://schemas.openxmlformats.org/officeDocument/2006/relationships/image" Target="../media/image35.emf"/><Relationship Id="rId4" Type="http://schemas.openxmlformats.org/officeDocument/2006/relationships/control" Target="../activeX/activeX35.xml"/><Relationship Id="rId9" Type="http://schemas.openxmlformats.org/officeDocument/2006/relationships/image" Target="../media/image37.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3.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39.xml"/><Relationship Id="rId5" Type="http://schemas.openxmlformats.org/officeDocument/2006/relationships/image" Target="../media/image38.emf"/><Relationship Id="rId4" Type="http://schemas.openxmlformats.org/officeDocument/2006/relationships/control" Target="../activeX/activeX38.xml"/><Relationship Id="rId9" Type="http://schemas.openxmlformats.org/officeDocument/2006/relationships/image" Target="../media/image4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2146"/>
  <sheetViews>
    <sheetView zoomScale="85" zoomScaleNormal="85" workbookViewId="0">
      <pane ySplit="10" topLeftCell="A1940" activePane="bottomLeft" state="frozen"/>
      <selection pane="bottomLeft" activeCell="S1958" sqref="S1958"/>
    </sheetView>
  </sheetViews>
  <sheetFormatPr defaultRowHeight="12.75" x14ac:dyDescent="0.2"/>
  <cols>
    <col min="1" max="1" width="3.7109375" customWidth="1"/>
    <col min="2" max="2" width="20.140625" style="1" customWidth="1"/>
    <col min="3" max="3" width="30.85546875" style="1" customWidth="1"/>
    <col min="4" max="5" width="10.7109375" customWidth="1"/>
    <col min="6" max="6" width="8.42578125" customWidth="1"/>
    <col min="7" max="7" width="16.28515625" style="1" customWidth="1"/>
    <col min="8" max="8" width="10.140625" style="1" customWidth="1"/>
    <col min="9" max="9" width="15.7109375" customWidth="1"/>
    <col min="10" max="10" width="19.28515625" style="110" customWidth="1"/>
    <col min="11" max="11" width="17.140625" style="4" customWidth="1"/>
    <col min="12" max="12" width="10.7109375" style="4" customWidth="1"/>
    <col min="13" max="13" width="8" style="4" customWidth="1"/>
    <col min="14" max="14" width="14.140625" customWidth="1"/>
    <col min="15" max="15" width="7.5703125" customWidth="1"/>
    <col min="16" max="16" width="13.5703125" customWidth="1"/>
  </cols>
  <sheetData>
    <row r="1" spans="1:16" ht="13.5" thickBot="1" x14ac:dyDescent="0.25">
      <c r="A1" s="1">
        <v>1</v>
      </c>
      <c r="B1" s="1">
        <v>2</v>
      </c>
      <c r="C1" s="1">
        <v>3</v>
      </c>
      <c r="D1" s="1">
        <v>4</v>
      </c>
      <c r="E1" s="1">
        <v>5</v>
      </c>
      <c r="F1" s="1">
        <v>6</v>
      </c>
      <c r="G1" s="1">
        <v>7</v>
      </c>
      <c r="H1" s="1">
        <v>8</v>
      </c>
      <c r="I1" s="1">
        <v>9</v>
      </c>
      <c r="J1" s="110">
        <v>10</v>
      </c>
      <c r="K1" s="110">
        <v>11</v>
      </c>
      <c r="L1" s="110">
        <v>12</v>
      </c>
      <c r="M1" s="110">
        <v>13</v>
      </c>
      <c r="N1" s="1">
        <v>14</v>
      </c>
      <c r="P1" s="9" t="s">
        <v>98</v>
      </c>
    </row>
    <row r="2" spans="1:16" x14ac:dyDescent="0.2">
      <c r="A2" s="57"/>
      <c r="D2" s="57"/>
      <c r="E2" s="57"/>
      <c r="F2" s="57"/>
      <c r="H2" s="866" t="s">
        <v>114</v>
      </c>
      <c r="I2" s="867"/>
      <c r="J2" s="868" t="s">
        <v>115</v>
      </c>
      <c r="K2" s="425"/>
      <c r="L2" s="425"/>
      <c r="M2" s="110"/>
      <c r="N2" s="1"/>
      <c r="O2" s="120"/>
      <c r="P2" s="9" t="s">
        <v>104</v>
      </c>
    </row>
    <row r="3" spans="1:16" x14ac:dyDescent="0.2">
      <c r="A3" s="57"/>
      <c r="D3" s="57"/>
      <c r="E3" s="57"/>
      <c r="F3" s="57"/>
      <c r="H3" s="84" t="s">
        <v>116</v>
      </c>
      <c r="I3" s="3" t="s">
        <v>117</v>
      </c>
      <c r="J3" s="869"/>
      <c r="K3" s="425"/>
      <c r="L3" s="276"/>
      <c r="M3" s="110"/>
      <c r="N3" s="1"/>
      <c r="O3" s="120"/>
      <c r="P3" s="9" t="s">
        <v>94</v>
      </c>
    </row>
    <row r="4" spans="1:16" ht="13.5" thickBot="1" x14ac:dyDescent="0.25">
      <c r="A4" s="57"/>
      <c r="D4" s="57"/>
      <c r="E4" s="57"/>
      <c r="F4" s="57"/>
      <c r="H4" s="85">
        <v>10000</v>
      </c>
      <c r="I4" s="79">
        <v>30000</v>
      </c>
      <c r="J4" s="426"/>
      <c r="K4" s="425"/>
      <c r="L4" s="276"/>
      <c r="M4" s="110"/>
      <c r="N4" s="1"/>
      <c r="O4" s="120"/>
      <c r="P4" s="9" t="s">
        <v>96</v>
      </c>
    </row>
    <row r="5" spans="1:16" ht="13.5" thickBot="1" x14ac:dyDescent="0.25">
      <c r="A5" s="57"/>
      <c r="D5" s="57"/>
      <c r="E5" s="57"/>
      <c r="F5" s="57"/>
      <c r="I5" s="57"/>
      <c r="K5" s="425"/>
      <c r="L5" s="276"/>
      <c r="M5" s="110"/>
      <c r="N5" s="1"/>
      <c r="O5" s="120"/>
      <c r="P5" s="9" t="s">
        <v>97</v>
      </c>
    </row>
    <row r="6" spans="1:16" x14ac:dyDescent="0.2">
      <c r="A6" s="57"/>
      <c r="B6" s="870" t="s">
        <v>118</v>
      </c>
      <c r="C6" s="871"/>
      <c r="D6" s="871"/>
      <c r="E6" s="871"/>
      <c r="F6" s="872"/>
      <c r="I6" s="57"/>
      <c r="M6" s="425"/>
      <c r="N6" s="57"/>
      <c r="O6" s="120"/>
      <c r="P6" s="9" t="s">
        <v>76</v>
      </c>
    </row>
    <row r="7" spans="1:16" x14ac:dyDescent="0.2">
      <c r="A7" s="57"/>
      <c r="B7" s="86" t="s">
        <v>119</v>
      </c>
      <c r="C7" s="2" t="s">
        <v>120</v>
      </c>
      <c r="D7" s="2" t="s">
        <v>121</v>
      </c>
      <c r="E7" s="2" t="s">
        <v>122</v>
      </c>
      <c r="F7" s="87" t="s">
        <v>123</v>
      </c>
      <c r="I7" s="57"/>
      <c r="M7" s="425"/>
      <c r="N7" s="57"/>
      <c r="O7" s="120"/>
      <c r="P7" s="9" t="s">
        <v>83</v>
      </c>
    </row>
    <row r="8" spans="1:16" ht="13.5" thickBot="1" x14ac:dyDescent="0.25">
      <c r="A8" s="57"/>
      <c r="B8" s="88" t="s">
        <v>124</v>
      </c>
      <c r="C8" s="89" t="s">
        <v>227</v>
      </c>
      <c r="D8" s="90" t="s">
        <v>291</v>
      </c>
      <c r="E8" s="91" t="s">
        <v>295</v>
      </c>
      <c r="F8" s="92" t="s">
        <v>294</v>
      </c>
      <c r="I8" s="57"/>
      <c r="K8" s="425"/>
      <c r="L8" s="425"/>
      <c r="M8" s="425"/>
      <c r="N8" s="57"/>
      <c r="O8" s="121"/>
      <c r="P8" s="9" t="s">
        <v>2</v>
      </c>
    </row>
    <row r="9" spans="1:16" ht="13.5" thickBot="1" x14ac:dyDescent="0.25">
      <c r="A9" s="57"/>
      <c r="D9" s="57"/>
      <c r="E9" s="57"/>
      <c r="F9" s="57"/>
      <c r="I9" s="57"/>
      <c r="K9" s="425"/>
      <c r="L9" s="276"/>
      <c r="M9" s="110"/>
      <c r="N9" s="1"/>
      <c r="P9" s="121"/>
    </row>
    <row r="10" spans="1:16" ht="39" thickBot="1" x14ac:dyDescent="0.25">
      <c r="A10" s="57"/>
      <c r="B10" s="93" t="s">
        <v>0</v>
      </c>
      <c r="C10" s="94" t="s">
        <v>125</v>
      </c>
      <c r="D10" s="95" t="s">
        <v>126</v>
      </c>
      <c r="E10" s="95" t="s">
        <v>127</v>
      </c>
      <c r="F10" s="96" t="s">
        <v>128</v>
      </c>
      <c r="G10" s="97" t="s">
        <v>129</v>
      </c>
      <c r="H10" s="98" t="s">
        <v>130</v>
      </c>
      <c r="I10" s="99" t="s">
        <v>18</v>
      </c>
      <c r="J10" s="427" t="s">
        <v>131</v>
      </c>
      <c r="K10" s="428" t="s">
        <v>132</v>
      </c>
      <c r="L10" s="429" t="s">
        <v>133</v>
      </c>
      <c r="M10" s="430"/>
      <c r="N10" s="100"/>
      <c r="P10" s="121"/>
    </row>
    <row r="11" spans="1:16" x14ac:dyDescent="0.2">
      <c r="B11" s="696">
        <v>42599.739942129629</v>
      </c>
      <c r="C11" s="1" t="s">
        <v>460</v>
      </c>
      <c r="E11" t="s">
        <v>225</v>
      </c>
      <c r="F11" t="s">
        <v>305</v>
      </c>
      <c r="G11" s="1" t="s">
        <v>3</v>
      </c>
      <c r="H11" s="1">
        <v>553406</v>
      </c>
      <c r="I11" t="s">
        <v>467</v>
      </c>
      <c r="J11" s="110">
        <v>5479</v>
      </c>
      <c r="K11" s="4" t="s">
        <v>409</v>
      </c>
      <c r="L11" s="4">
        <v>19.62</v>
      </c>
      <c r="M11" s="4">
        <v>11</v>
      </c>
      <c r="N11">
        <v>0.88</v>
      </c>
    </row>
    <row r="12" spans="1:16" x14ac:dyDescent="0.2">
      <c r="B12" s="696">
        <v>42599.74800925926</v>
      </c>
      <c r="C12" s="1" t="s">
        <v>408</v>
      </c>
      <c r="E12" t="s">
        <v>225</v>
      </c>
      <c r="F12" t="s">
        <v>305</v>
      </c>
      <c r="G12" s="1" t="s">
        <v>3</v>
      </c>
      <c r="H12" s="1">
        <v>553592</v>
      </c>
      <c r="I12" t="s">
        <v>467</v>
      </c>
      <c r="J12" s="110">
        <v>350869</v>
      </c>
      <c r="K12" s="4" t="s">
        <v>410</v>
      </c>
      <c r="L12" s="4">
        <v>25.1</v>
      </c>
      <c r="M12" s="4">
        <v>12</v>
      </c>
      <c r="N12">
        <v>0.84</v>
      </c>
    </row>
    <row r="13" spans="1:16" x14ac:dyDescent="0.2">
      <c r="B13" s="696">
        <v>42600.143159722225</v>
      </c>
      <c r="C13" s="1" t="s">
        <v>408</v>
      </c>
      <c r="E13" t="s">
        <v>225</v>
      </c>
      <c r="F13" t="s">
        <v>305</v>
      </c>
      <c r="G13" s="1" t="s">
        <v>3</v>
      </c>
      <c r="H13" s="1">
        <v>553592</v>
      </c>
      <c r="I13" t="s">
        <v>467</v>
      </c>
      <c r="J13" s="110">
        <v>355435</v>
      </c>
      <c r="K13" s="4" t="s">
        <v>411</v>
      </c>
      <c r="L13" s="4">
        <v>25.58</v>
      </c>
      <c r="M13" s="4">
        <v>11.5</v>
      </c>
      <c r="N13">
        <v>1.58</v>
      </c>
    </row>
    <row r="14" spans="1:16" x14ac:dyDescent="0.2">
      <c r="B14" s="696">
        <v>42600.152511574073</v>
      </c>
      <c r="C14" s="1" t="s">
        <v>408</v>
      </c>
      <c r="E14" t="s">
        <v>225</v>
      </c>
      <c r="F14" t="s">
        <v>305</v>
      </c>
      <c r="G14" s="1" t="s">
        <v>3</v>
      </c>
      <c r="H14" s="1">
        <v>553592</v>
      </c>
      <c r="I14" t="s">
        <v>467</v>
      </c>
      <c r="J14" s="110">
        <v>355434</v>
      </c>
      <c r="K14" s="4" t="s">
        <v>412</v>
      </c>
      <c r="L14" s="4">
        <v>25.48</v>
      </c>
      <c r="M14" s="4">
        <v>11.9</v>
      </c>
      <c r="N14">
        <v>1.82</v>
      </c>
    </row>
    <row r="15" spans="1:16" x14ac:dyDescent="0.2">
      <c r="B15" s="696">
        <v>42600.262118055558</v>
      </c>
      <c r="C15" s="1" t="s">
        <v>408</v>
      </c>
      <c r="E15" t="s">
        <v>225</v>
      </c>
      <c r="F15" t="s">
        <v>305</v>
      </c>
      <c r="G15" s="1" t="s">
        <v>3</v>
      </c>
      <c r="H15" s="1">
        <v>553592</v>
      </c>
      <c r="I15" t="s">
        <v>467</v>
      </c>
      <c r="J15" s="110">
        <v>350673</v>
      </c>
      <c r="K15" s="4" t="s">
        <v>413</v>
      </c>
      <c r="L15" s="4">
        <v>26.08</v>
      </c>
      <c r="M15" s="4">
        <v>12.4</v>
      </c>
      <c r="N15">
        <v>1.2</v>
      </c>
    </row>
    <row r="16" spans="1:16" x14ac:dyDescent="0.2">
      <c r="B16" s="696">
        <v>42600.268796296295</v>
      </c>
      <c r="C16" s="1" t="s">
        <v>462</v>
      </c>
      <c r="E16" t="s">
        <v>225</v>
      </c>
      <c r="F16" t="s">
        <v>305</v>
      </c>
      <c r="G16" s="1" t="s">
        <v>3</v>
      </c>
      <c r="H16" s="1">
        <v>553407</v>
      </c>
      <c r="I16" t="s">
        <v>467</v>
      </c>
      <c r="J16" s="110">
        <v>33</v>
      </c>
      <c r="K16" s="4" t="s">
        <v>414</v>
      </c>
      <c r="L16" s="4">
        <v>21.68</v>
      </c>
      <c r="M16" s="4">
        <v>11.6</v>
      </c>
      <c r="N16">
        <v>0.84</v>
      </c>
    </row>
    <row r="17" spans="2:14" x14ac:dyDescent="0.2">
      <c r="B17" s="696">
        <v>42600.275636574072</v>
      </c>
      <c r="C17" s="1" t="s">
        <v>408</v>
      </c>
      <c r="E17" t="s">
        <v>225</v>
      </c>
      <c r="F17" t="s">
        <v>305</v>
      </c>
      <c r="G17" s="1" t="s">
        <v>3</v>
      </c>
      <c r="H17" s="1">
        <v>553592</v>
      </c>
      <c r="I17" t="s">
        <v>467</v>
      </c>
      <c r="J17" s="110">
        <v>350674</v>
      </c>
      <c r="K17" s="4" t="s">
        <v>415</v>
      </c>
      <c r="L17" s="4">
        <v>26.06</v>
      </c>
      <c r="M17" s="4">
        <v>12.5</v>
      </c>
      <c r="N17">
        <v>1.2</v>
      </c>
    </row>
    <row r="18" spans="2:14" x14ac:dyDescent="0.2">
      <c r="B18" s="696">
        <v>42600.28361111111</v>
      </c>
      <c r="C18" s="1" t="s">
        <v>465</v>
      </c>
      <c r="E18" t="s">
        <v>225</v>
      </c>
      <c r="F18" t="s">
        <v>305</v>
      </c>
      <c r="G18" s="1" t="s">
        <v>3</v>
      </c>
      <c r="H18" s="1">
        <v>553448</v>
      </c>
      <c r="I18" t="s">
        <v>467</v>
      </c>
      <c r="J18" s="110">
        <v>21384</v>
      </c>
      <c r="K18" s="4" t="s">
        <v>416</v>
      </c>
      <c r="L18" s="4">
        <v>23.82</v>
      </c>
      <c r="M18" s="4">
        <v>10.5</v>
      </c>
      <c r="N18">
        <v>0.8</v>
      </c>
    </row>
    <row r="19" spans="2:14" x14ac:dyDescent="0.2">
      <c r="B19" s="696">
        <v>42600.287685185183</v>
      </c>
      <c r="C19" s="1" t="s">
        <v>408</v>
      </c>
      <c r="E19" t="s">
        <v>225</v>
      </c>
      <c r="F19" t="s">
        <v>305</v>
      </c>
      <c r="G19" s="1" t="s">
        <v>3</v>
      </c>
      <c r="H19" s="1">
        <v>553592</v>
      </c>
      <c r="I19" t="s">
        <v>467</v>
      </c>
      <c r="J19" s="110">
        <v>350672</v>
      </c>
      <c r="K19" s="4" t="s">
        <v>417</v>
      </c>
      <c r="L19" s="4">
        <v>25.58</v>
      </c>
      <c r="M19" s="4">
        <v>11.9</v>
      </c>
      <c r="N19">
        <v>1.1000000000000001</v>
      </c>
    </row>
    <row r="20" spans="2:14" x14ac:dyDescent="0.2">
      <c r="B20" s="696">
        <v>42599.382280092592</v>
      </c>
      <c r="C20" s="1" t="s">
        <v>465</v>
      </c>
      <c r="E20" t="s">
        <v>225</v>
      </c>
      <c r="F20" t="s">
        <v>305</v>
      </c>
      <c r="G20" s="1" t="s">
        <v>3</v>
      </c>
      <c r="H20" s="1">
        <v>553493</v>
      </c>
      <c r="I20" t="s">
        <v>468</v>
      </c>
      <c r="J20" s="110">
        <v>21389</v>
      </c>
      <c r="K20" s="4" t="s">
        <v>422</v>
      </c>
      <c r="L20" s="4">
        <v>24.3</v>
      </c>
      <c r="M20" s="4">
        <v>12</v>
      </c>
      <c r="N20">
        <v>1</v>
      </c>
    </row>
    <row r="21" spans="2:14" x14ac:dyDescent="0.2">
      <c r="B21" s="696">
        <v>42599.396990740737</v>
      </c>
      <c r="C21" s="1" t="s">
        <v>464</v>
      </c>
      <c r="E21" t="s">
        <v>225</v>
      </c>
      <c r="F21" t="s">
        <v>305</v>
      </c>
      <c r="G21" s="1" t="s">
        <v>3</v>
      </c>
      <c r="H21" s="1">
        <v>553413</v>
      </c>
      <c r="I21" t="s">
        <v>468</v>
      </c>
      <c r="J21" s="110">
        <v>198</v>
      </c>
      <c r="K21" s="4" t="s">
        <v>423</v>
      </c>
      <c r="L21" s="4">
        <v>25.6</v>
      </c>
      <c r="M21" s="4">
        <v>11</v>
      </c>
      <c r="N21">
        <v>0.96</v>
      </c>
    </row>
    <row r="22" spans="2:14" x14ac:dyDescent="0.2">
      <c r="B22" s="696">
        <v>42599.672986111109</v>
      </c>
      <c r="C22" s="1" t="s">
        <v>464</v>
      </c>
      <c r="E22" t="s">
        <v>225</v>
      </c>
      <c r="F22" t="s">
        <v>305</v>
      </c>
      <c r="G22" s="1" t="s">
        <v>3</v>
      </c>
      <c r="H22" s="1">
        <v>553413</v>
      </c>
      <c r="I22" t="s">
        <v>468</v>
      </c>
      <c r="J22" s="110">
        <v>200</v>
      </c>
      <c r="K22" s="4" t="s">
        <v>424</v>
      </c>
      <c r="L22" s="4">
        <v>25.08</v>
      </c>
      <c r="M22" s="4">
        <v>10.6</v>
      </c>
      <c r="N22">
        <v>0.82</v>
      </c>
    </row>
    <row r="23" spans="2:14" x14ac:dyDescent="0.2">
      <c r="B23" s="696">
        <v>42599.69054398148</v>
      </c>
      <c r="C23" s="1" t="s">
        <v>462</v>
      </c>
      <c r="E23" t="s">
        <v>225</v>
      </c>
      <c r="F23" t="s">
        <v>305</v>
      </c>
      <c r="G23" s="1" t="s">
        <v>3</v>
      </c>
      <c r="H23" s="1">
        <v>553411</v>
      </c>
      <c r="I23" t="s">
        <v>468</v>
      </c>
      <c r="J23" s="110">
        <v>31</v>
      </c>
      <c r="K23" s="4" t="s">
        <v>425</v>
      </c>
      <c r="L23" s="4">
        <v>23.72</v>
      </c>
      <c r="M23" s="4">
        <v>11.2</v>
      </c>
      <c r="N23">
        <v>1.04</v>
      </c>
    </row>
    <row r="24" spans="2:14" x14ac:dyDescent="0.2">
      <c r="B24" s="696">
        <v>42599.694502314815</v>
      </c>
      <c r="C24" s="1" t="s">
        <v>464</v>
      </c>
      <c r="E24" t="s">
        <v>225</v>
      </c>
      <c r="F24" t="s">
        <v>305</v>
      </c>
      <c r="G24" s="1" t="s">
        <v>3</v>
      </c>
      <c r="H24" s="1">
        <v>553413</v>
      </c>
      <c r="I24" t="s">
        <v>468</v>
      </c>
      <c r="J24" s="110">
        <v>199</v>
      </c>
      <c r="K24" s="4" t="s">
        <v>426</v>
      </c>
      <c r="L24" s="4">
        <v>24.96</v>
      </c>
      <c r="M24" s="4">
        <v>10.6</v>
      </c>
      <c r="N24">
        <v>0.82</v>
      </c>
    </row>
    <row r="25" spans="2:14" x14ac:dyDescent="0.2">
      <c r="B25" s="696">
        <v>42599.700138888889</v>
      </c>
      <c r="C25" s="1" t="s">
        <v>462</v>
      </c>
      <c r="E25" t="s">
        <v>225</v>
      </c>
      <c r="F25" t="s">
        <v>305</v>
      </c>
      <c r="G25" s="1" t="s">
        <v>3</v>
      </c>
      <c r="H25" s="1">
        <v>553411</v>
      </c>
      <c r="I25" t="s">
        <v>468</v>
      </c>
      <c r="J25" s="110">
        <v>30</v>
      </c>
      <c r="K25" s="4" t="s">
        <v>427</v>
      </c>
      <c r="L25" s="4">
        <v>23.2</v>
      </c>
      <c r="M25" s="4">
        <v>11.4</v>
      </c>
      <c r="N25">
        <v>0.86</v>
      </c>
    </row>
    <row r="26" spans="2:14" x14ac:dyDescent="0.2">
      <c r="B26" s="696">
        <v>42599.706956018519</v>
      </c>
      <c r="C26" s="1" t="s">
        <v>464</v>
      </c>
      <c r="E26" t="s">
        <v>225</v>
      </c>
      <c r="F26" t="s">
        <v>305</v>
      </c>
      <c r="G26" s="1" t="s">
        <v>3</v>
      </c>
      <c r="H26" s="1">
        <v>553413</v>
      </c>
      <c r="I26" t="s">
        <v>468</v>
      </c>
      <c r="J26" s="110">
        <v>202</v>
      </c>
      <c r="K26" s="4" t="s">
        <v>428</v>
      </c>
      <c r="L26" s="4">
        <v>24.9</v>
      </c>
      <c r="M26" s="4">
        <v>10.3</v>
      </c>
      <c r="N26">
        <v>0.9</v>
      </c>
    </row>
    <row r="27" spans="2:14" x14ac:dyDescent="0.2">
      <c r="B27" s="696">
        <v>42599.712094907409</v>
      </c>
      <c r="C27" s="1" t="s">
        <v>460</v>
      </c>
      <c r="E27" t="s">
        <v>225</v>
      </c>
      <c r="F27" t="s">
        <v>305</v>
      </c>
      <c r="G27" s="1" t="s">
        <v>3</v>
      </c>
      <c r="H27" s="1">
        <v>553410</v>
      </c>
      <c r="I27" t="s">
        <v>468</v>
      </c>
      <c r="J27" s="110">
        <v>5483</v>
      </c>
      <c r="K27" s="4" t="s">
        <v>429</v>
      </c>
      <c r="L27" s="4">
        <v>20.64</v>
      </c>
      <c r="M27" s="4">
        <v>12.3</v>
      </c>
      <c r="N27">
        <v>0.9</v>
      </c>
    </row>
    <row r="28" spans="2:14" x14ac:dyDescent="0.2">
      <c r="B28" s="696">
        <v>42599.728263888886</v>
      </c>
      <c r="C28" s="1" t="s">
        <v>464</v>
      </c>
      <c r="E28" t="s">
        <v>225</v>
      </c>
      <c r="F28" t="s">
        <v>305</v>
      </c>
      <c r="G28" s="1" t="s">
        <v>3</v>
      </c>
      <c r="H28" s="1">
        <v>553413</v>
      </c>
      <c r="I28" t="s">
        <v>468</v>
      </c>
      <c r="J28" s="110">
        <v>203</v>
      </c>
      <c r="K28" s="4" t="s">
        <v>430</v>
      </c>
      <c r="L28" s="4">
        <v>24.24</v>
      </c>
      <c r="M28" s="4">
        <v>10.7</v>
      </c>
      <c r="N28">
        <v>0.88</v>
      </c>
    </row>
    <row r="29" spans="2:14" x14ac:dyDescent="0.2">
      <c r="B29" s="696">
        <v>42599.732071759259</v>
      </c>
      <c r="C29" s="1" t="s">
        <v>460</v>
      </c>
      <c r="E29" t="s">
        <v>225</v>
      </c>
      <c r="F29" t="s">
        <v>305</v>
      </c>
      <c r="G29" s="1" t="s">
        <v>3</v>
      </c>
      <c r="H29" s="1">
        <v>553410</v>
      </c>
      <c r="I29" t="s">
        <v>468</v>
      </c>
      <c r="J29" s="110">
        <v>5482</v>
      </c>
      <c r="K29" s="4" t="s">
        <v>431</v>
      </c>
      <c r="L29" s="4">
        <v>20.88</v>
      </c>
      <c r="M29" s="4">
        <v>12.3</v>
      </c>
      <c r="N29">
        <v>0.88</v>
      </c>
    </row>
    <row r="30" spans="2:14" x14ac:dyDescent="0.2">
      <c r="B30" s="696">
        <v>42599.766759259262</v>
      </c>
      <c r="C30" s="1" t="s">
        <v>460</v>
      </c>
      <c r="E30" t="s">
        <v>225</v>
      </c>
      <c r="F30" t="s">
        <v>305</v>
      </c>
      <c r="G30" s="1" t="s">
        <v>3</v>
      </c>
      <c r="H30" s="1">
        <v>553410</v>
      </c>
      <c r="I30" t="s">
        <v>468</v>
      </c>
      <c r="J30" s="110">
        <v>5480</v>
      </c>
      <c r="K30" s="4" t="s">
        <v>432</v>
      </c>
      <c r="L30" s="4">
        <v>21.48</v>
      </c>
      <c r="M30" s="4">
        <v>12</v>
      </c>
      <c r="N30">
        <v>0.86</v>
      </c>
    </row>
    <row r="31" spans="2:14" x14ac:dyDescent="0.2">
      <c r="B31" s="696">
        <v>42599.775393518517</v>
      </c>
      <c r="C31" s="1" t="s">
        <v>408</v>
      </c>
      <c r="E31" t="s">
        <v>225</v>
      </c>
      <c r="F31" t="s">
        <v>305</v>
      </c>
      <c r="G31" s="1" t="s">
        <v>3</v>
      </c>
      <c r="H31" s="1">
        <v>553568</v>
      </c>
      <c r="I31" t="s">
        <v>468</v>
      </c>
      <c r="J31" s="110">
        <v>355445</v>
      </c>
      <c r="K31" s="4" t="s">
        <v>433</v>
      </c>
      <c r="L31" s="4">
        <v>26.1</v>
      </c>
      <c r="M31" s="4">
        <v>12.6</v>
      </c>
      <c r="N31">
        <v>1</v>
      </c>
    </row>
    <row r="32" spans="2:14" x14ac:dyDescent="0.2">
      <c r="B32" s="696">
        <v>42599.782951388886</v>
      </c>
      <c r="C32" s="1" t="s">
        <v>408</v>
      </c>
      <c r="E32" t="s">
        <v>225</v>
      </c>
      <c r="F32" t="s">
        <v>305</v>
      </c>
      <c r="G32" s="1" t="s">
        <v>3</v>
      </c>
      <c r="H32" s="1">
        <v>553568</v>
      </c>
      <c r="I32" t="s">
        <v>468</v>
      </c>
      <c r="J32" s="110">
        <v>355446</v>
      </c>
      <c r="K32" s="4" t="s">
        <v>434</v>
      </c>
      <c r="L32" s="4">
        <v>25.34</v>
      </c>
      <c r="M32" s="4">
        <v>12.3</v>
      </c>
      <c r="N32">
        <v>0.86</v>
      </c>
    </row>
    <row r="33" spans="2:14" x14ac:dyDescent="0.2">
      <c r="B33" s="696">
        <v>42599.794745370367</v>
      </c>
      <c r="C33" s="1" t="s">
        <v>464</v>
      </c>
      <c r="E33" t="s">
        <v>225</v>
      </c>
      <c r="F33" t="s">
        <v>305</v>
      </c>
      <c r="G33" s="1" t="s">
        <v>3</v>
      </c>
      <c r="H33" s="1">
        <v>553413</v>
      </c>
      <c r="I33" t="s">
        <v>468</v>
      </c>
      <c r="J33" s="110">
        <v>201</v>
      </c>
      <c r="K33" s="4" t="s">
        <v>435</v>
      </c>
      <c r="L33" s="4">
        <v>23.78</v>
      </c>
      <c r="M33" s="4">
        <v>10.7</v>
      </c>
      <c r="N33">
        <v>1.08</v>
      </c>
    </row>
    <row r="34" spans="2:14" x14ac:dyDescent="0.2">
      <c r="B34" s="696">
        <v>42599.804942129631</v>
      </c>
      <c r="C34" s="1" t="s">
        <v>408</v>
      </c>
      <c r="E34" t="s">
        <v>225</v>
      </c>
      <c r="F34" t="s">
        <v>305</v>
      </c>
      <c r="G34" s="1" t="s">
        <v>3</v>
      </c>
      <c r="H34" s="1">
        <v>553568</v>
      </c>
      <c r="I34" t="s">
        <v>468</v>
      </c>
      <c r="J34" s="110">
        <v>355440</v>
      </c>
      <c r="K34" s="4" t="s">
        <v>436</v>
      </c>
      <c r="L34" s="4">
        <v>25.18</v>
      </c>
      <c r="M34" s="4">
        <v>10.6</v>
      </c>
      <c r="N34">
        <v>1.48</v>
      </c>
    </row>
    <row r="35" spans="2:14" x14ac:dyDescent="0.2">
      <c r="B35" s="696">
        <v>42599.810474537036</v>
      </c>
      <c r="C35" s="1" t="s">
        <v>418</v>
      </c>
      <c r="E35" t="s">
        <v>225</v>
      </c>
      <c r="F35" t="s">
        <v>305</v>
      </c>
      <c r="G35" s="1" t="s">
        <v>3</v>
      </c>
      <c r="H35" s="1">
        <v>552705</v>
      </c>
      <c r="I35" t="s">
        <v>468</v>
      </c>
      <c r="J35" s="110">
        <v>46987012</v>
      </c>
      <c r="K35" s="4">
        <v>95493227</v>
      </c>
      <c r="L35" s="4">
        <v>65.849999999999994</v>
      </c>
      <c r="M35" s="4">
        <v>13.2</v>
      </c>
      <c r="N35">
        <v>2</v>
      </c>
    </row>
    <row r="36" spans="2:14" x14ac:dyDescent="0.2">
      <c r="B36" s="696">
        <v>42599.811041666668</v>
      </c>
      <c r="C36" s="1" t="s">
        <v>418</v>
      </c>
      <c r="E36" t="s">
        <v>225</v>
      </c>
      <c r="F36" t="s">
        <v>305</v>
      </c>
      <c r="G36" s="1" t="s">
        <v>3</v>
      </c>
      <c r="H36" s="1">
        <v>552705</v>
      </c>
      <c r="I36" t="s">
        <v>468</v>
      </c>
      <c r="J36" s="110">
        <v>46987012</v>
      </c>
      <c r="K36" s="4">
        <v>95623211</v>
      </c>
      <c r="L36" s="4">
        <v>66.400000000000006</v>
      </c>
      <c r="M36" s="4">
        <v>13.2</v>
      </c>
      <c r="N36">
        <v>2</v>
      </c>
    </row>
    <row r="37" spans="2:14" x14ac:dyDescent="0.2">
      <c r="B37" s="696">
        <v>42599.811597222222</v>
      </c>
      <c r="C37" s="1" t="s">
        <v>418</v>
      </c>
      <c r="E37" t="s">
        <v>225</v>
      </c>
      <c r="F37" t="s">
        <v>305</v>
      </c>
      <c r="G37" s="1" t="s">
        <v>3</v>
      </c>
      <c r="H37" s="1">
        <v>552705</v>
      </c>
      <c r="I37" t="s">
        <v>468</v>
      </c>
      <c r="J37" s="110">
        <v>46987012</v>
      </c>
      <c r="K37" s="4">
        <v>95618047</v>
      </c>
      <c r="L37" s="4">
        <v>67.8</v>
      </c>
      <c r="M37" s="4">
        <v>12.3</v>
      </c>
      <c r="N37">
        <v>2</v>
      </c>
    </row>
    <row r="38" spans="2:14" x14ac:dyDescent="0.2">
      <c r="B38" s="696">
        <v>42599.812025462961</v>
      </c>
      <c r="C38" s="1" t="s">
        <v>418</v>
      </c>
      <c r="E38" t="s">
        <v>225</v>
      </c>
      <c r="F38" t="s">
        <v>305</v>
      </c>
      <c r="G38" s="1" t="s">
        <v>3</v>
      </c>
      <c r="H38" s="1">
        <v>552705</v>
      </c>
      <c r="I38" t="s">
        <v>468</v>
      </c>
      <c r="J38" s="110">
        <v>46987012</v>
      </c>
      <c r="K38" s="4">
        <v>95712717</v>
      </c>
      <c r="L38" s="4">
        <v>66.5</v>
      </c>
      <c r="M38" s="4">
        <v>12.5</v>
      </c>
      <c r="N38">
        <v>2</v>
      </c>
    </row>
    <row r="39" spans="2:14" x14ac:dyDescent="0.2">
      <c r="B39" s="696">
        <v>42599.812534722223</v>
      </c>
      <c r="C39" s="1" t="s">
        <v>418</v>
      </c>
      <c r="E39" t="s">
        <v>225</v>
      </c>
      <c r="F39" t="s">
        <v>305</v>
      </c>
      <c r="G39" s="1" t="s">
        <v>3</v>
      </c>
      <c r="H39" s="1">
        <v>552705</v>
      </c>
      <c r="I39" t="s">
        <v>468</v>
      </c>
      <c r="J39" s="110">
        <v>46987012</v>
      </c>
      <c r="K39" s="4">
        <v>95682043</v>
      </c>
      <c r="L39" s="4">
        <v>67.3</v>
      </c>
      <c r="M39" s="4">
        <v>14</v>
      </c>
      <c r="N39">
        <v>2</v>
      </c>
    </row>
    <row r="40" spans="2:14" x14ac:dyDescent="0.2">
      <c r="B40" s="696">
        <v>42599.813067129631</v>
      </c>
      <c r="C40" s="1" t="s">
        <v>418</v>
      </c>
      <c r="E40" t="s">
        <v>225</v>
      </c>
      <c r="F40" t="s">
        <v>305</v>
      </c>
      <c r="G40" s="1" t="s">
        <v>3</v>
      </c>
      <c r="H40" s="1">
        <v>552705</v>
      </c>
      <c r="I40" t="s">
        <v>468</v>
      </c>
      <c r="J40" s="110">
        <v>46987012</v>
      </c>
      <c r="K40" s="4">
        <v>95753802</v>
      </c>
      <c r="L40" s="4">
        <v>64.599999999999994</v>
      </c>
      <c r="M40" s="4">
        <v>13.7</v>
      </c>
      <c r="N40">
        <v>2</v>
      </c>
    </row>
    <row r="41" spans="2:14" x14ac:dyDescent="0.2">
      <c r="B41" s="696">
        <v>42599.963807870372</v>
      </c>
      <c r="C41" s="1" t="s">
        <v>418</v>
      </c>
      <c r="E41" t="s">
        <v>225</v>
      </c>
      <c r="F41" t="s">
        <v>305</v>
      </c>
      <c r="G41" s="1" t="s">
        <v>3</v>
      </c>
      <c r="H41" s="1">
        <v>552705</v>
      </c>
      <c r="I41" t="s">
        <v>468</v>
      </c>
      <c r="J41" s="110">
        <v>46956496</v>
      </c>
      <c r="K41" s="4">
        <v>95388930</v>
      </c>
      <c r="L41" s="4">
        <v>62.9</v>
      </c>
      <c r="M41" s="4">
        <v>12.9</v>
      </c>
      <c r="N41">
        <v>1.98</v>
      </c>
    </row>
    <row r="42" spans="2:14" x14ac:dyDescent="0.2">
      <c r="B42" s="696">
        <v>42599.964537037034</v>
      </c>
      <c r="C42" s="1" t="s">
        <v>418</v>
      </c>
      <c r="E42" t="s">
        <v>225</v>
      </c>
      <c r="F42" t="s">
        <v>305</v>
      </c>
      <c r="G42" s="1" t="s">
        <v>3</v>
      </c>
      <c r="H42" s="1">
        <v>552705</v>
      </c>
      <c r="I42" t="s">
        <v>468</v>
      </c>
      <c r="J42" s="110">
        <v>46956496</v>
      </c>
      <c r="K42" s="4">
        <v>95795183</v>
      </c>
      <c r="L42" s="4">
        <v>65.25</v>
      </c>
      <c r="M42" s="4">
        <v>12.3</v>
      </c>
      <c r="N42">
        <v>1.98</v>
      </c>
    </row>
    <row r="43" spans="2:14" x14ac:dyDescent="0.2">
      <c r="B43" s="696">
        <v>42599.965127314812</v>
      </c>
      <c r="C43" s="1" t="s">
        <v>418</v>
      </c>
      <c r="E43" t="s">
        <v>225</v>
      </c>
      <c r="F43" t="s">
        <v>305</v>
      </c>
      <c r="G43" s="1" t="s">
        <v>3</v>
      </c>
      <c r="H43" s="1">
        <v>552705</v>
      </c>
      <c r="I43" t="s">
        <v>468</v>
      </c>
      <c r="J43" s="110">
        <v>46955191</v>
      </c>
      <c r="K43" s="4">
        <v>95830063</v>
      </c>
      <c r="L43" s="4">
        <v>65.900000000000006</v>
      </c>
      <c r="M43" s="4">
        <v>12.6</v>
      </c>
      <c r="N43">
        <v>1.9</v>
      </c>
    </row>
    <row r="44" spans="2:14" x14ac:dyDescent="0.2">
      <c r="B44" s="696">
        <v>42599.965717592589</v>
      </c>
      <c r="C44" s="1" t="s">
        <v>418</v>
      </c>
      <c r="E44" t="s">
        <v>225</v>
      </c>
      <c r="F44" t="s">
        <v>305</v>
      </c>
      <c r="G44" s="1" t="s">
        <v>3</v>
      </c>
      <c r="H44" s="1">
        <v>552705</v>
      </c>
      <c r="I44" t="s">
        <v>468</v>
      </c>
      <c r="J44" s="110">
        <v>46955191</v>
      </c>
      <c r="K44" s="4">
        <v>95683926</v>
      </c>
      <c r="L44" s="4">
        <v>65.099999999999994</v>
      </c>
      <c r="M44" s="4">
        <v>12.8</v>
      </c>
      <c r="N44">
        <v>1.98</v>
      </c>
    </row>
    <row r="45" spans="2:14" x14ac:dyDescent="0.2">
      <c r="B45" s="696">
        <v>42599.966273148151</v>
      </c>
      <c r="C45" s="1" t="s">
        <v>418</v>
      </c>
      <c r="E45" t="s">
        <v>225</v>
      </c>
      <c r="F45" t="s">
        <v>305</v>
      </c>
      <c r="G45" s="1" t="s">
        <v>3</v>
      </c>
      <c r="H45" s="1">
        <v>552705</v>
      </c>
      <c r="I45" t="s">
        <v>468</v>
      </c>
      <c r="J45" s="110">
        <v>46956496</v>
      </c>
      <c r="K45" s="4">
        <v>95324604</v>
      </c>
      <c r="L45" s="4">
        <v>69.5</v>
      </c>
      <c r="M45" s="4">
        <v>11.9</v>
      </c>
      <c r="N45">
        <v>2</v>
      </c>
    </row>
    <row r="46" spans="2:14" x14ac:dyDescent="0.2">
      <c r="B46" s="696">
        <v>42599.966805555552</v>
      </c>
      <c r="C46" s="1" t="s">
        <v>418</v>
      </c>
      <c r="E46" t="s">
        <v>225</v>
      </c>
      <c r="F46" t="s">
        <v>305</v>
      </c>
      <c r="G46" s="1" t="s">
        <v>3</v>
      </c>
      <c r="H46" s="1">
        <v>552705</v>
      </c>
      <c r="I46" t="s">
        <v>468</v>
      </c>
      <c r="J46" s="110">
        <v>46956496</v>
      </c>
      <c r="K46" s="4">
        <v>95529632</v>
      </c>
      <c r="L46" s="4">
        <v>68.099999999999994</v>
      </c>
      <c r="M46" s="4">
        <v>12.6</v>
      </c>
      <c r="N46">
        <v>1.94</v>
      </c>
    </row>
    <row r="47" spans="2:14" x14ac:dyDescent="0.2">
      <c r="B47" s="696">
        <v>42600.083564814813</v>
      </c>
      <c r="C47" s="1" t="s">
        <v>408</v>
      </c>
      <c r="E47" t="s">
        <v>225</v>
      </c>
      <c r="F47" t="s">
        <v>305</v>
      </c>
      <c r="G47" s="1" t="s">
        <v>3</v>
      </c>
      <c r="H47" s="1">
        <v>553568</v>
      </c>
      <c r="I47" t="s">
        <v>468</v>
      </c>
      <c r="J47" s="110">
        <v>355301</v>
      </c>
      <c r="K47" s="4" t="s">
        <v>437</v>
      </c>
      <c r="L47" s="4">
        <v>26.82</v>
      </c>
      <c r="M47" s="4">
        <v>11.2</v>
      </c>
      <c r="N47">
        <v>1.22</v>
      </c>
    </row>
    <row r="48" spans="2:14" x14ac:dyDescent="0.2">
      <c r="B48" s="696">
        <v>42600.090567129628</v>
      </c>
      <c r="C48" s="1" t="s">
        <v>408</v>
      </c>
      <c r="E48" t="s">
        <v>225</v>
      </c>
      <c r="F48" t="s">
        <v>305</v>
      </c>
      <c r="G48" s="1" t="s">
        <v>3</v>
      </c>
      <c r="H48" s="1">
        <v>553568</v>
      </c>
      <c r="I48" t="s">
        <v>468</v>
      </c>
      <c r="J48" s="110">
        <v>355494</v>
      </c>
      <c r="K48" s="4" t="s">
        <v>438</v>
      </c>
      <c r="L48" s="4">
        <v>23.28</v>
      </c>
      <c r="M48" s="4">
        <v>10.7</v>
      </c>
      <c r="N48">
        <v>2</v>
      </c>
    </row>
    <row r="49" spans="2:14" x14ac:dyDescent="0.2">
      <c r="B49" s="696">
        <v>42600.097812499997</v>
      </c>
      <c r="C49" s="1" t="s">
        <v>419</v>
      </c>
      <c r="E49" t="s">
        <v>225</v>
      </c>
      <c r="F49" t="s">
        <v>305</v>
      </c>
      <c r="G49" s="1" t="s">
        <v>3</v>
      </c>
      <c r="H49" s="1">
        <v>553495</v>
      </c>
      <c r="I49" t="s">
        <v>468</v>
      </c>
      <c r="J49" s="110">
        <v>307607</v>
      </c>
      <c r="K49" s="4" t="s">
        <v>439</v>
      </c>
      <c r="L49" s="4">
        <v>22.36</v>
      </c>
      <c r="M49" s="4">
        <v>13.6</v>
      </c>
      <c r="N49">
        <v>1.54</v>
      </c>
    </row>
    <row r="50" spans="2:14" x14ac:dyDescent="0.2">
      <c r="B50" s="696">
        <v>42600.104062500002</v>
      </c>
      <c r="C50" s="1" t="s">
        <v>460</v>
      </c>
      <c r="E50" t="s">
        <v>225</v>
      </c>
      <c r="F50" t="s">
        <v>305</v>
      </c>
      <c r="G50" s="1" t="s">
        <v>3</v>
      </c>
      <c r="H50" s="1">
        <v>553410</v>
      </c>
      <c r="I50" t="s">
        <v>468</v>
      </c>
      <c r="J50" s="110">
        <v>20001</v>
      </c>
      <c r="K50" s="4" t="s">
        <v>440</v>
      </c>
      <c r="L50" s="4">
        <v>24.54</v>
      </c>
      <c r="M50" s="4">
        <v>11</v>
      </c>
      <c r="N50">
        <v>1.38</v>
      </c>
    </row>
    <row r="51" spans="2:14" x14ac:dyDescent="0.2">
      <c r="B51" s="696">
        <v>42600.169965277775</v>
      </c>
      <c r="C51" s="1" t="s">
        <v>460</v>
      </c>
      <c r="E51" t="s">
        <v>225</v>
      </c>
      <c r="F51" t="s">
        <v>305</v>
      </c>
      <c r="G51" s="1" t="s">
        <v>3</v>
      </c>
      <c r="H51" s="1">
        <v>553410</v>
      </c>
      <c r="I51" t="s">
        <v>468</v>
      </c>
      <c r="J51" s="110">
        <v>20002</v>
      </c>
      <c r="K51" s="4" t="s">
        <v>441</v>
      </c>
      <c r="L51" s="4">
        <v>23.04</v>
      </c>
      <c r="M51" s="4">
        <v>10.8</v>
      </c>
      <c r="N51">
        <v>1.52</v>
      </c>
    </row>
    <row r="52" spans="2:14" x14ac:dyDescent="0.2">
      <c r="B52" s="696">
        <v>42600.177002314813</v>
      </c>
      <c r="C52" s="1" t="s">
        <v>460</v>
      </c>
      <c r="E52" t="s">
        <v>225</v>
      </c>
      <c r="F52" t="s">
        <v>305</v>
      </c>
      <c r="G52" s="1" t="s">
        <v>3</v>
      </c>
      <c r="H52" s="1">
        <v>553410</v>
      </c>
      <c r="I52" t="s">
        <v>468</v>
      </c>
      <c r="J52" s="110">
        <v>5453</v>
      </c>
      <c r="K52" s="4" t="s">
        <v>442</v>
      </c>
      <c r="L52" s="4">
        <v>23.3</v>
      </c>
      <c r="M52" s="4">
        <v>10.6</v>
      </c>
      <c r="N52">
        <v>1.1599999999999999</v>
      </c>
    </row>
    <row r="53" spans="2:14" x14ac:dyDescent="0.2">
      <c r="B53" s="696">
        <v>42600.186493055553</v>
      </c>
      <c r="C53" s="1" t="s">
        <v>408</v>
      </c>
      <c r="E53" t="s">
        <v>225</v>
      </c>
      <c r="F53" t="s">
        <v>305</v>
      </c>
      <c r="G53" s="1" t="s">
        <v>3</v>
      </c>
      <c r="H53" s="1">
        <v>553568</v>
      </c>
      <c r="I53" t="s">
        <v>468</v>
      </c>
      <c r="J53" s="110">
        <v>355401</v>
      </c>
      <c r="K53" s="4" t="s">
        <v>443</v>
      </c>
      <c r="L53" s="4">
        <v>19.579999999999998</v>
      </c>
      <c r="M53" s="4">
        <v>12.3</v>
      </c>
      <c r="N53">
        <v>1.96</v>
      </c>
    </row>
    <row r="54" spans="2:14" x14ac:dyDescent="0.2">
      <c r="B54" s="696">
        <v>42600.192256944443</v>
      </c>
      <c r="C54" s="1" t="s">
        <v>460</v>
      </c>
      <c r="E54" t="s">
        <v>225</v>
      </c>
      <c r="F54" t="s">
        <v>305</v>
      </c>
      <c r="G54" s="1" t="s">
        <v>3</v>
      </c>
      <c r="H54" s="1">
        <v>553410</v>
      </c>
      <c r="I54" t="s">
        <v>468</v>
      </c>
      <c r="J54" s="110">
        <v>5457</v>
      </c>
      <c r="K54" s="4" t="s">
        <v>444</v>
      </c>
      <c r="L54" s="4">
        <v>23.04</v>
      </c>
      <c r="M54" s="4">
        <v>10.5</v>
      </c>
      <c r="N54">
        <v>1.44</v>
      </c>
    </row>
    <row r="55" spans="2:14" x14ac:dyDescent="0.2">
      <c r="B55" s="696">
        <v>42600.260995370372</v>
      </c>
      <c r="C55" s="1" t="s">
        <v>420</v>
      </c>
      <c r="E55" t="s">
        <v>225</v>
      </c>
      <c r="F55" t="s">
        <v>305</v>
      </c>
      <c r="G55" s="1" t="s">
        <v>3</v>
      </c>
      <c r="H55" s="1">
        <v>553036</v>
      </c>
      <c r="I55" t="s">
        <v>468</v>
      </c>
      <c r="J55" s="110">
        <v>43890318</v>
      </c>
      <c r="K55" s="4">
        <v>95353850</v>
      </c>
      <c r="L55" s="4">
        <v>68.8</v>
      </c>
      <c r="M55" s="4">
        <v>13.1</v>
      </c>
      <c r="N55">
        <v>1.46</v>
      </c>
    </row>
    <row r="56" spans="2:14" x14ac:dyDescent="0.2">
      <c r="B56" s="696">
        <v>42600.261793981481</v>
      </c>
      <c r="C56" s="1" t="s">
        <v>420</v>
      </c>
      <c r="E56" t="s">
        <v>225</v>
      </c>
      <c r="F56" t="s">
        <v>305</v>
      </c>
      <c r="G56" s="1" t="s">
        <v>3</v>
      </c>
      <c r="H56" s="1">
        <v>553036</v>
      </c>
      <c r="I56" t="s">
        <v>468</v>
      </c>
      <c r="J56" s="110">
        <v>43890318</v>
      </c>
      <c r="K56" s="4">
        <v>95833752</v>
      </c>
      <c r="L56" s="4">
        <v>68.25</v>
      </c>
      <c r="M56" s="4">
        <v>13.2</v>
      </c>
      <c r="N56">
        <v>1.48</v>
      </c>
    </row>
    <row r="57" spans="2:14" x14ac:dyDescent="0.2">
      <c r="B57" s="696">
        <v>42600.262245370373</v>
      </c>
      <c r="C57" s="1" t="s">
        <v>420</v>
      </c>
      <c r="E57" t="s">
        <v>225</v>
      </c>
      <c r="F57" t="s">
        <v>305</v>
      </c>
      <c r="G57" s="1" t="s">
        <v>3</v>
      </c>
      <c r="H57" s="1">
        <v>553036</v>
      </c>
      <c r="I57" t="s">
        <v>468</v>
      </c>
      <c r="J57" s="110">
        <v>43890318</v>
      </c>
      <c r="K57" s="4">
        <v>95637310</v>
      </c>
      <c r="L57" s="4">
        <v>68.95</v>
      </c>
      <c r="M57" s="4">
        <v>13.1</v>
      </c>
      <c r="N57">
        <v>1.52</v>
      </c>
    </row>
    <row r="58" spans="2:14" x14ac:dyDescent="0.2">
      <c r="B58" s="696">
        <v>42600.262928240743</v>
      </c>
      <c r="C58" s="1" t="s">
        <v>421</v>
      </c>
      <c r="E58" t="s">
        <v>225</v>
      </c>
      <c r="F58" t="s">
        <v>305</v>
      </c>
      <c r="G58" s="1" t="s">
        <v>3</v>
      </c>
      <c r="H58" s="1">
        <v>547342</v>
      </c>
      <c r="I58" t="s">
        <v>468</v>
      </c>
      <c r="J58" s="110">
        <v>43883081</v>
      </c>
      <c r="K58" s="4">
        <v>95654232</v>
      </c>
      <c r="L58" s="4">
        <v>68.7</v>
      </c>
      <c r="M58" s="4">
        <v>13.9</v>
      </c>
      <c r="N58">
        <v>1.66</v>
      </c>
    </row>
    <row r="59" spans="2:14" x14ac:dyDescent="0.2">
      <c r="B59" s="696">
        <v>42600.263460648152</v>
      </c>
      <c r="C59" s="1" t="s">
        <v>421</v>
      </c>
      <c r="E59" t="s">
        <v>225</v>
      </c>
      <c r="F59" t="s">
        <v>305</v>
      </c>
      <c r="G59" s="1" t="s">
        <v>3</v>
      </c>
      <c r="H59" s="1">
        <v>547342</v>
      </c>
      <c r="I59" t="s">
        <v>468</v>
      </c>
      <c r="J59" s="110">
        <v>43883081</v>
      </c>
      <c r="K59" s="4">
        <v>95834131</v>
      </c>
      <c r="L59" s="4">
        <v>69.05</v>
      </c>
      <c r="M59" s="4">
        <v>14</v>
      </c>
      <c r="N59">
        <v>1.62</v>
      </c>
    </row>
    <row r="60" spans="2:14" x14ac:dyDescent="0.2">
      <c r="B60" s="696">
        <v>42600.26394675926</v>
      </c>
      <c r="C60" s="1" t="s">
        <v>421</v>
      </c>
      <c r="E60" t="s">
        <v>225</v>
      </c>
      <c r="F60" t="s">
        <v>305</v>
      </c>
      <c r="G60" s="1" t="s">
        <v>3</v>
      </c>
      <c r="H60" s="1">
        <v>547342</v>
      </c>
      <c r="I60" t="s">
        <v>468</v>
      </c>
      <c r="J60" s="110">
        <v>43883081</v>
      </c>
      <c r="K60" s="4">
        <v>95712279</v>
      </c>
      <c r="L60" s="4">
        <v>68.05</v>
      </c>
      <c r="M60" s="4">
        <v>13.4</v>
      </c>
      <c r="N60">
        <v>1.78</v>
      </c>
    </row>
    <row r="61" spans="2:14" x14ac:dyDescent="0.2">
      <c r="B61" s="696">
        <v>42600.264467592591</v>
      </c>
      <c r="C61" s="1" t="s">
        <v>421</v>
      </c>
      <c r="E61" t="s">
        <v>225</v>
      </c>
      <c r="F61" t="s">
        <v>305</v>
      </c>
      <c r="G61" s="1" t="s">
        <v>3</v>
      </c>
      <c r="H61" s="1">
        <v>547342</v>
      </c>
      <c r="I61" t="s">
        <v>468</v>
      </c>
      <c r="J61" s="110">
        <v>43883081</v>
      </c>
      <c r="K61" s="4">
        <v>95713137</v>
      </c>
      <c r="L61" s="4">
        <v>68.55</v>
      </c>
      <c r="M61" s="4">
        <v>13.5</v>
      </c>
      <c r="N61">
        <v>1.76</v>
      </c>
    </row>
    <row r="62" spans="2:14" x14ac:dyDescent="0.2">
      <c r="B62" s="696">
        <v>42600.26494212963</v>
      </c>
      <c r="C62" s="1" t="s">
        <v>421</v>
      </c>
      <c r="E62" t="s">
        <v>225</v>
      </c>
      <c r="F62" t="s">
        <v>305</v>
      </c>
      <c r="G62" s="1" t="s">
        <v>3</v>
      </c>
      <c r="H62" s="1">
        <v>547342</v>
      </c>
      <c r="I62" t="s">
        <v>468</v>
      </c>
      <c r="J62" s="110">
        <v>43883081</v>
      </c>
      <c r="K62" s="4">
        <v>95679635</v>
      </c>
      <c r="L62" s="4">
        <v>68.849999999999994</v>
      </c>
      <c r="M62" s="4">
        <v>13.5</v>
      </c>
      <c r="N62">
        <v>1.76</v>
      </c>
    </row>
    <row r="63" spans="2:14" x14ac:dyDescent="0.2">
      <c r="B63" s="696">
        <v>42600.265752314815</v>
      </c>
      <c r="C63" s="1" t="s">
        <v>420</v>
      </c>
      <c r="E63" t="s">
        <v>225</v>
      </c>
      <c r="F63" t="s">
        <v>305</v>
      </c>
      <c r="G63" s="1" t="s">
        <v>3</v>
      </c>
      <c r="H63" s="1">
        <v>553036</v>
      </c>
      <c r="I63" t="s">
        <v>468</v>
      </c>
      <c r="J63" s="110">
        <v>43878529</v>
      </c>
      <c r="K63" s="4">
        <v>95640728</v>
      </c>
      <c r="L63" s="4">
        <v>68.25</v>
      </c>
      <c r="M63" s="4">
        <v>12</v>
      </c>
      <c r="N63">
        <v>1.68</v>
      </c>
    </row>
    <row r="64" spans="2:14" x14ac:dyDescent="0.2">
      <c r="B64" s="696">
        <v>42600.266423611109</v>
      </c>
      <c r="C64" s="1" t="s">
        <v>420</v>
      </c>
      <c r="E64" t="s">
        <v>225</v>
      </c>
      <c r="F64" t="s">
        <v>305</v>
      </c>
      <c r="G64" s="1" t="s">
        <v>3</v>
      </c>
      <c r="H64" s="1">
        <v>553036</v>
      </c>
      <c r="I64" t="s">
        <v>468</v>
      </c>
      <c r="J64" s="110">
        <v>43878529</v>
      </c>
      <c r="K64" s="4">
        <v>95450466</v>
      </c>
      <c r="L64" s="4">
        <v>69</v>
      </c>
      <c r="M64" s="4">
        <v>12</v>
      </c>
      <c r="N64">
        <v>1.7</v>
      </c>
    </row>
    <row r="65" spans="2:14" x14ac:dyDescent="0.2">
      <c r="B65" s="696">
        <v>42600.267256944448</v>
      </c>
      <c r="C65" s="1" t="s">
        <v>420</v>
      </c>
      <c r="E65" t="s">
        <v>225</v>
      </c>
      <c r="F65" t="s">
        <v>305</v>
      </c>
      <c r="G65" s="1" t="s">
        <v>3</v>
      </c>
      <c r="H65" s="1">
        <v>553036</v>
      </c>
      <c r="I65" t="s">
        <v>468</v>
      </c>
      <c r="J65" s="110">
        <v>43878529</v>
      </c>
      <c r="K65" s="4">
        <v>95753026</v>
      </c>
      <c r="L65" s="4">
        <v>68.2</v>
      </c>
      <c r="M65" s="4">
        <v>12</v>
      </c>
      <c r="N65">
        <v>1.7</v>
      </c>
    </row>
    <row r="66" spans="2:14" x14ac:dyDescent="0.2">
      <c r="B66" s="696">
        <v>42600.267731481479</v>
      </c>
      <c r="C66" s="1" t="s">
        <v>420</v>
      </c>
      <c r="E66" t="s">
        <v>225</v>
      </c>
      <c r="F66" t="s">
        <v>305</v>
      </c>
      <c r="G66" s="1" t="s">
        <v>3</v>
      </c>
      <c r="H66" s="1">
        <v>553036</v>
      </c>
      <c r="I66" t="s">
        <v>468</v>
      </c>
      <c r="J66" s="110">
        <v>43878529</v>
      </c>
      <c r="K66" s="4">
        <v>95644860</v>
      </c>
      <c r="L66" s="4">
        <v>68.05</v>
      </c>
      <c r="M66" s="4">
        <v>12</v>
      </c>
      <c r="N66">
        <v>1.62</v>
      </c>
    </row>
    <row r="67" spans="2:14" x14ac:dyDescent="0.2">
      <c r="B67" s="696">
        <v>42600.268240740741</v>
      </c>
      <c r="C67" s="1" t="s">
        <v>420</v>
      </c>
      <c r="E67" t="s">
        <v>225</v>
      </c>
      <c r="F67" t="s">
        <v>305</v>
      </c>
      <c r="G67" s="1" t="s">
        <v>3</v>
      </c>
      <c r="H67" s="1">
        <v>553036</v>
      </c>
      <c r="I67" t="s">
        <v>468</v>
      </c>
      <c r="J67" s="110">
        <v>43878529</v>
      </c>
      <c r="K67" s="4">
        <v>95350708</v>
      </c>
      <c r="L67" s="4">
        <v>68.2</v>
      </c>
      <c r="M67" s="4">
        <v>12</v>
      </c>
      <c r="N67">
        <v>1.66</v>
      </c>
    </row>
    <row r="68" spans="2:14" x14ac:dyDescent="0.2">
      <c r="B68" s="696">
        <v>42600.268819444442</v>
      </c>
      <c r="C68" s="1" t="s">
        <v>420</v>
      </c>
      <c r="E68" t="s">
        <v>225</v>
      </c>
      <c r="F68" t="s">
        <v>305</v>
      </c>
      <c r="G68" s="1" t="s">
        <v>3</v>
      </c>
      <c r="H68" s="1">
        <v>553036</v>
      </c>
      <c r="I68" t="s">
        <v>468</v>
      </c>
      <c r="J68" s="110">
        <v>43878529</v>
      </c>
      <c r="K68" s="4">
        <v>95351136</v>
      </c>
      <c r="L68" s="4">
        <v>68.05</v>
      </c>
      <c r="M68" s="4">
        <v>12</v>
      </c>
      <c r="N68">
        <v>1.66</v>
      </c>
    </row>
    <row r="69" spans="2:14" x14ac:dyDescent="0.2">
      <c r="B69" s="696">
        <v>42600.269293981481</v>
      </c>
      <c r="C69" s="1" t="s">
        <v>420</v>
      </c>
      <c r="E69" t="s">
        <v>225</v>
      </c>
      <c r="F69" t="s">
        <v>305</v>
      </c>
      <c r="G69" s="1" t="s">
        <v>3</v>
      </c>
      <c r="H69" s="1">
        <v>553036</v>
      </c>
      <c r="I69" t="s">
        <v>468</v>
      </c>
      <c r="J69" s="110">
        <v>43878529</v>
      </c>
      <c r="K69" s="4">
        <v>95450201</v>
      </c>
      <c r="L69" s="4">
        <v>67.8</v>
      </c>
      <c r="M69" s="4">
        <v>12</v>
      </c>
      <c r="N69">
        <v>1.68</v>
      </c>
    </row>
    <row r="70" spans="2:14" x14ac:dyDescent="0.2">
      <c r="B70" s="696">
        <v>42600.269814814812</v>
      </c>
      <c r="C70" s="1" t="s">
        <v>420</v>
      </c>
      <c r="E70" t="s">
        <v>225</v>
      </c>
      <c r="F70" t="s">
        <v>305</v>
      </c>
      <c r="G70" s="1" t="s">
        <v>3</v>
      </c>
      <c r="H70" s="1">
        <v>553036</v>
      </c>
      <c r="I70" t="s">
        <v>468</v>
      </c>
      <c r="J70" s="110">
        <v>43890318</v>
      </c>
      <c r="K70" s="4">
        <v>95832945</v>
      </c>
      <c r="L70" s="4">
        <v>68.900000000000006</v>
      </c>
      <c r="M70" s="4">
        <v>13.1</v>
      </c>
      <c r="N70">
        <v>1.56</v>
      </c>
    </row>
    <row r="71" spans="2:14" x14ac:dyDescent="0.2">
      <c r="B71" s="696">
        <v>42600.312939814816</v>
      </c>
      <c r="C71" s="1" t="s">
        <v>465</v>
      </c>
      <c r="E71" t="s">
        <v>225</v>
      </c>
      <c r="F71" t="s">
        <v>305</v>
      </c>
      <c r="G71" s="1" t="s">
        <v>3</v>
      </c>
      <c r="H71" s="1">
        <v>553493</v>
      </c>
      <c r="I71" t="s">
        <v>468</v>
      </c>
      <c r="J71" s="110">
        <v>200701</v>
      </c>
      <c r="K71" s="4" t="s">
        <v>445</v>
      </c>
      <c r="L71" s="4">
        <v>25.14</v>
      </c>
      <c r="M71" s="4">
        <v>12.4</v>
      </c>
      <c r="N71">
        <v>2</v>
      </c>
    </row>
    <row r="72" spans="2:14" x14ac:dyDescent="0.2">
      <c r="B72" s="696">
        <v>42600.300185185188</v>
      </c>
      <c r="C72" s="1" t="s">
        <v>419</v>
      </c>
      <c r="E72" t="s">
        <v>225</v>
      </c>
      <c r="F72" t="s">
        <v>305</v>
      </c>
      <c r="G72" s="1" t="s">
        <v>3</v>
      </c>
      <c r="H72" s="1">
        <v>553245</v>
      </c>
      <c r="I72" t="s">
        <v>469</v>
      </c>
      <c r="J72" s="110">
        <v>307738</v>
      </c>
      <c r="K72" s="4" t="s">
        <v>446</v>
      </c>
      <c r="L72" s="4">
        <v>23.72</v>
      </c>
      <c r="M72" s="4">
        <v>12.2</v>
      </c>
      <c r="N72">
        <v>2</v>
      </c>
    </row>
    <row r="73" spans="2:14" x14ac:dyDescent="0.2">
      <c r="B73" s="696">
        <v>42599.486493055556</v>
      </c>
      <c r="C73" s="1" t="s">
        <v>461</v>
      </c>
      <c r="E73" t="s">
        <v>225</v>
      </c>
      <c r="F73" t="s">
        <v>305</v>
      </c>
      <c r="G73" s="1" t="s">
        <v>3</v>
      </c>
      <c r="H73" s="1">
        <v>553068</v>
      </c>
      <c r="I73" t="s">
        <v>470</v>
      </c>
      <c r="J73" s="110">
        <v>34759845</v>
      </c>
      <c r="K73" s="4">
        <v>95834552</v>
      </c>
      <c r="L73" s="4">
        <v>61.2</v>
      </c>
      <c r="M73" s="4">
        <v>7.6</v>
      </c>
      <c r="N73">
        <v>1.98</v>
      </c>
    </row>
    <row r="74" spans="2:14" x14ac:dyDescent="0.2">
      <c r="B74" s="696">
        <v>42599.487361111111</v>
      </c>
      <c r="C74" s="1" t="s">
        <v>461</v>
      </c>
      <c r="E74" t="s">
        <v>225</v>
      </c>
      <c r="F74" t="s">
        <v>305</v>
      </c>
      <c r="G74" s="1" t="s">
        <v>3</v>
      </c>
      <c r="H74" s="1">
        <v>553068</v>
      </c>
      <c r="I74" t="s">
        <v>470</v>
      </c>
      <c r="J74" s="110">
        <v>34759845</v>
      </c>
      <c r="K74" s="4">
        <v>95797528</v>
      </c>
      <c r="L74" s="4">
        <v>61.15</v>
      </c>
      <c r="M74" s="4">
        <v>7.9</v>
      </c>
      <c r="N74">
        <v>2</v>
      </c>
    </row>
    <row r="75" spans="2:14" x14ac:dyDescent="0.2">
      <c r="B75" s="696">
        <v>42599.488229166665</v>
      </c>
      <c r="C75" s="1" t="s">
        <v>461</v>
      </c>
      <c r="E75" t="s">
        <v>225</v>
      </c>
      <c r="F75" t="s">
        <v>305</v>
      </c>
      <c r="G75" s="1" t="s">
        <v>3</v>
      </c>
      <c r="H75" s="1">
        <v>553068</v>
      </c>
      <c r="I75" t="s">
        <v>470</v>
      </c>
      <c r="J75" s="110">
        <v>34759845</v>
      </c>
      <c r="K75" s="4">
        <v>95760864</v>
      </c>
      <c r="L75" s="4">
        <v>61.2</v>
      </c>
      <c r="M75" s="4">
        <v>7.8</v>
      </c>
      <c r="N75">
        <v>1.9</v>
      </c>
    </row>
    <row r="76" spans="2:14" x14ac:dyDescent="0.2">
      <c r="B76" s="696">
        <v>42599.488946759258</v>
      </c>
      <c r="C76" s="1" t="s">
        <v>461</v>
      </c>
      <c r="E76" t="s">
        <v>225</v>
      </c>
      <c r="F76" t="s">
        <v>305</v>
      </c>
      <c r="G76" s="1" t="s">
        <v>3</v>
      </c>
      <c r="H76" s="1">
        <v>553068</v>
      </c>
      <c r="I76" t="s">
        <v>470</v>
      </c>
      <c r="J76" s="110">
        <v>34759845</v>
      </c>
      <c r="K76" s="4">
        <v>95753414</v>
      </c>
      <c r="L76" s="4">
        <v>60.9</v>
      </c>
      <c r="M76" s="4">
        <v>8</v>
      </c>
      <c r="N76">
        <v>1.92</v>
      </c>
    </row>
    <row r="77" spans="2:14" x14ac:dyDescent="0.2">
      <c r="B77" s="696">
        <v>42599.489664351851</v>
      </c>
      <c r="C77" s="1" t="s">
        <v>461</v>
      </c>
      <c r="E77" t="s">
        <v>225</v>
      </c>
      <c r="F77" t="s">
        <v>305</v>
      </c>
      <c r="G77" s="1" t="s">
        <v>3</v>
      </c>
      <c r="H77" s="1">
        <v>553068</v>
      </c>
      <c r="I77" t="s">
        <v>470</v>
      </c>
      <c r="J77" s="110">
        <v>34759845</v>
      </c>
      <c r="K77" s="4">
        <v>95830881</v>
      </c>
      <c r="L77" s="4">
        <v>61.4</v>
      </c>
      <c r="M77" s="4">
        <v>7.8</v>
      </c>
      <c r="N77">
        <v>1.88</v>
      </c>
    </row>
    <row r="78" spans="2:14" x14ac:dyDescent="0.2">
      <c r="B78" s="696">
        <v>42599.491909722223</v>
      </c>
      <c r="C78" s="1" t="s">
        <v>461</v>
      </c>
      <c r="E78" t="s">
        <v>225</v>
      </c>
      <c r="F78" t="s">
        <v>305</v>
      </c>
      <c r="G78" s="1" t="s">
        <v>3</v>
      </c>
      <c r="H78" s="1">
        <v>553068</v>
      </c>
      <c r="I78" t="s">
        <v>470</v>
      </c>
      <c r="J78" s="110">
        <v>34759845</v>
      </c>
      <c r="K78" s="4">
        <v>95692208</v>
      </c>
      <c r="L78" s="4">
        <v>62.55</v>
      </c>
      <c r="M78" s="4">
        <v>7.8</v>
      </c>
      <c r="N78">
        <v>1.85</v>
      </c>
    </row>
    <row r="79" spans="2:14" x14ac:dyDescent="0.2">
      <c r="B79" s="696">
        <v>42599.802384259259</v>
      </c>
      <c r="C79" s="1" t="s">
        <v>463</v>
      </c>
      <c r="E79" t="s">
        <v>225</v>
      </c>
      <c r="F79" t="s">
        <v>305</v>
      </c>
      <c r="G79" s="1" t="s">
        <v>3</v>
      </c>
      <c r="H79" s="1">
        <v>553565</v>
      </c>
      <c r="I79" t="s">
        <v>470</v>
      </c>
      <c r="J79" s="110">
        <v>247791</v>
      </c>
      <c r="K79" s="4" t="s">
        <v>447</v>
      </c>
      <c r="L79" s="4">
        <v>23.44</v>
      </c>
      <c r="M79" s="4">
        <v>7.5</v>
      </c>
      <c r="N79">
        <v>2</v>
      </c>
    </row>
    <row r="80" spans="2:14" x14ac:dyDescent="0.2">
      <c r="B80" s="696">
        <v>42599.809282407405</v>
      </c>
      <c r="C80" s="1" t="s">
        <v>463</v>
      </c>
      <c r="E80" t="s">
        <v>225</v>
      </c>
      <c r="F80" t="s">
        <v>305</v>
      </c>
      <c r="G80" s="1" t="s">
        <v>3</v>
      </c>
      <c r="H80" s="1">
        <v>553565</v>
      </c>
      <c r="I80" t="s">
        <v>470</v>
      </c>
      <c r="J80" s="110">
        <v>300737</v>
      </c>
      <c r="K80" s="4" t="s">
        <v>448</v>
      </c>
      <c r="L80" s="4">
        <v>23.86</v>
      </c>
      <c r="M80" s="4">
        <v>6.4</v>
      </c>
      <c r="N80">
        <v>2</v>
      </c>
    </row>
    <row r="81" spans="2:14" x14ac:dyDescent="0.2">
      <c r="B81" s="696">
        <v>42599.969444444447</v>
      </c>
      <c r="C81" s="1" t="s">
        <v>463</v>
      </c>
      <c r="E81" t="s">
        <v>225</v>
      </c>
      <c r="F81" t="s">
        <v>305</v>
      </c>
      <c r="G81" s="1" t="s">
        <v>3</v>
      </c>
      <c r="H81" s="1">
        <v>553565</v>
      </c>
      <c r="I81" t="s">
        <v>470</v>
      </c>
      <c r="J81" s="110">
        <v>290428</v>
      </c>
      <c r="K81" s="4" t="s">
        <v>449</v>
      </c>
      <c r="L81" s="4">
        <v>22.74</v>
      </c>
      <c r="M81" s="4">
        <v>7.8</v>
      </c>
      <c r="N81">
        <v>2</v>
      </c>
    </row>
    <row r="82" spans="2:14" x14ac:dyDescent="0.2">
      <c r="B82" s="696">
        <v>42599.973368055558</v>
      </c>
      <c r="C82" s="1" t="s">
        <v>463</v>
      </c>
      <c r="E82" t="s">
        <v>225</v>
      </c>
      <c r="F82" t="s">
        <v>305</v>
      </c>
      <c r="G82" s="1" t="s">
        <v>3</v>
      </c>
      <c r="H82" s="1">
        <v>553565</v>
      </c>
      <c r="I82" t="s">
        <v>470</v>
      </c>
      <c r="J82" s="110">
        <v>295065</v>
      </c>
      <c r="K82" s="4" t="s">
        <v>450</v>
      </c>
      <c r="L82" s="4">
        <v>23.62</v>
      </c>
      <c r="M82" s="4">
        <v>7.9</v>
      </c>
      <c r="N82">
        <v>2</v>
      </c>
    </row>
    <row r="83" spans="2:14" x14ac:dyDescent="0.2">
      <c r="B83" s="696">
        <v>42599.983946759261</v>
      </c>
      <c r="C83" s="1" t="s">
        <v>463</v>
      </c>
      <c r="E83" t="s">
        <v>225</v>
      </c>
      <c r="F83" t="s">
        <v>305</v>
      </c>
      <c r="G83" s="1" t="s">
        <v>3</v>
      </c>
      <c r="H83" s="1">
        <v>553565</v>
      </c>
      <c r="I83" t="s">
        <v>470</v>
      </c>
      <c r="J83" s="110">
        <v>290434</v>
      </c>
      <c r="K83" s="4" t="s">
        <v>451</v>
      </c>
      <c r="L83" s="4">
        <v>22.98</v>
      </c>
      <c r="M83" s="4">
        <v>6.9</v>
      </c>
      <c r="N83">
        <v>2</v>
      </c>
    </row>
    <row r="84" spans="2:14" x14ac:dyDescent="0.2">
      <c r="B84" s="696">
        <v>42599.989571759259</v>
      </c>
      <c r="C84" s="1" t="s">
        <v>463</v>
      </c>
      <c r="E84" t="s">
        <v>225</v>
      </c>
      <c r="F84" t="s">
        <v>305</v>
      </c>
      <c r="G84" s="1" t="s">
        <v>3</v>
      </c>
      <c r="H84" s="1">
        <v>553565</v>
      </c>
      <c r="I84" t="s">
        <v>470</v>
      </c>
      <c r="J84" s="110">
        <v>295066</v>
      </c>
      <c r="K84" s="4" t="s">
        <v>452</v>
      </c>
      <c r="L84" s="4">
        <v>23.16</v>
      </c>
      <c r="M84" s="4">
        <v>6.7</v>
      </c>
      <c r="N84">
        <v>2</v>
      </c>
    </row>
    <row r="85" spans="2:14" x14ac:dyDescent="0.2">
      <c r="B85" s="696">
        <v>42600.115682870368</v>
      </c>
      <c r="C85" s="1" t="s">
        <v>463</v>
      </c>
      <c r="E85" t="s">
        <v>225</v>
      </c>
      <c r="F85" t="s">
        <v>305</v>
      </c>
      <c r="G85" s="1" t="s">
        <v>3</v>
      </c>
      <c r="H85" s="1">
        <v>553565</v>
      </c>
      <c r="I85" t="s">
        <v>470</v>
      </c>
      <c r="J85" s="110">
        <v>295070</v>
      </c>
      <c r="K85" s="4" t="s">
        <v>453</v>
      </c>
      <c r="L85" s="4">
        <v>22.72</v>
      </c>
      <c r="M85" s="4">
        <v>7.7</v>
      </c>
      <c r="N85">
        <v>2</v>
      </c>
    </row>
    <row r="86" spans="2:14" x14ac:dyDescent="0.2">
      <c r="B86" s="696">
        <v>42600.120520833334</v>
      </c>
      <c r="C86" s="1" t="s">
        <v>463</v>
      </c>
      <c r="E86" t="s">
        <v>225</v>
      </c>
      <c r="F86" t="s">
        <v>305</v>
      </c>
      <c r="G86" s="1" t="s">
        <v>3</v>
      </c>
      <c r="H86" s="1">
        <v>553565</v>
      </c>
      <c r="I86" t="s">
        <v>470</v>
      </c>
      <c r="J86" s="110">
        <v>138712</v>
      </c>
      <c r="K86" s="4" t="s">
        <v>454</v>
      </c>
      <c r="L86" s="4">
        <v>22.02</v>
      </c>
      <c r="M86" s="4">
        <v>7.7</v>
      </c>
      <c r="N86">
        <v>2</v>
      </c>
    </row>
    <row r="87" spans="2:14" x14ac:dyDescent="0.2">
      <c r="B87" s="696">
        <v>42600.124918981484</v>
      </c>
      <c r="C87" s="1" t="s">
        <v>463</v>
      </c>
      <c r="E87" t="s">
        <v>225</v>
      </c>
      <c r="F87" t="s">
        <v>305</v>
      </c>
      <c r="G87" s="1" t="s">
        <v>3</v>
      </c>
      <c r="H87" s="1">
        <v>553565</v>
      </c>
      <c r="I87" t="s">
        <v>470</v>
      </c>
      <c r="J87" s="110">
        <v>295039</v>
      </c>
      <c r="K87" s="4" t="s">
        <v>455</v>
      </c>
      <c r="L87" s="4">
        <v>24.74</v>
      </c>
      <c r="M87" s="4">
        <v>6</v>
      </c>
      <c r="N87">
        <v>2</v>
      </c>
    </row>
    <row r="88" spans="2:14" x14ac:dyDescent="0.2">
      <c r="B88" s="696">
        <v>42600.133009259262</v>
      </c>
      <c r="C88" s="1" t="s">
        <v>463</v>
      </c>
      <c r="E88" t="s">
        <v>225</v>
      </c>
      <c r="F88" t="s">
        <v>305</v>
      </c>
      <c r="G88" s="1" t="s">
        <v>3</v>
      </c>
      <c r="H88" s="1">
        <v>553565</v>
      </c>
      <c r="I88" t="s">
        <v>470</v>
      </c>
      <c r="J88" s="110">
        <v>295073</v>
      </c>
      <c r="K88" s="4" t="s">
        <v>456</v>
      </c>
      <c r="L88" s="4">
        <v>24.6</v>
      </c>
      <c r="M88" s="4">
        <v>6.6</v>
      </c>
      <c r="N88">
        <v>2</v>
      </c>
    </row>
    <row r="89" spans="2:14" x14ac:dyDescent="0.2">
      <c r="B89" s="696">
        <v>42600.139155092591</v>
      </c>
      <c r="C89" s="1" t="s">
        <v>463</v>
      </c>
      <c r="E89" t="s">
        <v>225</v>
      </c>
      <c r="F89" t="s">
        <v>305</v>
      </c>
      <c r="G89" s="1" t="s">
        <v>3</v>
      </c>
      <c r="H89" s="1">
        <v>553565</v>
      </c>
      <c r="I89" t="s">
        <v>470</v>
      </c>
      <c r="J89" s="110">
        <v>138713</v>
      </c>
      <c r="K89" s="4" t="s">
        <v>457</v>
      </c>
      <c r="L89" s="4">
        <v>24.38</v>
      </c>
      <c r="M89" s="4">
        <v>7.4</v>
      </c>
      <c r="N89">
        <v>2</v>
      </c>
    </row>
    <row r="90" spans="2:14" x14ac:dyDescent="0.2">
      <c r="B90" s="696">
        <v>42600.146631944444</v>
      </c>
      <c r="C90" s="1" t="s">
        <v>463</v>
      </c>
      <c r="E90" t="s">
        <v>225</v>
      </c>
      <c r="F90" t="s">
        <v>305</v>
      </c>
      <c r="G90" s="1" t="s">
        <v>3</v>
      </c>
      <c r="H90" s="1">
        <v>553565</v>
      </c>
      <c r="I90" t="s">
        <v>470</v>
      </c>
      <c r="J90" s="110">
        <v>290775</v>
      </c>
      <c r="K90" s="4" t="s">
        <v>458</v>
      </c>
      <c r="L90" s="4">
        <v>22.78</v>
      </c>
      <c r="M90" s="4">
        <v>7.7</v>
      </c>
      <c r="N90">
        <v>2</v>
      </c>
    </row>
    <row r="91" spans="2:14" x14ac:dyDescent="0.2">
      <c r="B91" s="696">
        <v>42600.544525462959</v>
      </c>
      <c r="C91" s="1" t="s">
        <v>408</v>
      </c>
      <c r="E91" t="s">
        <v>225</v>
      </c>
      <c r="F91" t="s">
        <v>305</v>
      </c>
      <c r="G91" s="1" t="s">
        <v>3</v>
      </c>
      <c r="H91" s="1">
        <v>553592</v>
      </c>
      <c r="I91" t="s">
        <v>467</v>
      </c>
      <c r="J91" s="110">
        <v>355431</v>
      </c>
      <c r="K91" s="4" t="s">
        <v>472</v>
      </c>
      <c r="L91" s="4">
        <v>14.74</v>
      </c>
      <c r="M91" s="4">
        <v>12.2</v>
      </c>
      <c r="N91">
        <v>1</v>
      </c>
    </row>
    <row r="92" spans="2:14" x14ac:dyDescent="0.2">
      <c r="B92" s="696">
        <v>42600.557766203703</v>
      </c>
      <c r="C92" s="1" t="s">
        <v>408</v>
      </c>
      <c r="E92" t="s">
        <v>225</v>
      </c>
      <c r="F92" t="s">
        <v>305</v>
      </c>
      <c r="G92" s="1" t="s">
        <v>3</v>
      </c>
      <c r="H92" s="1">
        <v>553592</v>
      </c>
      <c r="I92" t="s">
        <v>467</v>
      </c>
      <c r="J92" s="110">
        <v>350671</v>
      </c>
      <c r="K92" s="4" t="s">
        <v>473</v>
      </c>
      <c r="L92" s="4">
        <v>25.56</v>
      </c>
      <c r="M92" s="4">
        <v>11.3</v>
      </c>
      <c r="N92">
        <v>0.92</v>
      </c>
    </row>
    <row r="93" spans="2:14" x14ac:dyDescent="0.2">
      <c r="B93" s="696">
        <v>42600.665162037039</v>
      </c>
      <c r="C93" s="1" t="s">
        <v>408</v>
      </c>
      <c r="E93" t="s">
        <v>225</v>
      </c>
      <c r="F93" t="s">
        <v>305</v>
      </c>
      <c r="G93" s="1" t="s">
        <v>3</v>
      </c>
      <c r="H93" s="1">
        <v>553592</v>
      </c>
      <c r="I93" t="s">
        <v>467</v>
      </c>
      <c r="J93" s="110">
        <v>354955</v>
      </c>
      <c r="K93" s="4" t="s">
        <v>474</v>
      </c>
      <c r="L93" s="4">
        <v>25.48</v>
      </c>
      <c r="M93" s="4">
        <v>12.4</v>
      </c>
      <c r="N93">
        <v>0.92</v>
      </c>
    </row>
    <row r="94" spans="2:14" x14ac:dyDescent="0.2">
      <c r="B94" s="696">
        <v>42600.671388888892</v>
      </c>
      <c r="C94" s="1" t="s">
        <v>460</v>
      </c>
      <c r="E94" t="s">
        <v>225</v>
      </c>
      <c r="F94" t="s">
        <v>305</v>
      </c>
      <c r="G94" s="1" t="s">
        <v>3</v>
      </c>
      <c r="H94" s="1">
        <v>553406</v>
      </c>
      <c r="I94" t="s">
        <v>467</v>
      </c>
      <c r="J94" s="110">
        <v>5484</v>
      </c>
      <c r="K94" s="4" t="s">
        <v>475</v>
      </c>
      <c r="L94" s="4">
        <v>17.899999999999999</v>
      </c>
      <c r="M94" s="4">
        <v>11.7</v>
      </c>
      <c r="N94">
        <v>0.84</v>
      </c>
    </row>
    <row r="95" spans="2:14" x14ac:dyDescent="0.2">
      <c r="B95" s="696">
        <v>42601.028599537036</v>
      </c>
      <c r="C95" s="1" t="s">
        <v>460</v>
      </c>
      <c r="E95" t="s">
        <v>225</v>
      </c>
      <c r="F95" t="s">
        <v>305</v>
      </c>
      <c r="G95" s="1" t="s">
        <v>3</v>
      </c>
      <c r="H95" s="1">
        <v>553406</v>
      </c>
      <c r="I95" t="s">
        <v>467</v>
      </c>
      <c r="J95" s="110">
        <v>5494</v>
      </c>
      <c r="K95" s="4" t="s">
        <v>476</v>
      </c>
      <c r="L95" s="4">
        <v>22.62</v>
      </c>
      <c r="M95" s="4">
        <v>12.6</v>
      </c>
      <c r="N95">
        <v>1.02</v>
      </c>
    </row>
    <row r="96" spans="2:14" x14ac:dyDescent="0.2">
      <c r="B96" s="696">
        <v>42601.047407407408</v>
      </c>
      <c r="C96" s="1" t="s">
        <v>408</v>
      </c>
      <c r="E96" t="s">
        <v>225</v>
      </c>
      <c r="F96" t="s">
        <v>305</v>
      </c>
      <c r="G96" s="1" t="s">
        <v>3</v>
      </c>
      <c r="H96" s="1">
        <v>553592</v>
      </c>
      <c r="I96" t="s">
        <v>467</v>
      </c>
      <c r="J96" s="110">
        <v>350990</v>
      </c>
      <c r="K96" s="4" t="s">
        <v>477</v>
      </c>
      <c r="L96" s="4">
        <v>25.2</v>
      </c>
      <c r="M96" s="4">
        <v>11.1</v>
      </c>
      <c r="N96">
        <v>1.22</v>
      </c>
    </row>
    <row r="97" spans="2:14" x14ac:dyDescent="0.2">
      <c r="B97" s="696">
        <v>42601.057881944442</v>
      </c>
      <c r="C97" s="1" t="s">
        <v>408</v>
      </c>
      <c r="E97" t="s">
        <v>225</v>
      </c>
      <c r="F97" t="s">
        <v>305</v>
      </c>
      <c r="G97" s="1" t="s">
        <v>3</v>
      </c>
      <c r="H97" s="1">
        <v>553592</v>
      </c>
      <c r="I97" t="s">
        <v>467</v>
      </c>
      <c r="J97" s="110">
        <v>354958</v>
      </c>
      <c r="K97" s="4" t="s">
        <v>478</v>
      </c>
      <c r="L97" s="4">
        <v>23.02</v>
      </c>
      <c r="M97" s="4">
        <v>10</v>
      </c>
      <c r="N97">
        <v>0.88</v>
      </c>
    </row>
    <row r="98" spans="2:14" x14ac:dyDescent="0.2">
      <c r="B98" s="696">
        <v>42601.071736111109</v>
      </c>
      <c r="C98" s="1" t="s">
        <v>408</v>
      </c>
      <c r="E98" t="s">
        <v>225</v>
      </c>
      <c r="F98" t="s">
        <v>305</v>
      </c>
      <c r="G98" s="1" t="s">
        <v>3</v>
      </c>
      <c r="H98" s="1">
        <v>553592</v>
      </c>
      <c r="I98" t="s">
        <v>467</v>
      </c>
      <c r="J98" s="110">
        <v>354959</v>
      </c>
      <c r="K98" s="4" t="s">
        <v>479</v>
      </c>
      <c r="L98" s="4">
        <v>24.76</v>
      </c>
      <c r="M98" s="4">
        <v>10.199999999999999</v>
      </c>
      <c r="N98">
        <v>1.2</v>
      </c>
    </row>
    <row r="99" spans="2:14" x14ac:dyDescent="0.2">
      <c r="B99" s="696">
        <v>42601.080625000002</v>
      </c>
      <c r="C99" s="1" t="s">
        <v>408</v>
      </c>
      <c r="E99" t="s">
        <v>225</v>
      </c>
      <c r="F99" t="s">
        <v>305</v>
      </c>
      <c r="G99" s="1" t="s">
        <v>3</v>
      </c>
      <c r="H99" s="1">
        <v>553592</v>
      </c>
      <c r="I99" t="s">
        <v>467</v>
      </c>
      <c r="J99" s="110">
        <v>354957</v>
      </c>
      <c r="K99" s="4" t="s">
        <v>480</v>
      </c>
      <c r="L99" s="4">
        <v>24.1</v>
      </c>
      <c r="M99" s="4">
        <v>10.1</v>
      </c>
      <c r="N99">
        <v>0.9</v>
      </c>
    </row>
    <row r="100" spans="2:14" x14ac:dyDescent="0.2">
      <c r="B100" s="696">
        <v>42601.085185185184</v>
      </c>
      <c r="C100" s="1" t="s">
        <v>408</v>
      </c>
      <c r="E100" t="s">
        <v>225</v>
      </c>
      <c r="F100" t="s">
        <v>305</v>
      </c>
      <c r="G100" s="1" t="s">
        <v>3</v>
      </c>
      <c r="H100" s="1">
        <v>553592</v>
      </c>
      <c r="I100" t="s">
        <v>467</v>
      </c>
      <c r="J100" s="110">
        <v>327383</v>
      </c>
      <c r="K100" s="4" t="s">
        <v>481</v>
      </c>
      <c r="L100" s="4">
        <v>24.66</v>
      </c>
      <c r="M100" s="4">
        <v>11</v>
      </c>
      <c r="N100">
        <v>1.84</v>
      </c>
    </row>
    <row r="101" spans="2:14" x14ac:dyDescent="0.2">
      <c r="B101" s="696">
        <v>42601.098310185182</v>
      </c>
      <c r="C101" s="1" t="s">
        <v>408</v>
      </c>
      <c r="E101" t="s">
        <v>225</v>
      </c>
      <c r="F101" t="s">
        <v>305</v>
      </c>
      <c r="G101" s="1" t="s">
        <v>3</v>
      </c>
      <c r="H101" s="1">
        <v>553592</v>
      </c>
      <c r="I101" t="s">
        <v>467</v>
      </c>
      <c r="J101" s="110">
        <v>327384</v>
      </c>
      <c r="K101" s="4" t="s">
        <v>482</v>
      </c>
      <c r="L101" s="4">
        <v>23.92</v>
      </c>
      <c r="M101" s="4">
        <v>10.6</v>
      </c>
      <c r="N101">
        <v>1.98</v>
      </c>
    </row>
    <row r="102" spans="2:14" x14ac:dyDescent="0.2">
      <c r="B102" s="696">
        <v>42601.100694444445</v>
      </c>
      <c r="C102" s="1" t="s">
        <v>408</v>
      </c>
      <c r="E102" t="s">
        <v>225</v>
      </c>
      <c r="F102" t="s">
        <v>305</v>
      </c>
      <c r="G102" s="1" t="s">
        <v>3</v>
      </c>
      <c r="H102" s="1">
        <v>553592</v>
      </c>
      <c r="I102" t="s">
        <v>467</v>
      </c>
      <c r="J102" s="110">
        <v>327386</v>
      </c>
      <c r="K102" s="4" t="s">
        <v>483</v>
      </c>
      <c r="L102" s="4">
        <v>23.52</v>
      </c>
      <c r="M102" s="4">
        <v>10.9</v>
      </c>
      <c r="N102">
        <v>1.9</v>
      </c>
    </row>
    <row r="103" spans="2:14" x14ac:dyDescent="0.2">
      <c r="B103" s="696">
        <v>42601.192118055558</v>
      </c>
      <c r="C103" s="1" t="s">
        <v>408</v>
      </c>
      <c r="E103" t="s">
        <v>225</v>
      </c>
      <c r="F103" t="s">
        <v>305</v>
      </c>
      <c r="G103" s="1" t="s">
        <v>3</v>
      </c>
      <c r="H103" s="1">
        <v>553592</v>
      </c>
      <c r="I103" t="s">
        <v>467</v>
      </c>
      <c r="J103" s="110">
        <v>354952</v>
      </c>
      <c r="K103" s="4" t="s">
        <v>472</v>
      </c>
      <c r="L103" s="4">
        <v>14.78</v>
      </c>
      <c r="M103" s="4">
        <v>12.3</v>
      </c>
      <c r="N103">
        <v>0.84</v>
      </c>
    </row>
    <row r="104" spans="2:14" x14ac:dyDescent="0.2">
      <c r="B104" s="696">
        <v>42601.215902777774</v>
      </c>
      <c r="C104" s="1" t="s">
        <v>408</v>
      </c>
      <c r="E104" t="s">
        <v>225</v>
      </c>
      <c r="F104" t="s">
        <v>305</v>
      </c>
      <c r="G104" s="1" t="s">
        <v>3</v>
      </c>
      <c r="H104" s="1">
        <v>553592</v>
      </c>
      <c r="I104" t="s">
        <v>467</v>
      </c>
      <c r="J104" s="110">
        <v>350669</v>
      </c>
      <c r="K104" s="4" t="s">
        <v>484</v>
      </c>
      <c r="L104" s="4">
        <v>22.72</v>
      </c>
      <c r="M104" s="4">
        <v>12</v>
      </c>
      <c r="N104">
        <v>1.04</v>
      </c>
    </row>
    <row r="105" spans="2:14" x14ac:dyDescent="0.2">
      <c r="B105" s="696">
        <v>42601.220972222225</v>
      </c>
      <c r="C105" s="1" t="s">
        <v>408</v>
      </c>
      <c r="E105" t="s">
        <v>225</v>
      </c>
      <c r="F105" t="s">
        <v>305</v>
      </c>
      <c r="G105" s="1" t="s">
        <v>3</v>
      </c>
      <c r="H105" s="1">
        <v>553592</v>
      </c>
      <c r="I105" t="s">
        <v>467</v>
      </c>
      <c r="J105" s="110">
        <v>350670</v>
      </c>
      <c r="K105" s="4" t="s">
        <v>417</v>
      </c>
      <c r="L105" s="4">
        <v>24.9</v>
      </c>
      <c r="M105" s="4">
        <v>12.3</v>
      </c>
      <c r="N105">
        <v>0.88</v>
      </c>
    </row>
    <row r="106" spans="2:14" x14ac:dyDescent="0.2">
      <c r="B106" s="696">
        <v>42601.227893518517</v>
      </c>
      <c r="C106" s="1" t="s">
        <v>408</v>
      </c>
      <c r="E106" t="s">
        <v>225</v>
      </c>
      <c r="F106" t="s">
        <v>305</v>
      </c>
      <c r="G106" s="1" t="s">
        <v>3</v>
      </c>
      <c r="H106" s="1">
        <v>553592</v>
      </c>
      <c r="I106" t="s">
        <v>467</v>
      </c>
      <c r="J106" s="110">
        <v>354876</v>
      </c>
      <c r="K106" s="4" t="s">
        <v>485</v>
      </c>
      <c r="L106" s="4">
        <v>26.14</v>
      </c>
      <c r="M106" s="4">
        <v>12.5</v>
      </c>
      <c r="N106">
        <v>0.92</v>
      </c>
    </row>
    <row r="107" spans="2:14" x14ac:dyDescent="0.2">
      <c r="B107" s="696">
        <v>42600.57372685185</v>
      </c>
      <c r="C107" s="1" t="s">
        <v>419</v>
      </c>
      <c r="E107" t="s">
        <v>225</v>
      </c>
      <c r="F107" t="s">
        <v>305</v>
      </c>
      <c r="G107" s="1" t="s">
        <v>3</v>
      </c>
      <c r="H107" s="1">
        <v>553245</v>
      </c>
      <c r="I107" t="s">
        <v>469</v>
      </c>
      <c r="J107" s="110">
        <v>345407</v>
      </c>
      <c r="K107" s="4" t="s">
        <v>486</v>
      </c>
      <c r="L107" s="4">
        <v>22.8</v>
      </c>
      <c r="M107" s="4">
        <v>11.9</v>
      </c>
      <c r="N107">
        <v>1.9</v>
      </c>
    </row>
    <row r="108" spans="2:14" x14ac:dyDescent="0.2">
      <c r="B108" s="696">
        <v>42600.878692129627</v>
      </c>
      <c r="C108" s="1" t="s">
        <v>463</v>
      </c>
      <c r="E108" t="s">
        <v>225</v>
      </c>
      <c r="F108" t="s">
        <v>305</v>
      </c>
      <c r="G108" s="1" t="s">
        <v>3</v>
      </c>
      <c r="H108" s="1">
        <v>553565</v>
      </c>
      <c r="I108" t="s">
        <v>470</v>
      </c>
      <c r="J108" s="110">
        <v>290476</v>
      </c>
      <c r="K108" s="4" t="s">
        <v>487</v>
      </c>
      <c r="L108" s="4">
        <v>22.4</v>
      </c>
      <c r="M108" s="4">
        <v>7.7</v>
      </c>
      <c r="N108">
        <v>2</v>
      </c>
    </row>
    <row r="109" spans="2:14" x14ac:dyDescent="0.2">
      <c r="B109" s="696">
        <v>42600.891805555555</v>
      </c>
      <c r="C109" s="1" t="s">
        <v>463</v>
      </c>
      <c r="E109" t="s">
        <v>225</v>
      </c>
      <c r="F109" t="s">
        <v>305</v>
      </c>
      <c r="G109" s="1" t="s">
        <v>3</v>
      </c>
      <c r="H109" s="1">
        <v>553565</v>
      </c>
      <c r="I109" t="s">
        <v>470</v>
      </c>
      <c r="J109" s="110">
        <v>290477</v>
      </c>
      <c r="K109" s="4" t="s">
        <v>488</v>
      </c>
      <c r="L109" s="4">
        <v>20.74</v>
      </c>
      <c r="M109" s="4">
        <v>8</v>
      </c>
      <c r="N109">
        <v>2</v>
      </c>
    </row>
    <row r="110" spans="2:14" x14ac:dyDescent="0.2">
      <c r="B110" s="696">
        <v>42600.900613425925</v>
      </c>
      <c r="C110" s="1" t="s">
        <v>463</v>
      </c>
      <c r="E110" t="s">
        <v>225</v>
      </c>
      <c r="F110" t="s">
        <v>305</v>
      </c>
      <c r="G110" s="1" t="s">
        <v>3</v>
      </c>
      <c r="H110" s="1">
        <v>553565</v>
      </c>
      <c r="I110" t="s">
        <v>470</v>
      </c>
      <c r="J110" s="110">
        <v>290437</v>
      </c>
      <c r="K110" s="4" t="s">
        <v>489</v>
      </c>
      <c r="L110" s="4">
        <v>22.12</v>
      </c>
      <c r="M110" s="4">
        <v>7.2</v>
      </c>
      <c r="N110">
        <v>2</v>
      </c>
    </row>
    <row r="111" spans="2:14" x14ac:dyDescent="0.2">
      <c r="B111" s="696">
        <v>42600.913229166668</v>
      </c>
      <c r="C111" s="1" t="s">
        <v>463</v>
      </c>
      <c r="E111" t="s">
        <v>225</v>
      </c>
      <c r="F111" t="s">
        <v>305</v>
      </c>
      <c r="G111" s="1" t="s">
        <v>3</v>
      </c>
      <c r="H111" s="1">
        <v>553565</v>
      </c>
      <c r="I111" t="s">
        <v>470</v>
      </c>
      <c r="J111" s="110">
        <v>290479</v>
      </c>
      <c r="K111" s="4" t="s">
        <v>490</v>
      </c>
      <c r="L111" s="4">
        <v>26.6</v>
      </c>
      <c r="M111" s="4">
        <v>7.5</v>
      </c>
      <c r="N111">
        <v>2</v>
      </c>
    </row>
    <row r="112" spans="2:14" x14ac:dyDescent="0.2">
      <c r="B112" s="696">
        <v>42600.928344907406</v>
      </c>
      <c r="C112" s="1" t="s">
        <v>463</v>
      </c>
      <c r="E112" t="s">
        <v>225</v>
      </c>
      <c r="F112" t="s">
        <v>305</v>
      </c>
      <c r="G112" s="1" t="s">
        <v>3</v>
      </c>
      <c r="H112" s="1">
        <v>553565</v>
      </c>
      <c r="I112" t="s">
        <v>470</v>
      </c>
      <c r="J112" s="110">
        <v>290478</v>
      </c>
      <c r="K112" s="4" t="s">
        <v>491</v>
      </c>
      <c r="L112" s="4">
        <v>22.34</v>
      </c>
      <c r="M112" s="4">
        <v>7</v>
      </c>
      <c r="N112">
        <v>2</v>
      </c>
    </row>
    <row r="113" spans="2:14" x14ac:dyDescent="0.2">
      <c r="B113" s="696">
        <v>42601.282569444447</v>
      </c>
      <c r="C113" s="1" t="s">
        <v>495</v>
      </c>
      <c r="E113" t="s">
        <v>225</v>
      </c>
      <c r="F113" t="s">
        <v>305</v>
      </c>
      <c r="G113" s="1" t="s">
        <v>3</v>
      </c>
      <c r="H113" s="1">
        <v>553567</v>
      </c>
      <c r="I113" t="s">
        <v>470</v>
      </c>
      <c r="J113" s="110">
        <v>777052</v>
      </c>
      <c r="K113" s="4" t="s">
        <v>492</v>
      </c>
      <c r="L113" s="4">
        <v>23.74</v>
      </c>
      <c r="M113" s="4">
        <v>6.3</v>
      </c>
      <c r="N113">
        <v>2</v>
      </c>
    </row>
    <row r="114" spans="2:14" x14ac:dyDescent="0.2">
      <c r="B114" s="696">
        <v>42601.290891203702</v>
      </c>
      <c r="C114" s="1" t="s">
        <v>495</v>
      </c>
      <c r="E114" t="s">
        <v>225</v>
      </c>
      <c r="F114" t="s">
        <v>305</v>
      </c>
      <c r="G114" s="1" t="s">
        <v>3</v>
      </c>
      <c r="H114" s="1">
        <v>553567</v>
      </c>
      <c r="I114" t="s">
        <v>470</v>
      </c>
      <c r="J114" s="110">
        <v>777051</v>
      </c>
      <c r="K114" s="4" t="s">
        <v>493</v>
      </c>
      <c r="L114" s="4">
        <v>22.88</v>
      </c>
      <c r="M114" s="4">
        <v>6.2</v>
      </c>
      <c r="N114">
        <v>1.8</v>
      </c>
    </row>
    <row r="115" spans="2:14" x14ac:dyDescent="0.2">
      <c r="B115" s="696">
        <v>42601.306319444448</v>
      </c>
      <c r="C115" s="1" t="s">
        <v>463</v>
      </c>
      <c r="E115" t="s">
        <v>225</v>
      </c>
      <c r="F115" t="s">
        <v>305</v>
      </c>
      <c r="G115" s="1" t="s">
        <v>3</v>
      </c>
      <c r="H115" s="1">
        <v>553565</v>
      </c>
      <c r="I115" t="s">
        <v>470</v>
      </c>
      <c r="J115" s="110">
        <v>290430</v>
      </c>
      <c r="K115" s="4" t="s">
        <v>494</v>
      </c>
      <c r="L115" s="4">
        <v>21.5</v>
      </c>
      <c r="M115" s="4">
        <v>6.7</v>
      </c>
      <c r="N115">
        <v>2</v>
      </c>
    </row>
    <row r="116" spans="2:14" x14ac:dyDescent="0.2">
      <c r="B116" s="696">
        <v>42600.351168981484</v>
      </c>
      <c r="C116" s="1" t="s">
        <v>538</v>
      </c>
      <c r="D116" t="s">
        <v>144</v>
      </c>
      <c r="E116" t="s">
        <v>225</v>
      </c>
      <c r="F116" t="s">
        <v>305</v>
      </c>
      <c r="G116" s="1" t="s">
        <v>3</v>
      </c>
      <c r="H116" s="1">
        <v>553568</v>
      </c>
      <c r="I116" t="s">
        <v>539</v>
      </c>
      <c r="J116" s="110">
        <v>355493</v>
      </c>
      <c r="K116" s="4" t="s">
        <v>496</v>
      </c>
      <c r="L116" s="4">
        <v>25.46</v>
      </c>
      <c r="M116" s="4">
        <v>11.3</v>
      </c>
      <c r="N116">
        <v>1.68</v>
      </c>
    </row>
    <row r="117" spans="2:14" x14ac:dyDescent="0.2">
      <c r="B117" s="696">
        <v>42600.357442129629</v>
      </c>
      <c r="C117" s="1" t="s">
        <v>538</v>
      </c>
      <c r="D117" t="s">
        <v>144</v>
      </c>
      <c r="E117" t="s">
        <v>225</v>
      </c>
      <c r="F117" t="s">
        <v>305</v>
      </c>
      <c r="G117" s="1" t="s">
        <v>3</v>
      </c>
      <c r="H117" s="1">
        <v>553568</v>
      </c>
      <c r="I117" t="s">
        <v>539</v>
      </c>
      <c r="J117" s="110">
        <v>355340</v>
      </c>
      <c r="K117" s="4" t="s">
        <v>497</v>
      </c>
      <c r="L117" s="4">
        <v>25.96</v>
      </c>
      <c r="M117" s="4">
        <v>10.9</v>
      </c>
      <c r="N117">
        <v>2</v>
      </c>
    </row>
    <row r="118" spans="2:14" x14ac:dyDescent="0.2">
      <c r="B118" s="696">
        <v>42600.373657407406</v>
      </c>
      <c r="C118" s="1" t="s">
        <v>538</v>
      </c>
      <c r="D118" t="s">
        <v>144</v>
      </c>
      <c r="E118" t="s">
        <v>225</v>
      </c>
      <c r="F118" t="s">
        <v>305</v>
      </c>
      <c r="G118" s="1" t="s">
        <v>3</v>
      </c>
      <c r="H118" s="1">
        <v>553568</v>
      </c>
      <c r="I118" t="s">
        <v>539</v>
      </c>
      <c r="J118" s="110">
        <v>350675</v>
      </c>
      <c r="K118" s="4" t="s">
        <v>498</v>
      </c>
      <c r="L118" s="4">
        <v>27.34</v>
      </c>
      <c r="M118" s="4">
        <v>11.3</v>
      </c>
      <c r="N118">
        <v>1.74</v>
      </c>
    </row>
    <row r="119" spans="2:14" x14ac:dyDescent="0.2">
      <c r="B119" s="696">
        <v>42600.377951388888</v>
      </c>
      <c r="C119" s="1" t="s">
        <v>538</v>
      </c>
      <c r="D119" t="s">
        <v>144</v>
      </c>
      <c r="E119" t="s">
        <v>225</v>
      </c>
      <c r="F119" t="s">
        <v>305</v>
      </c>
      <c r="G119" s="1" t="s">
        <v>3</v>
      </c>
      <c r="H119" s="1">
        <v>553568</v>
      </c>
      <c r="I119" t="s">
        <v>539</v>
      </c>
      <c r="J119" s="110">
        <v>355492</v>
      </c>
      <c r="K119" s="4" t="s">
        <v>499</v>
      </c>
      <c r="L119" s="4">
        <v>25.54</v>
      </c>
      <c r="M119" s="4">
        <v>11.1</v>
      </c>
      <c r="N119">
        <v>1</v>
      </c>
    </row>
    <row r="120" spans="2:14" x14ac:dyDescent="0.2">
      <c r="B120" s="696">
        <v>42600.381435185183</v>
      </c>
      <c r="C120" s="1" t="s">
        <v>538</v>
      </c>
      <c r="D120" t="s">
        <v>144</v>
      </c>
      <c r="E120" t="s">
        <v>225</v>
      </c>
      <c r="F120" t="s">
        <v>305</v>
      </c>
      <c r="G120" s="1" t="s">
        <v>3</v>
      </c>
      <c r="H120" s="1">
        <v>553568</v>
      </c>
      <c r="I120" t="s">
        <v>539</v>
      </c>
      <c r="J120" s="110">
        <v>354953</v>
      </c>
      <c r="K120" s="4" t="s">
        <v>500</v>
      </c>
      <c r="L120" s="4">
        <v>26.1</v>
      </c>
      <c r="M120" s="4">
        <v>11</v>
      </c>
      <c r="N120">
        <v>1.02</v>
      </c>
    </row>
    <row r="121" spans="2:14" x14ac:dyDescent="0.2">
      <c r="B121" s="696">
        <v>42600.385046296295</v>
      </c>
      <c r="C121" s="1" t="s">
        <v>462</v>
      </c>
      <c r="D121" t="s">
        <v>144</v>
      </c>
      <c r="E121" t="s">
        <v>225</v>
      </c>
      <c r="F121" t="s">
        <v>305</v>
      </c>
      <c r="G121" s="1" t="s">
        <v>3</v>
      </c>
      <c r="H121" s="1">
        <v>553411</v>
      </c>
      <c r="I121" t="s">
        <v>539</v>
      </c>
      <c r="J121" s="110">
        <v>34</v>
      </c>
      <c r="K121" s="4" t="s">
        <v>501</v>
      </c>
      <c r="L121" s="4">
        <v>22.2</v>
      </c>
      <c r="M121" s="4">
        <v>11.3</v>
      </c>
      <c r="N121">
        <v>0.78</v>
      </c>
    </row>
    <row r="122" spans="2:14" x14ac:dyDescent="0.2">
      <c r="B122" s="696">
        <v>42600.388518518521</v>
      </c>
      <c r="C122" s="1" t="s">
        <v>462</v>
      </c>
      <c r="D122" t="s">
        <v>144</v>
      </c>
      <c r="E122" t="s">
        <v>225</v>
      </c>
      <c r="F122" t="s">
        <v>305</v>
      </c>
      <c r="G122" s="1" t="s">
        <v>3</v>
      </c>
      <c r="H122" s="1">
        <v>553411</v>
      </c>
      <c r="I122" t="s">
        <v>539</v>
      </c>
      <c r="J122" s="110">
        <v>32</v>
      </c>
      <c r="K122" s="4" t="s">
        <v>502</v>
      </c>
      <c r="L122" s="4">
        <v>22.72</v>
      </c>
      <c r="M122" s="4">
        <v>11.6</v>
      </c>
      <c r="N122">
        <v>1.4</v>
      </c>
    </row>
    <row r="123" spans="2:14" x14ac:dyDescent="0.2">
      <c r="B123" s="696">
        <v>42600.391956018517</v>
      </c>
      <c r="C123" s="1" t="s">
        <v>408</v>
      </c>
      <c r="D123" t="s">
        <v>144</v>
      </c>
      <c r="E123" t="s">
        <v>225</v>
      </c>
      <c r="F123" t="s">
        <v>305</v>
      </c>
      <c r="G123" s="1" t="s">
        <v>3</v>
      </c>
      <c r="H123" s="1">
        <v>553698</v>
      </c>
      <c r="I123" t="s">
        <v>539</v>
      </c>
      <c r="J123" s="110">
        <v>355348</v>
      </c>
      <c r="K123" s="4" t="s">
        <v>503</v>
      </c>
      <c r="L123" s="4">
        <v>26.48</v>
      </c>
      <c r="M123" s="4">
        <v>11.6</v>
      </c>
      <c r="N123">
        <v>2</v>
      </c>
    </row>
    <row r="124" spans="2:14" x14ac:dyDescent="0.2">
      <c r="B124" s="696">
        <v>42600.395740740743</v>
      </c>
      <c r="C124" s="1" t="s">
        <v>460</v>
      </c>
      <c r="D124" t="s">
        <v>144</v>
      </c>
      <c r="E124" t="s">
        <v>225</v>
      </c>
      <c r="F124" t="s">
        <v>305</v>
      </c>
      <c r="G124" s="1" t="s">
        <v>3</v>
      </c>
      <c r="H124" s="1">
        <v>553695</v>
      </c>
      <c r="I124" t="s">
        <v>539</v>
      </c>
      <c r="J124" s="110">
        <v>5491</v>
      </c>
      <c r="K124" s="4" t="s">
        <v>504</v>
      </c>
      <c r="L124" s="4">
        <v>22.72</v>
      </c>
      <c r="M124" s="4">
        <v>12.4</v>
      </c>
      <c r="N124">
        <v>1.08</v>
      </c>
    </row>
    <row r="125" spans="2:14" x14ac:dyDescent="0.2">
      <c r="B125" s="696">
        <v>42600.400648148148</v>
      </c>
      <c r="C125" s="1" t="s">
        <v>465</v>
      </c>
      <c r="D125" t="s">
        <v>144</v>
      </c>
      <c r="E125" t="s">
        <v>225</v>
      </c>
      <c r="F125" t="s">
        <v>305</v>
      </c>
      <c r="G125" s="1" t="s">
        <v>3</v>
      </c>
      <c r="H125" s="1">
        <v>553493</v>
      </c>
      <c r="I125" t="s">
        <v>539</v>
      </c>
      <c r="J125" s="110">
        <v>282113</v>
      </c>
      <c r="K125" s="4" t="s">
        <v>505</v>
      </c>
      <c r="L125" s="4">
        <v>25.46</v>
      </c>
      <c r="M125" s="4">
        <v>11</v>
      </c>
      <c r="N125">
        <v>1.1599999999999999</v>
      </c>
    </row>
    <row r="126" spans="2:14" x14ac:dyDescent="0.2">
      <c r="B126" s="696">
        <v>42600.563773148147</v>
      </c>
      <c r="C126" s="1" t="s">
        <v>460</v>
      </c>
      <c r="D126" t="s">
        <v>144</v>
      </c>
      <c r="E126" t="s">
        <v>225</v>
      </c>
      <c r="F126" t="s">
        <v>305</v>
      </c>
      <c r="G126" s="1" t="s">
        <v>3</v>
      </c>
      <c r="H126" s="1">
        <v>553695</v>
      </c>
      <c r="I126" t="s">
        <v>539</v>
      </c>
      <c r="J126" s="110">
        <v>5490</v>
      </c>
      <c r="K126" s="4" t="s">
        <v>506</v>
      </c>
      <c r="L126" s="4">
        <v>22.68</v>
      </c>
      <c r="M126" s="4">
        <v>12.6</v>
      </c>
      <c r="N126">
        <v>1.38</v>
      </c>
    </row>
    <row r="127" spans="2:14" x14ac:dyDescent="0.2">
      <c r="B127" s="696">
        <v>42600.612453703703</v>
      </c>
      <c r="C127" s="1" t="s">
        <v>465</v>
      </c>
      <c r="D127" t="s">
        <v>144</v>
      </c>
      <c r="E127" t="s">
        <v>225</v>
      </c>
      <c r="F127" t="s">
        <v>305</v>
      </c>
      <c r="G127" s="1" t="s">
        <v>3</v>
      </c>
      <c r="H127" s="1">
        <v>553493</v>
      </c>
      <c r="I127" t="s">
        <v>539</v>
      </c>
      <c r="J127" s="110">
        <v>21381</v>
      </c>
      <c r="K127" s="4" t="s">
        <v>507</v>
      </c>
      <c r="L127" s="4">
        <v>26.16</v>
      </c>
      <c r="M127" s="4">
        <v>12.2</v>
      </c>
      <c r="N127">
        <v>1.4</v>
      </c>
    </row>
    <row r="128" spans="2:14" x14ac:dyDescent="0.2">
      <c r="B128" s="696">
        <v>42600.616168981483</v>
      </c>
      <c r="C128" s="1" t="s">
        <v>460</v>
      </c>
      <c r="D128" t="s">
        <v>144</v>
      </c>
      <c r="E128" t="s">
        <v>225</v>
      </c>
      <c r="F128" t="s">
        <v>305</v>
      </c>
      <c r="G128" s="1" t="s">
        <v>3</v>
      </c>
      <c r="H128" s="1">
        <v>553695</v>
      </c>
      <c r="I128" t="s">
        <v>539</v>
      </c>
      <c r="J128" s="110">
        <v>5455</v>
      </c>
      <c r="K128" s="4" t="s">
        <v>508</v>
      </c>
      <c r="L128" s="4">
        <v>24.5</v>
      </c>
      <c r="M128" s="4">
        <v>11</v>
      </c>
      <c r="N128">
        <v>1.3</v>
      </c>
    </row>
    <row r="129" spans="2:14" x14ac:dyDescent="0.2">
      <c r="B129" s="696">
        <v>42600.619953703703</v>
      </c>
      <c r="C129" s="1" t="s">
        <v>460</v>
      </c>
      <c r="D129" t="s">
        <v>144</v>
      </c>
      <c r="E129" t="s">
        <v>225</v>
      </c>
      <c r="F129" t="s">
        <v>305</v>
      </c>
      <c r="G129" s="1" t="s">
        <v>3</v>
      </c>
      <c r="H129" s="1">
        <v>553695</v>
      </c>
      <c r="I129" t="s">
        <v>539</v>
      </c>
      <c r="J129" s="110">
        <v>5456</v>
      </c>
      <c r="K129" s="4" t="s">
        <v>509</v>
      </c>
      <c r="L129" s="4">
        <v>23.96</v>
      </c>
      <c r="M129" s="4">
        <v>11.2</v>
      </c>
      <c r="N129">
        <v>1.26</v>
      </c>
    </row>
    <row r="130" spans="2:14" x14ac:dyDescent="0.2">
      <c r="B130" s="696">
        <v>42600.630150462966</v>
      </c>
      <c r="C130" s="1" t="s">
        <v>465</v>
      </c>
      <c r="D130" t="s">
        <v>144</v>
      </c>
      <c r="E130" t="s">
        <v>225</v>
      </c>
      <c r="F130" t="s">
        <v>305</v>
      </c>
      <c r="G130" s="1" t="s">
        <v>3</v>
      </c>
      <c r="H130" s="1">
        <v>553493</v>
      </c>
      <c r="I130" t="s">
        <v>539</v>
      </c>
      <c r="J130" s="110">
        <v>21394</v>
      </c>
      <c r="K130" s="4" t="s">
        <v>510</v>
      </c>
      <c r="L130" s="4">
        <v>22.06</v>
      </c>
      <c r="M130" s="4">
        <v>14</v>
      </c>
      <c r="N130">
        <v>1.28</v>
      </c>
    </row>
    <row r="131" spans="2:14" x14ac:dyDescent="0.2">
      <c r="B131" s="696">
        <v>42600.638993055552</v>
      </c>
      <c r="C131" s="1" t="s">
        <v>465</v>
      </c>
      <c r="D131" t="s">
        <v>144</v>
      </c>
      <c r="E131" t="s">
        <v>225</v>
      </c>
      <c r="F131" t="s">
        <v>305</v>
      </c>
      <c r="G131" s="1" t="s">
        <v>3</v>
      </c>
      <c r="H131" s="1">
        <v>553493</v>
      </c>
      <c r="I131" t="s">
        <v>539</v>
      </c>
      <c r="J131" s="110">
        <v>21395</v>
      </c>
      <c r="K131" s="4" t="s">
        <v>511</v>
      </c>
      <c r="L131" s="4">
        <v>24.98</v>
      </c>
      <c r="M131" s="4">
        <v>12.3</v>
      </c>
      <c r="N131">
        <v>1.3</v>
      </c>
    </row>
    <row r="132" spans="2:14" x14ac:dyDescent="0.2">
      <c r="B132" s="696">
        <v>42600.642847222225</v>
      </c>
      <c r="C132" s="1" t="s">
        <v>465</v>
      </c>
      <c r="D132" t="s">
        <v>144</v>
      </c>
      <c r="E132" t="s">
        <v>225</v>
      </c>
      <c r="F132" t="s">
        <v>305</v>
      </c>
      <c r="G132" s="1" t="s">
        <v>3</v>
      </c>
      <c r="H132" s="1">
        <v>553493</v>
      </c>
      <c r="I132" t="s">
        <v>539</v>
      </c>
      <c r="J132" s="110">
        <v>282114</v>
      </c>
      <c r="K132" s="4" t="s">
        <v>512</v>
      </c>
      <c r="L132" s="4">
        <v>25.74</v>
      </c>
      <c r="M132" s="4">
        <v>10.9</v>
      </c>
      <c r="N132">
        <v>1.1000000000000001</v>
      </c>
    </row>
    <row r="133" spans="2:14" x14ac:dyDescent="0.2">
      <c r="B133" s="696">
        <v>42600.646793981483</v>
      </c>
      <c r="C133" s="1" t="s">
        <v>495</v>
      </c>
      <c r="D133" t="s">
        <v>144</v>
      </c>
      <c r="E133" t="s">
        <v>225</v>
      </c>
      <c r="F133" t="s">
        <v>305</v>
      </c>
      <c r="G133" s="1" t="s">
        <v>3</v>
      </c>
      <c r="H133" s="1">
        <v>552782</v>
      </c>
      <c r="I133" t="s">
        <v>539</v>
      </c>
      <c r="J133" s="110">
        <v>600482</v>
      </c>
      <c r="K133" s="4" t="s">
        <v>513</v>
      </c>
      <c r="L133" s="4">
        <v>20.96</v>
      </c>
      <c r="M133" s="4">
        <v>13.1</v>
      </c>
      <c r="N133">
        <v>1.76</v>
      </c>
    </row>
    <row r="134" spans="2:14" x14ac:dyDescent="0.2">
      <c r="B134" s="696">
        <v>42600.650960648149</v>
      </c>
      <c r="C134" s="1" t="s">
        <v>408</v>
      </c>
      <c r="D134" t="s">
        <v>144</v>
      </c>
      <c r="E134" t="s">
        <v>225</v>
      </c>
      <c r="F134" t="s">
        <v>305</v>
      </c>
      <c r="G134" s="1" t="s">
        <v>3</v>
      </c>
      <c r="H134" s="1">
        <v>553698</v>
      </c>
      <c r="I134" t="s">
        <v>539</v>
      </c>
      <c r="J134" s="110">
        <v>354956</v>
      </c>
      <c r="K134" s="4" t="s">
        <v>514</v>
      </c>
      <c r="L134" s="4">
        <v>24.94</v>
      </c>
      <c r="M134" s="4">
        <v>10.5</v>
      </c>
      <c r="N134">
        <v>1.1200000000000001</v>
      </c>
    </row>
    <row r="135" spans="2:14" x14ac:dyDescent="0.2">
      <c r="B135" s="696">
        <v>42600.655185185184</v>
      </c>
      <c r="C135" s="1" t="s">
        <v>495</v>
      </c>
      <c r="D135" t="s">
        <v>144</v>
      </c>
      <c r="E135" t="s">
        <v>225</v>
      </c>
      <c r="F135" t="s">
        <v>305</v>
      </c>
      <c r="G135" s="1" t="s">
        <v>3</v>
      </c>
      <c r="H135" s="1">
        <v>552782</v>
      </c>
      <c r="I135" t="s">
        <v>539</v>
      </c>
      <c r="J135" s="110">
        <v>600481</v>
      </c>
      <c r="K135" s="4" t="s">
        <v>515</v>
      </c>
      <c r="L135" s="4">
        <v>20.6</v>
      </c>
      <c r="M135" s="4">
        <v>13</v>
      </c>
      <c r="N135">
        <v>1.32</v>
      </c>
    </row>
    <row r="136" spans="2:14" x14ac:dyDescent="0.2">
      <c r="B136" s="696">
        <v>42600.678148148145</v>
      </c>
      <c r="C136" s="1" t="s">
        <v>460</v>
      </c>
      <c r="D136" t="s">
        <v>144</v>
      </c>
      <c r="E136" t="s">
        <v>225</v>
      </c>
      <c r="F136" t="s">
        <v>305</v>
      </c>
      <c r="G136" s="1" t="s">
        <v>3</v>
      </c>
      <c r="H136" s="1">
        <v>553695</v>
      </c>
      <c r="I136" t="s">
        <v>539</v>
      </c>
      <c r="J136" s="110">
        <v>5486</v>
      </c>
      <c r="K136" s="4" t="s">
        <v>516</v>
      </c>
      <c r="L136" s="4">
        <v>20.9</v>
      </c>
      <c r="M136" s="4">
        <v>12.5</v>
      </c>
      <c r="N136">
        <v>1.02</v>
      </c>
    </row>
    <row r="137" spans="2:14" x14ac:dyDescent="0.2">
      <c r="B137" s="696">
        <v>42600.682106481479</v>
      </c>
      <c r="C137" s="1" t="s">
        <v>460</v>
      </c>
      <c r="D137" t="s">
        <v>144</v>
      </c>
      <c r="E137" t="s">
        <v>225</v>
      </c>
      <c r="F137" t="s">
        <v>305</v>
      </c>
      <c r="G137" s="1" t="s">
        <v>3</v>
      </c>
      <c r="H137" s="1">
        <v>553695</v>
      </c>
      <c r="I137" t="s">
        <v>539</v>
      </c>
      <c r="J137" s="110">
        <v>5492</v>
      </c>
      <c r="K137" s="4" t="s">
        <v>517</v>
      </c>
      <c r="L137" s="4">
        <v>19.579999999999998</v>
      </c>
      <c r="M137" s="4">
        <v>12.7</v>
      </c>
      <c r="N137">
        <v>1.1000000000000001</v>
      </c>
    </row>
    <row r="138" spans="2:14" x14ac:dyDescent="0.2">
      <c r="B138" s="696">
        <v>42600.686712962961</v>
      </c>
      <c r="C138" s="1" t="s">
        <v>460</v>
      </c>
      <c r="D138" t="s">
        <v>144</v>
      </c>
      <c r="E138" t="s">
        <v>225</v>
      </c>
      <c r="F138" t="s">
        <v>305</v>
      </c>
      <c r="G138" s="1" t="s">
        <v>3</v>
      </c>
      <c r="H138" s="1">
        <v>553695</v>
      </c>
      <c r="I138" t="s">
        <v>539</v>
      </c>
      <c r="J138" s="110">
        <v>5493</v>
      </c>
      <c r="K138" s="4" t="s">
        <v>518</v>
      </c>
      <c r="L138" s="4">
        <v>18.88</v>
      </c>
      <c r="M138" s="4">
        <v>12.6</v>
      </c>
      <c r="N138">
        <v>1.1000000000000001</v>
      </c>
    </row>
    <row r="139" spans="2:14" x14ac:dyDescent="0.2">
      <c r="B139" s="696">
        <v>42600.690567129626</v>
      </c>
      <c r="C139" s="1" t="s">
        <v>460</v>
      </c>
      <c r="D139" t="s">
        <v>144</v>
      </c>
      <c r="E139" t="s">
        <v>225</v>
      </c>
      <c r="F139" t="s">
        <v>305</v>
      </c>
      <c r="G139" s="1" t="s">
        <v>3</v>
      </c>
      <c r="H139" s="1">
        <v>553695</v>
      </c>
      <c r="I139" t="s">
        <v>539</v>
      </c>
      <c r="J139" s="110">
        <v>5487</v>
      </c>
      <c r="K139" s="4" t="s">
        <v>519</v>
      </c>
      <c r="L139" s="4">
        <v>21.38</v>
      </c>
      <c r="M139" s="4">
        <v>12.5</v>
      </c>
      <c r="N139">
        <v>0.88</v>
      </c>
    </row>
    <row r="140" spans="2:14" x14ac:dyDescent="0.2">
      <c r="B140" s="696">
        <v>42600.694513888891</v>
      </c>
      <c r="C140" s="1" t="s">
        <v>460</v>
      </c>
      <c r="D140" t="s">
        <v>144</v>
      </c>
      <c r="E140" t="s">
        <v>225</v>
      </c>
      <c r="F140" t="s">
        <v>305</v>
      </c>
      <c r="G140" s="1" t="s">
        <v>3</v>
      </c>
      <c r="H140" s="1">
        <v>553695</v>
      </c>
      <c r="I140" t="s">
        <v>539</v>
      </c>
      <c r="J140" s="110">
        <v>5488</v>
      </c>
      <c r="K140" s="4" t="s">
        <v>520</v>
      </c>
      <c r="L140" s="4">
        <v>19.16</v>
      </c>
      <c r="M140" s="4">
        <v>12.6</v>
      </c>
      <c r="N140">
        <v>1.08</v>
      </c>
    </row>
    <row r="141" spans="2:14" x14ac:dyDescent="0.2">
      <c r="B141" s="696">
        <v>42600.697939814818</v>
      </c>
      <c r="C141" s="1" t="s">
        <v>408</v>
      </c>
      <c r="D141" t="s">
        <v>144</v>
      </c>
      <c r="E141" t="s">
        <v>225</v>
      </c>
      <c r="F141" t="s">
        <v>305</v>
      </c>
      <c r="G141" s="1" t="s">
        <v>3</v>
      </c>
      <c r="H141" s="1">
        <v>553698</v>
      </c>
      <c r="I141" t="s">
        <v>539</v>
      </c>
      <c r="J141" s="110">
        <v>355306</v>
      </c>
      <c r="K141" s="4" t="s">
        <v>521</v>
      </c>
      <c r="L141" s="4">
        <v>26.58</v>
      </c>
      <c r="M141" s="4">
        <v>9.9</v>
      </c>
      <c r="N141">
        <v>0.92</v>
      </c>
    </row>
    <row r="142" spans="2:14" x14ac:dyDescent="0.2">
      <c r="B142" s="696">
        <v>42600.701620370368</v>
      </c>
      <c r="C142" s="1" t="s">
        <v>408</v>
      </c>
      <c r="D142" t="s">
        <v>144</v>
      </c>
      <c r="E142" t="s">
        <v>225</v>
      </c>
      <c r="F142" t="s">
        <v>305</v>
      </c>
      <c r="G142" s="1" t="s">
        <v>3</v>
      </c>
      <c r="H142" s="1">
        <v>553698</v>
      </c>
      <c r="I142" t="s">
        <v>539</v>
      </c>
      <c r="J142" s="110">
        <v>355307</v>
      </c>
      <c r="K142" s="4" t="s">
        <v>522</v>
      </c>
      <c r="L142" s="4">
        <v>25.9</v>
      </c>
      <c r="M142" s="4">
        <v>9.8000000000000007</v>
      </c>
      <c r="N142">
        <v>0.84</v>
      </c>
    </row>
    <row r="143" spans="2:14" x14ac:dyDescent="0.2">
      <c r="B143" s="696">
        <v>42600.705312500002</v>
      </c>
      <c r="C143" s="1" t="s">
        <v>408</v>
      </c>
      <c r="D143" t="s">
        <v>144</v>
      </c>
      <c r="E143" t="s">
        <v>225</v>
      </c>
      <c r="F143" t="s">
        <v>305</v>
      </c>
      <c r="G143" s="1" t="s">
        <v>3</v>
      </c>
      <c r="H143" s="1">
        <v>553698</v>
      </c>
      <c r="I143" t="s">
        <v>539</v>
      </c>
      <c r="J143" s="110">
        <v>355309</v>
      </c>
      <c r="K143" s="4" t="s">
        <v>523</v>
      </c>
      <c r="L143" s="4">
        <v>26.42</v>
      </c>
      <c r="M143" s="4">
        <v>9.6999999999999993</v>
      </c>
      <c r="N143">
        <v>0.82</v>
      </c>
    </row>
    <row r="144" spans="2:14" x14ac:dyDescent="0.2">
      <c r="B144" s="696">
        <v>42600.721597222226</v>
      </c>
      <c r="C144" s="1" t="s">
        <v>465</v>
      </c>
      <c r="D144" t="s">
        <v>144</v>
      </c>
      <c r="E144" t="s">
        <v>225</v>
      </c>
      <c r="F144" t="s">
        <v>305</v>
      </c>
      <c r="G144" s="1" t="s">
        <v>3</v>
      </c>
      <c r="H144" s="1">
        <v>553493</v>
      </c>
      <c r="I144" t="s">
        <v>539</v>
      </c>
      <c r="J144" s="110">
        <v>21396</v>
      </c>
      <c r="K144" s="4" t="s">
        <v>524</v>
      </c>
      <c r="L144" s="4">
        <v>24.16</v>
      </c>
      <c r="M144" s="4">
        <v>11</v>
      </c>
      <c r="N144">
        <v>1.34</v>
      </c>
    </row>
    <row r="145" spans="2:14" x14ac:dyDescent="0.2">
      <c r="B145" s="696">
        <v>42600.7262962963</v>
      </c>
      <c r="C145" s="1" t="s">
        <v>465</v>
      </c>
      <c r="D145" t="s">
        <v>144</v>
      </c>
      <c r="E145" t="s">
        <v>225</v>
      </c>
      <c r="F145" t="s">
        <v>305</v>
      </c>
      <c r="G145" s="1" t="s">
        <v>3</v>
      </c>
      <c r="H145" s="1">
        <v>553493</v>
      </c>
      <c r="I145" t="s">
        <v>539</v>
      </c>
      <c r="J145" s="110">
        <v>21382</v>
      </c>
      <c r="K145" s="4" t="s">
        <v>525</v>
      </c>
      <c r="L145" s="4">
        <v>24.48</v>
      </c>
      <c r="M145" s="4">
        <v>11.7</v>
      </c>
      <c r="N145">
        <v>1.04</v>
      </c>
    </row>
    <row r="146" spans="2:14" x14ac:dyDescent="0.2">
      <c r="B146" s="696">
        <v>42600.734768518516</v>
      </c>
      <c r="C146" s="1" t="s">
        <v>464</v>
      </c>
      <c r="D146" t="s">
        <v>144</v>
      </c>
      <c r="E146" t="s">
        <v>225</v>
      </c>
      <c r="F146" t="s">
        <v>305</v>
      </c>
      <c r="G146" s="1" t="s">
        <v>3</v>
      </c>
      <c r="H146" s="1">
        <v>553413</v>
      </c>
      <c r="I146" t="s">
        <v>539</v>
      </c>
      <c r="J146" s="110">
        <v>208</v>
      </c>
      <c r="K146" s="4" t="s">
        <v>526</v>
      </c>
      <c r="L146" s="4">
        <v>22.66</v>
      </c>
      <c r="M146" s="4">
        <v>10.8</v>
      </c>
      <c r="N146">
        <v>0.84</v>
      </c>
    </row>
    <row r="147" spans="2:14" x14ac:dyDescent="0.2">
      <c r="B147" s="696">
        <v>42600.904618055552</v>
      </c>
      <c r="C147" s="1" t="s">
        <v>465</v>
      </c>
      <c r="D147" t="s">
        <v>144</v>
      </c>
      <c r="E147" t="s">
        <v>225</v>
      </c>
      <c r="F147" t="s">
        <v>305</v>
      </c>
      <c r="G147" s="1" t="s">
        <v>3</v>
      </c>
      <c r="H147" s="1">
        <v>553493</v>
      </c>
      <c r="I147" t="s">
        <v>539</v>
      </c>
      <c r="J147" s="110">
        <v>21383</v>
      </c>
      <c r="K147" s="4" t="s">
        <v>527</v>
      </c>
      <c r="L147" s="4">
        <v>24.2</v>
      </c>
      <c r="M147" s="4">
        <v>11.3</v>
      </c>
      <c r="N147">
        <v>1.78</v>
      </c>
    </row>
    <row r="148" spans="2:14" x14ac:dyDescent="0.2">
      <c r="B148" s="696">
        <v>42600.908958333333</v>
      </c>
      <c r="C148" s="1" t="s">
        <v>460</v>
      </c>
      <c r="D148" t="s">
        <v>144</v>
      </c>
      <c r="E148" t="s">
        <v>225</v>
      </c>
      <c r="F148" t="s">
        <v>305</v>
      </c>
      <c r="G148" s="1" t="s">
        <v>3</v>
      </c>
      <c r="H148" s="1">
        <v>553695</v>
      </c>
      <c r="I148" t="s">
        <v>539</v>
      </c>
      <c r="J148" s="110">
        <v>5462</v>
      </c>
      <c r="K148" s="4" t="s">
        <v>528</v>
      </c>
      <c r="L148" s="4">
        <v>22.36</v>
      </c>
      <c r="M148" s="4">
        <v>10.4</v>
      </c>
      <c r="N148">
        <v>1.3</v>
      </c>
    </row>
    <row r="149" spans="2:14" x14ac:dyDescent="0.2">
      <c r="B149" s="696">
        <v>42600.917256944442</v>
      </c>
      <c r="C149" s="1" t="s">
        <v>460</v>
      </c>
      <c r="D149" t="s">
        <v>144</v>
      </c>
      <c r="E149" t="s">
        <v>225</v>
      </c>
      <c r="F149" t="s">
        <v>305</v>
      </c>
      <c r="G149" s="1" t="s">
        <v>3</v>
      </c>
      <c r="H149" s="1">
        <v>553695</v>
      </c>
      <c r="I149" t="s">
        <v>539</v>
      </c>
      <c r="J149" s="110">
        <v>5459</v>
      </c>
      <c r="K149" s="4" t="s">
        <v>529</v>
      </c>
      <c r="L149" s="4">
        <v>23</v>
      </c>
      <c r="M149" s="4">
        <v>10.5</v>
      </c>
      <c r="N149">
        <v>1.3</v>
      </c>
    </row>
    <row r="150" spans="2:14" x14ac:dyDescent="0.2">
      <c r="B150" s="696">
        <v>42600.994305555556</v>
      </c>
      <c r="C150" s="1" t="s">
        <v>464</v>
      </c>
      <c r="D150" t="s">
        <v>144</v>
      </c>
      <c r="E150" t="s">
        <v>225</v>
      </c>
      <c r="F150" t="s">
        <v>305</v>
      </c>
      <c r="G150" s="1" t="s">
        <v>3</v>
      </c>
      <c r="H150" s="1">
        <v>553413</v>
      </c>
      <c r="I150" t="s">
        <v>539</v>
      </c>
      <c r="J150" s="110">
        <v>206</v>
      </c>
      <c r="K150" s="4" t="s">
        <v>530</v>
      </c>
      <c r="L150" s="4">
        <v>25.8</v>
      </c>
      <c r="M150" s="4">
        <v>12.4</v>
      </c>
      <c r="N150">
        <v>0.88</v>
      </c>
    </row>
    <row r="151" spans="2:14" x14ac:dyDescent="0.2">
      <c r="B151" s="696">
        <v>42601.005509259259</v>
      </c>
      <c r="C151" s="1" t="s">
        <v>464</v>
      </c>
      <c r="D151" t="s">
        <v>144</v>
      </c>
      <c r="E151" t="s">
        <v>225</v>
      </c>
      <c r="F151" t="s">
        <v>305</v>
      </c>
      <c r="G151" s="1" t="s">
        <v>3</v>
      </c>
      <c r="H151" s="1">
        <v>553413</v>
      </c>
      <c r="I151" t="s">
        <v>539</v>
      </c>
      <c r="J151" s="110">
        <v>128</v>
      </c>
      <c r="K151" s="4" t="s">
        <v>531</v>
      </c>
      <c r="L151" s="4">
        <v>24.14</v>
      </c>
      <c r="M151" s="4">
        <v>11.8</v>
      </c>
      <c r="N151">
        <v>1.2</v>
      </c>
    </row>
    <row r="152" spans="2:14" x14ac:dyDescent="0.2">
      <c r="B152" s="696">
        <v>42601.013854166667</v>
      </c>
      <c r="C152" s="1" t="s">
        <v>460</v>
      </c>
      <c r="D152" t="s">
        <v>144</v>
      </c>
      <c r="E152" t="s">
        <v>225</v>
      </c>
      <c r="F152" t="s">
        <v>305</v>
      </c>
      <c r="G152" s="1" t="s">
        <v>3</v>
      </c>
      <c r="H152" s="1">
        <v>553695</v>
      </c>
      <c r="I152" t="s">
        <v>539</v>
      </c>
      <c r="J152" s="110">
        <v>5496</v>
      </c>
      <c r="K152" s="4" t="s">
        <v>532</v>
      </c>
      <c r="L152" s="4">
        <v>24.72</v>
      </c>
      <c r="M152" s="4">
        <v>10.8</v>
      </c>
      <c r="N152">
        <v>0.82</v>
      </c>
    </row>
    <row r="153" spans="2:14" x14ac:dyDescent="0.2">
      <c r="B153" s="696">
        <v>42601.151284722226</v>
      </c>
      <c r="C153" s="1" t="s">
        <v>408</v>
      </c>
      <c r="D153" t="s">
        <v>144</v>
      </c>
      <c r="E153" t="s">
        <v>225</v>
      </c>
      <c r="F153" t="s">
        <v>305</v>
      </c>
      <c r="G153" s="1" t="s">
        <v>3</v>
      </c>
      <c r="H153" s="1">
        <v>553698</v>
      </c>
      <c r="I153" t="s">
        <v>539</v>
      </c>
      <c r="J153" s="110">
        <v>355466</v>
      </c>
      <c r="K153" s="4" t="s">
        <v>533</v>
      </c>
      <c r="L153" s="4">
        <v>25.12</v>
      </c>
      <c r="M153" s="4">
        <v>10.199999999999999</v>
      </c>
      <c r="N153">
        <v>1.1399999999999999</v>
      </c>
    </row>
    <row r="154" spans="2:14" x14ac:dyDescent="0.2">
      <c r="B154" s="696">
        <v>42601.158796296295</v>
      </c>
      <c r="C154" s="1" t="s">
        <v>408</v>
      </c>
      <c r="D154" t="s">
        <v>144</v>
      </c>
      <c r="E154" t="s">
        <v>225</v>
      </c>
      <c r="F154" t="s">
        <v>305</v>
      </c>
      <c r="G154" s="1" t="s">
        <v>3</v>
      </c>
      <c r="H154" s="1">
        <v>553698</v>
      </c>
      <c r="I154" t="s">
        <v>539</v>
      </c>
      <c r="J154" s="110">
        <v>327382</v>
      </c>
      <c r="K154" s="4" t="s">
        <v>534</v>
      </c>
      <c r="L154" s="4">
        <v>25.5</v>
      </c>
      <c r="M154" s="4">
        <v>10.9</v>
      </c>
      <c r="N154">
        <v>1.88</v>
      </c>
    </row>
    <row r="155" spans="2:14" x14ac:dyDescent="0.2">
      <c r="B155" s="696">
        <v>42601.168067129627</v>
      </c>
      <c r="C155" s="1" t="s">
        <v>408</v>
      </c>
      <c r="D155" t="s">
        <v>144</v>
      </c>
      <c r="E155" t="s">
        <v>225</v>
      </c>
      <c r="F155" t="s">
        <v>305</v>
      </c>
      <c r="G155" s="1" t="s">
        <v>3</v>
      </c>
      <c r="H155" s="1">
        <v>553698</v>
      </c>
      <c r="I155" t="s">
        <v>539</v>
      </c>
      <c r="J155" s="110">
        <v>355468</v>
      </c>
      <c r="K155" s="4" t="s">
        <v>499</v>
      </c>
      <c r="L155" s="4">
        <v>25.8</v>
      </c>
      <c r="M155" s="4">
        <v>11.6</v>
      </c>
      <c r="N155">
        <v>1.38</v>
      </c>
    </row>
    <row r="156" spans="2:14" x14ac:dyDescent="0.2">
      <c r="B156" s="696">
        <v>42601.173055555555</v>
      </c>
      <c r="C156" s="1" t="s">
        <v>408</v>
      </c>
      <c r="D156" t="s">
        <v>144</v>
      </c>
      <c r="E156" t="s">
        <v>225</v>
      </c>
      <c r="F156" t="s">
        <v>305</v>
      </c>
      <c r="G156" s="1" t="s">
        <v>3</v>
      </c>
      <c r="H156" s="1">
        <v>553698</v>
      </c>
      <c r="I156" t="s">
        <v>539</v>
      </c>
      <c r="J156" s="110">
        <v>355467</v>
      </c>
      <c r="K156" s="4" t="s">
        <v>496</v>
      </c>
      <c r="L156" s="4">
        <v>26.26</v>
      </c>
      <c r="M156" s="4">
        <v>11.8</v>
      </c>
      <c r="N156">
        <v>1.2</v>
      </c>
    </row>
    <row r="157" spans="2:14" x14ac:dyDescent="0.2">
      <c r="B157" s="696">
        <v>42601.251527777778</v>
      </c>
      <c r="C157" s="1" t="s">
        <v>464</v>
      </c>
      <c r="D157" t="s">
        <v>144</v>
      </c>
      <c r="E157" t="s">
        <v>225</v>
      </c>
      <c r="F157" t="s">
        <v>305</v>
      </c>
      <c r="G157" s="1" t="s">
        <v>3</v>
      </c>
      <c r="H157" s="1">
        <v>553413</v>
      </c>
      <c r="I157" t="s">
        <v>539</v>
      </c>
      <c r="J157" s="110">
        <v>207</v>
      </c>
      <c r="K157" s="4" t="s">
        <v>535</v>
      </c>
      <c r="L157" s="4">
        <v>22.48</v>
      </c>
      <c r="M157" s="4">
        <v>10.8</v>
      </c>
      <c r="N157">
        <v>0.88</v>
      </c>
    </row>
    <row r="158" spans="2:14" x14ac:dyDescent="0.2">
      <c r="B158" s="696">
        <v>42601.278495370374</v>
      </c>
      <c r="C158" s="1" t="s">
        <v>408</v>
      </c>
      <c r="D158" t="s">
        <v>144</v>
      </c>
      <c r="E158" t="s">
        <v>225</v>
      </c>
      <c r="F158" t="s">
        <v>305</v>
      </c>
      <c r="G158" s="1" t="s">
        <v>3</v>
      </c>
      <c r="H158" s="1">
        <v>553698</v>
      </c>
      <c r="I158" t="s">
        <v>539</v>
      </c>
      <c r="J158" s="110">
        <v>327381</v>
      </c>
      <c r="K158" s="4" t="s">
        <v>536</v>
      </c>
      <c r="L158" s="4">
        <v>25.32</v>
      </c>
      <c r="M158" s="4">
        <v>11.5</v>
      </c>
      <c r="N158">
        <v>2</v>
      </c>
    </row>
    <row r="159" spans="2:14" x14ac:dyDescent="0.2">
      <c r="B159" s="696">
        <v>42601.287175925929</v>
      </c>
      <c r="C159" s="1" t="s">
        <v>408</v>
      </c>
      <c r="D159" t="s">
        <v>144</v>
      </c>
      <c r="E159" t="s">
        <v>225</v>
      </c>
      <c r="F159" t="s">
        <v>305</v>
      </c>
      <c r="G159" s="1" t="s">
        <v>3</v>
      </c>
      <c r="H159" s="1">
        <v>553698</v>
      </c>
      <c r="I159" t="s">
        <v>539</v>
      </c>
      <c r="J159" s="110">
        <v>354961</v>
      </c>
      <c r="K159" s="4" t="s">
        <v>537</v>
      </c>
      <c r="L159" s="4">
        <v>23.18</v>
      </c>
      <c r="M159" s="4">
        <v>12.7</v>
      </c>
      <c r="N159">
        <v>1</v>
      </c>
    </row>
    <row r="160" spans="2:14" x14ac:dyDescent="0.2">
      <c r="B160" s="696">
        <v>42601.449502314812</v>
      </c>
      <c r="C160" s="1" t="s">
        <v>495</v>
      </c>
      <c r="E160" t="s">
        <v>225</v>
      </c>
      <c r="F160" t="s">
        <v>305</v>
      </c>
      <c r="G160" s="1" t="s">
        <v>3</v>
      </c>
      <c r="H160" s="1">
        <v>552936</v>
      </c>
      <c r="I160" t="s">
        <v>467</v>
      </c>
      <c r="J160" s="110">
        <v>600484</v>
      </c>
      <c r="K160" s="4" t="s">
        <v>547</v>
      </c>
      <c r="L160" s="4">
        <v>24.72</v>
      </c>
      <c r="M160" s="4">
        <v>12.5</v>
      </c>
      <c r="N160">
        <v>1.1599999999999999</v>
      </c>
    </row>
    <row r="161" spans="2:14" x14ac:dyDescent="0.2">
      <c r="B161" s="696">
        <v>42601.459143518521</v>
      </c>
      <c r="C161" s="1" t="s">
        <v>495</v>
      </c>
      <c r="E161" t="s">
        <v>225</v>
      </c>
      <c r="F161" t="s">
        <v>305</v>
      </c>
      <c r="G161" s="1" t="s">
        <v>3</v>
      </c>
      <c r="H161" s="1">
        <v>552936</v>
      </c>
      <c r="I161" t="s">
        <v>467</v>
      </c>
      <c r="J161" s="110">
        <v>600483</v>
      </c>
      <c r="K161" s="4" t="s">
        <v>548</v>
      </c>
      <c r="L161" s="4">
        <v>22.96</v>
      </c>
      <c r="M161" s="4">
        <v>11.7</v>
      </c>
      <c r="N161">
        <v>0.88</v>
      </c>
    </row>
    <row r="162" spans="2:14" x14ac:dyDescent="0.2">
      <c r="B162" s="696">
        <v>42601.479490740741</v>
      </c>
      <c r="C162" s="1" t="s">
        <v>465</v>
      </c>
      <c r="E162" t="s">
        <v>225</v>
      </c>
      <c r="F162" t="s">
        <v>305</v>
      </c>
      <c r="G162" s="1" t="s">
        <v>3</v>
      </c>
      <c r="H162" s="1">
        <v>553448</v>
      </c>
      <c r="I162" t="s">
        <v>467</v>
      </c>
      <c r="J162" s="110">
        <v>200747</v>
      </c>
      <c r="K162" s="4" t="s">
        <v>551</v>
      </c>
      <c r="L162" s="4">
        <v>23.34</v>
      </c>
      <c r="M162" s="4">
        <v>11.3</v>
      </c>
      <c r="N162">
        <v>1.22</v>
      </c>
    </row>
    <row r="163" spans="2:14" x14ac:dyDescent="0.2">
      <c r="B163" s="696">
        <v>42601.70853009259</v>
      </c>
      <c r="C163" s="1" t="s">
        <v>465</v>
      </c>
      <c r="E163" t="s">
        <v>225</v>
      </c>
      <c r="F163" t="s">
        <v>305</v>
      </c>
      <c r="G163" s="1" t="s">
        <v>3</v>
      </c>
      <c r="H163" s="1">
        <v>553448</v>
      </c>
      <c r="I163" t="s">
        <v>467</v>
      </c>
      <c r="J163" s="110">
        <v>200704</v>
      </c>
      <c r="K163" s="4" t="s">
        <v>552</v>
      </c>
      <c r="L163" s="4">
        <v>25.8</v>
      </c>
      <c r="M163" s="4">
        <v>10.5</v>
      </c>
      <c r="N163">
        <v>0.84</v>
      </c>
    </row>
    <row r="164" spans="2:14" x14ac:dyDescent="0.2">
      <c r="B164" s="696">
        <v>42601.733252314814</v>
      </c>
      <c r="C164" s="1" t="s">
        <v>495</v>
      </c>
      <c r="E164" t="s">
        <v>225</v>
      </c>
      <c r="F164" t="s">
        <v>305</v>
      </c>
      <c r="G164" s="1" t="s">
        <v>3</v>
      </c>
      <c r="H164" s="1">
        <v>552936</v>
      </c>
      <c r="I164" t="s">
        <v>467</v>
      </c>
      <c r="J164" s="110">
        <v>600485</v>
      </c>
      <c r="K164" s="4" t="s">
        <v>553</v>
      </c>
      <c r="L164" s="4">
        <v>26.18</v>
      </c>
      <c r="M164" s="4">
        <v>12.8</v>
      </c>
      <c r="N164">
        <v>1.28</v>
      </c>
    </row>
    <row r="165" spans="2:14" x14ac:dyDescent="0.2">
      <c r="B165" s="696">
        <v>42601.790219907409</v>
      </c>
      <c r="C165" s="1" t="s">
        <v>464</v>
      </c>
      <c r="E165" t="s">
        <v>225</v>
      </c>
      <c r="F165" t="s">
        <v>305</v>
      </c>
      <c r="G165" s="1" t="s">
        <v>3</v>
      </c>
      <c r="H165" s="1">
        <v>553409</v>
      </c>
      <c r="I165" t="s">
        <v>467</v>
      </c>
      <c r="J165" s="110">
        <v>212</v>
      </c>
      <c r="K165" s="4" t="s">
        <v>428</v>
      </c>
      <c r="L165" s="4">
        <v>24.82</v>
      </c>
      <c r="M165" s="4">
        <v>11.3</v>
      </c>
      <c r="N165">
        <v>0.78</v>
      </c>
    </row>
    <row r="166" spans="2:14" x14ac:dyDescent="0.2">
      <c r="B166" s="696">
        <v>42601.851469907408</v>
      </c>
      <c r="C166" s="1" t="s">
        <v>462</v>
      </c>
      <c r="E166" t="s">
        <v>225</v>
      </c>
      <c r="F166" t="s">
        <v>305</v>
      </c>
      <c r="G166" s="1" t="s">
        <v>3</v>
      </c>
      <c r="H166" s="1">
        <v>553407</v>
      </c>
      <c r="I166" t="s">
        <v>467</v>
      </c>
      <c r="J166" s="110">
        <v>39</v>
      </c>
      <c r="K166" s="4" t="s">
        <v>501</v>
      </c>
      <c r="L166" s="4">
        <v>23.64</v>
      </c>
      <c r="M166" s="4">
        <v>12</v>
      </c>
      <c r="N166">
        <v>0.72</v>
      </c>
    </row>
    <row r="167" spans="2:14" x14ac:dyDescent="0.2">
      <c r="B167" s="696">
        <v>42601.862245370372</v>
      </c>
      <c r="C167" s="1" t="s">
        <v>462</v>
      </c>
      <c r="E167" t="s">
        <v>225</v>
      </c>
      <c r="F167" t="s">
        <v>305</v>
      </c>
      <c r="G167" s="1" t="s">
        <v>3</v>
      </c>
      <c r="H167" s="1">
        <v>553407</v>
      </c>
      <c r="I167" t="s">
        <v>467</v>
      </c>
      <c r="J167" s="110">
        <v>38</v>
      </c>
      <c r="K167" s="4" t="s">
        <v>414</v>
      </c>
      <c r="L167" s="4">
        <v>23.8</v>
      </c>
      <c r="M167" s="4">
        <v>12</v>
      </c>
      <c r="N167">
        <v>0.76</v>
      </c>
    </row>
    <row r="168" spans="2:14" x14ac:dyDescent="0.2">
      <c r="B168" s="696">
        <v>42601.875648148147</v>
      </c>
      <c r="C168" s="1" t="s">
        <v>495</v>
      </c>
      <c r="E168" t="s">
        <v>225</v>
      </c>
      <c r="F168" t="s">
        <v>305</v>
      </c>
      <c r="G168" s="1" t="s">
        <v>3</v>
      </c>
      <c r="H168" s="1">
        <v>552936</v>
      </c>
      <c r="I168" t="s">
        <v>467</v>
      </c>
      <c r="J168" s="110">
        <v>600492</v>
      </c>
      <c r="K168" s="4" t="s">
        <v>416</v>
      </c>
      <c r="L168" s="4">
        <v>26.08</v>
      </c>
      <c r="M168" s="4">
        <v>10.7</v>
      </c>
      <c r="N168">
        <v>0.74</v>
      </c>
    </row>
    <row r="169" spans="2:14" x14ac:dyDescent="0.2">
      <c r="B169" s="696">
        <v>42602.173796296294</v>
      </c>
      <c r="C169" s="1" t="s">
        <v>495</v>
      </c>
      <c r="E169" t="s">
        <v>225</v>
      </c>
      <c r="F169" t="s">
        <v>305</v>
      </c>
      <c r="G169" s="1" t="s">
        <v>3</v>
      </c>
      <c r="H169" s="1">
        <v>552936</v>
      </c>
      <c r="I169" t="s">
        <v>467</v>
      </c>
      <c r="J169" s="110">
        <v>600498</v>
      </c>
      <c r="K169" s="4" t="s">
        <v>565</v>
      </c>
      <c r="L169" s="4">
        <v>24.78</v>
      </c>
      <c r="M169" s="4">
        <v>11.9</v>
      </c>
      <c r="N169">
        <v>1.36</v>
      </c>
    </row>
    <row r="170" spans="2:14" x14ac:dyDescent="0.2">
      <c r="B170" s="696">
        <v>42602.181111111109</v>
      </c>
      <c r="C170" s="1" t="s">
        <v>495</v>
      </c>
      <c r="E170" t="s">
        <v>225</v>
      </c>
      <c r="F170" t="s">
        <v>305</v>
      </c>
      <c r="G170" s="1" t="s">
        <v>3</v>
      </c>
      <c r="H170" s="1">
        <v>552936</v>
      </c>
      <c r="I170" t="s">
        <v>467</v>
      </c>
      <c r="J170" s="110">
        <v>600497</v>
      </c>
      <c r="K170" s="4" t="s">
        <v>566</v>
      </c>
      <c r="L170" s="4">
        <v>22.42</v>
      </c>
      <c r="M170" s="4">
        <v>11.9</v>
      </c>
      <c r="N170">
        <v>1.92</v>
      </c>
    </row>
    <row r="171" spans="2:14" x14ac:dyDescent="0.2">
      <c r="B171" s="696">
        <v>42602.257222222222</v>
      </c>
      <c r="C171" s="1" t="s">
        <v>495</v>
      </c>
      <c r="E171" t="s">
        <v>225</v>
      </c>
      <c r="F171" t="s">
        <v>305</v>
      </c>
      <c r="G171" s="1" t="s">
        <v>3</v>
      </c>
      <c r="H171" s="1">
        <v>552936</v>
      </c>
      <c r="I171" t="s">
        <v>467</v>
      </c>
      <c r="J171" s="110">
        <v>600495</v>
      </c>
      <c r="K171" s="4" t="s">
        <v>567</v>
      </c>
      <c r="L171" s="4">
        <v>24.08</v>
      </c>
      <c r="M171" s="4">
        <v>11.8</v>
      </c>
      <c r="N171">
        <v>1.82</v>
      </c>
    </row>
    <row r="172" spans="2:14" x14ac:dyDescent="0.2">
      <c r="B172" s="696">
        <v>42602.575370370374</v>
      </c>
      <c r="C172" s="1" t="s">
        <v>495</v>
      </c>
      <c r="E172" t="s">
        <v>225</v>
      </c>
      <c r="F172" t="s">
        <v>305</v>
      </c>
      <c r="G172" s="1" t="s">
        <v>3</v>
      </c>
      <c r="H172" s="1">
        <v>552936</v>
      </c>
      <c r="I172" t="s">
        <v>467</v>
      </c>
      <c r="J172" s="110">
        <v>600486</v>
      </c>
      <c r="K172" s="4" t="s">
        <v>573</v>
      </c>
      <c r="L172" s="4">
        <v>23.28</v>
      </c>
      <c r="M172" s="4">
        <v>11.9</v>
      </c>
      <c r="N172">
        <v>1.6</v>
      </c>
    </row>
    <row r="173" spans="2:14" x14ac:dyDescent="0.2">
      <c r="B173" s="696">
        <v>42603.142569444448</v>
      </c>
      <c r="C173" s="1" t="s">
        <v>462</v>
      </c>
      <c r="E173" t="s">
        <v>225</v>
      </c>
      <c r="F173" t="s">
        <v>305</v>
      </c>
      <c r="G173" s="1" t="s">
        <v>3</v>
      </c>
      <c r="H173" s="1">
        <v>553407</v>
      </c>
      <c r="I173" t="s">
        <v>467</v>
      </c>
      <c r="J173" s="110">
        <v>41</v>
      </c>
      <c r="K173" s="4" t="s">
        <v>425</v>
      </c>
      <c r="L173" s="4">
        <v>23.94</v>
      </c>
      <c r="M173" s="4">
        <v>12.1</v>
      </c>
      <c r="N173">
        <v>0.72</v>
      </c>
    </row>
    <row r="174" spans="2:14" x14ac:dyDescent="0.2">
      <c r="B174" s="696">
        <v>42603.147662037038</v>
      </c>
      <c r="C174" s="1" t="s">
        <v>462</v>
      </c>
      <c r="E174" t="s">
        <v>225</v>
      </c>
      <c r="F174" t="s">
        <v>305</v>
      </c>
      <c r="G174" s="1" t="s">
        <v>3</v>
      </c>
      <c r="H174" s="1">
        <v>553407</v>
      </c>
      <c r="I174" t="s">
        <v>467</v>
      </c>
      <c r="J174" s="110">
        <v>40</v>
      </c>
      <c r="K174" s="4" t="s">
        <v>427</v>
      </c>
      <c r="L174" s="4">
        <v>23.32</v>
      </c>
      <c r="M174" s="4">
        <v>12</v>
      </c>
      <c r="N174">
        <v>0.78</v>
      </c>
    </row>
    <row r="175" spans="2:14" x14ac:dyDescent="0.2">
      <c r="B175" s="696">
        <v>42603.19027777778</v>
      </c>
      <c r="C175" s="1" t="s">
        <v>462</v>
      </c>
      <c r="E175" t="s">
        <v>225</v>
      </c>
      <c r="F175" t="s">
        <v>305</v>
      </c>
      <c r="G175" s="1" t="s">
        <v>3</v>
      </c>
      <c r="H175" s="1">
        <v>553407</v>
      </c>
      <c r="I175" t="s">
        <v>467</v>
      </c>
      <c r="J175" s="110">
        <v>42</v>
      </c>
      <c r="K175" s="4" t="s">
        <v>501</v>
      </c>
      <c r="L175" s="4">
        <v>22</v>
      </c>
      <c r="M175" s="4">
        <v>12.4</v>
      </c>
      <c r="N175">
        <v>0.7</v>
      </c>
    </row>
    <row r="176" spans="2:14" x14ac:dyDescent="0.2">
      <c r="B176" s="696">
        <v>42603.203657407408</v>
      </c>
      <c r="C176" s="1" t="s">
        <v>495</v>
      </c>
      <c r="E176" t="s">
        <v>225</v>
      </c>
      <c r="F176" t="s">
        <v>305</v>
      </c>
      <c r="G176" s="1" t="s">
        <v>3</v>
      </c>
      <c r="H176" s="1">
        <v>552936</v>
      </c>
      <c r="I176" t="s">
        <v>467</v>
      </c>
      <c r="J176" s="110">
        <v>600499</v>
      </c>
      <c r="K176" s="4" t="s">
        <v>577</v>
      </c>
      <c r="L176" s="4">
        <v>24.78</v>
      </c>
      <c r="M176" s="4">
        <v>11.5</v>
      </c>
      <c r="N176">
        <v>1.02</v>
      </c>
    </row>
    <row r="177" spans="2:14" x14ac:dyDescent="0.2">
      <c r="B177" s="696">
        <v>42603.216319444444</v>
      </c>
      <c r="C177" s="1" t="s">
        <v>462</v>
      </c>
      <c r="E177" t="s">
        <v>225</v>
      </c>
      <c r="F177" t="s">
        <v>305</v>
      </c>
      <c r="G177" s="1" t="s">
        <v>3</v>
      </c>
      <c r="H177" s="1">
        <v>553407</v>
      </c>
      <c r="I177" t="s">
        <v>467</v>
      </c>
      <c r="J177" s="110">
        <v>43</v>
      </c>
      <c r="K177" s="4" t="s">
        <v>578</v>
      </c>
      <c r="L177" s="4">
        <v>20.46</v>
      </c>
      <c r="M177" s="4">
        <v>12.4</v>
      </c>
      <c r="N177">
        <v>0.76</v>
      </c>
    </row>
    <row r="178" spans="2:14" x14ac:dyDescent="0.2">
      <c r="B178" s="696">
        <v>42603.224930555552</v>
      </c>
      <c r="C178" s="1" t="s">
        <v>495</v>
      </c>
      <c r="E178" t="s">
        <v>225</v>
      </c>
      <c r="F178" t="s">
        <v>305</v>
      </c>
      <c r="G178" s="1" t="s">
        <v>3</v>
      </c>
      <c r="H178" s="1">
        <v>552936</v>
      </c>
      <c r="I178" t="s">
        <v>467</v>
      </c>
      <c r="J178" s="110">
        <v>600500</v>
      </c>
      <c r="K178" s="4" t="s">
        <v>553</v>
      </c>
      <c r="L178" s="4">
        <v>27.08</v>
      </c>
      <c r="M178" s="4">
        <v>11.5</v>
      </c>
      <c r="N178">
        <v>0.82</v>
      </c>
    </row>
    <row r="179" spans="2:14" x14ac:dyDescent="0.2">
      <c r="B179" s="696">
        <v>42603.3825</v>
      </c>
      <c r="C179" s="1" t="s">
        <v>495</v>
      </c>
      <c r="E179" t="s">
        <v>225</v>
      </c>
      <c r="F179" t="s">
        <v>305</v>
      </c>
      <c r="G179" s="1" t="s">
        <v>3</v>
      </c>
      <c r="H179" s="1">
        <v>552936</v>
      </c>
      <c r="I179" t="s">
        <v>467</v>
      </c>
      <c r="J179" s="110">
        <v>43922418</v>
      </c>
      <c r="K179" s="4">
        <v>95154175</v>
      </c>
      <c r="L179" s="4">
        <v>71.05</v>
      </c>
      <c r="M179" s="4">
        <v>11.4</v>
      </c>
      <c r="N179">
        <v>2</v>
      </c>
    </row>
    <row r="180" spans="2:14" x14ac:dyDescent="0.2">
      <c r="B180" s="696">
        <v>42603.383229166669</v>
      </c>
      <c r="C180" s="1" t="s">
        <v>495</v>
      </c>
      <c r="E180" t="s">
        <v>225</v>
      </c>
      <c r="F180" t="s">
        <v>305</v>
      </c>
      <c r="G180" s="1" t="s">
        <v>3</v>
      </c>
      <c r="H180" s="1">
        <v>552936</v>
      </c>
      <c r="I180" t="s">
        <v>467</v>
      </c>
      <c r="J180" s="110">
        <v>43922418</v>
      </c>
      <c r="K180" s="4">
        <v>95188835</v>
      </c>
      <c r="L180" s="4">
        <v>70.099999999999994</v>
      </c>
      <c r="M180" s="4">
        <v>11.5</v>
      </c>
      <c r="N180">
        <v>1.8</v>
      </c>
    </row>
    <row r="181" spans="2:14" x14ac:dyDescent="0.2">
      <c r="B181" s="696">
        <v>42603.383726851855</v>
      </c>
      <c r="C181" s="1" t="s">
        <v>495</v>
      </c>
      <c r="E181" t="s">
        <v>225</v>
      </c>
      <c r="F181" t="s">
        <v>305</v>
      </c>
      <c r="G181" s="1" t="s">
        <v>3</v>
      </c>
      <c r="H181" s="1">
        <v>552936</v>
      </c>
      <c r="I181" t="s">
        <v>467</v>
      </c>
      <c r="J181" s="110">
        <v>43922418</v>
      </c>
      <c r="K181" s="4">
        <v>95121885</v>
      </c>
      <c r="L181" s="4">
        <v>68.849999999999994</v>
      </c>
      <c r="M181" s="4">
        <v>10.7</v>
      </c>
      <c r="N181">
        <v>2</v>
      </c>
    </row>
    <row r="182" spans="2:14" x14ac:dyDescent="0.2">
      <c r="B182" s="696">
        <v>42603.886840277781</v>
      </c>
      <c r="C182" s="1" t="s">
        <v>465</v>
      </c>
      <c r="E182" t="s">
        <v>225</v>
      </c>
      <c r="F182" t="s">
        <v>305</v>
      </c>
      <c r="G182" s="1" t="s">
        <v>3</v>
      </c>
      <c r="H182" s="1">
        <v>553448</v>
      </c>
      <c r="I182" t="s">
        <v>467</v>
      </c>
      <c r="J182" s="110">
        <v>47066659</v>
      </c>
      <c r="K182" s="4">
        <v>95386637</v>
      </c>
      <c r="L182" s="4">
        <v>64.55</v>
      </c>
      <c r="M182" s="4">
        <v>11.5</v>
      </c>
      <c r="N182">
        <v>1.08</v>
      </c>
    </row>
    <row r="183" spans="2:14" x14ac:dyDescent="0.2">
      <c r="B183" s="696">
        <v>42603.887511574074</v>
      </c>
      <c r="C183" s="1" t="s">
        <v>465</v>
      </c>
      <c r="E183" t="s">
        <v>225</v>
      </c>
      <c r="F183" t="s">
        <v>305</v>
      </c>
      <c r="G183" s="1" t="s">
        <v>3</v>
      </c>
      <c r="H183" s="1">
        <v>553448</v>
      </c>
      <c r="I183" t="s">
        <v>467</v>
      </c>
      <c r="J183" s="110">
        <v>47066659</v>
      </c>
      <c r="K183" s="4">
        <v>95800702</v>
      </c>
      <c r="L183" s="4">
        <v>67.95</v>
      </c>
      <c r="M183" s="4">
        <v>11.5</v>
      </c>
      <c r="N183">
        <v>0.98</v>
      </c>
    </row>
    <row r="184" spans="2:14" x14ac:dyDescent="0.2">
      <c r="B184" s="696">
        <v>42603.888240740744</v>
      </c>
      <c r="C184" s="1" t="s">
        <v>465</v>
      </c>
      <c r="E184" t="s">
        <v>225</v>
      </c>
      <c r="F184" t="s">
        <v>305</v>
      </c>
      <c r="G184" s="1" t="s">
        <v>3</v>
      </c>
      <c r="H184" s="1">
        <v>553448</v>
      </c>
      <c r="I184" t="s">
        <v>467</v>
      </c>
      <c r="J184" s="110">
        <v>47066659</v>
      </c>
      <c r="K184" s="4">
        <v>95651006</v>
      </c>
      <c r="L184" s="4">
        <v>69.349999999999994</v>
      </c>
      <c r="M184" s="4">
        <v>11.6</v>
      </c>
      <c r="N184">
        <v>1.06</v>
      </c>
    </row>
    <row r="185" spans="2:14" x14ac:dyDescent="0.2">
      <c r="B185" s="696">
        <v>42604.155231481483</v>
      </c>
      <c r="C185" s="1" t="s">
        <v>495</v>
      </c>
      <c r="E185" t="s">
        <v>225</v>
      </c>
      <c r="F185" t="s">
        <v>305</v>
      </c>
      <c r="G185" s="1" t="s">
        <v>3</v>
      </c>
      <c r="H185" s="1">
        <v>552936</v>
      </c>
      <c r="I185" t="s">
        <v>467</v>
      </c>
      <c r="J185" s="110">
        <v>600502</v>
      </c>
      <c r="K185" s="4" t="s">
        <v>579</v>
      </c>
      <c r="L185" s="4">
        <v>21.68</v>
      </c>
      <c r="M185" s="4">
        <v>11.7</v>
      </c>
      <c r="N185">
        <v>1.3</v>
      </c>
    </row>
    <row r="186" spans="2:14" x14ac:dyDescent="0.2">
      <c r="B186" s="696">
        <v>42604.169166666667</v>
      </c>
      <c r="C186" s="1" t="s">
        <v>462</v>
      </c>
      <c r="E186" t="s">
        <v>225</v>
      </c>
      <c r="F186" t="s">
        <v>305</v>
      </c>
      <c r="G186" s="1" t="s">
        <v>3</v>
      </c>
      <c r="H186" s="1">
        <v>553407</v>
      </c>
      <c r="I186" t="s">
        <v>467</v>
      </c>
      <c r="J186" s="110">
        <v>44</v>
      </c>
      <c r="K186" s="4" t="s">
        <v>580</v>
      </c>
      <c r="L186" s="4">
        <v>19.38</v>
      </c>
      <c r="M186" s="4">
        <v>12.1</v>
      </c>
      <c r="N186">
        <v>0.88</v>
      </c>
    </row>
    <row r="187" spans="2:14" x14ac:dyDescent="0.2">
      <c r="B187" s="696">
        <v>42601.475821759261</v>
      </c>
      <c r="C187" s="1" t="s">
        <v>619</v>
      </c>
      <c r="E187" t="s">
        <v>225</v>
      </c>
      <c r="F187" t="s">
        <v>305</v>
      </c>
      <c r="G187" s="1" t="s">
        <v>3</v>
      </c>
      <c r="H187" s="1">
        <v>551127</v>
      </c>
      <c r="I187" t="s">
        <v>629</v>
      </c>
      <c r="J187" s="110">
        <v>50165547</v>
      </c>
      <c r="K187" s="4">
        <v>95756672</v>
      </c>
      <c r="L187" s="4">
        <v>67.7</v>
      </c>
      <c r="M187" s="4">
        <v>10.6</v>
      </c>
      <c r="N187">
        <v>1.04</v>
      </c>
    </row>
    <row r="188" spans="2:14" x14ac:dyDescent="0.2">
      <c r="B188" s="696">
        <v>42601.47619212963</v>
      </c>
      <c r="C188" s="1" t="s">
        <v>619</v>
      </c>
      <c r="E188" t="s">
        <v>225</v>
      </c>
      <c r="F188" t="s">
        <v>305</v>
      </c>
      <c r="G188" s="1" t="s">
        <v>3</v>
      </c>
      <c r="H188" s="1">
        <v>551127</v>
      </c>
      <c r="I188" t="s">
        <v>629</v>
      </c>
      <c r="J188" s="110">
        <v>50165547</v>
      </c>
      <c r="K188" s="4">
        <v>95654323</v>
      </c>
      <c r="L188" s="4">
        <v>67.8</v>
      </c>
      <c r="M188" s="4">
        <v>10.6</v>
      </c>
      <c r="N188">
        <v>1</v>
      </c>
    </row>
    <row r="189" spans="2:14" x14ac:dyDescent="0.2">
      <c r="B189" s="696">
        <v>42601.476458333331</v>
      </c>
      <c r="C189" s="1" t="s">
        <v>582</v>
      </c>
      <c r="E189" t="s">
        <v>225</v>
      </c>
      <c r="F189" t="s">
        <v>305</v>
      </c>
      <c r="G189" s="1" t="s">
        <v>3</v>
      </c>
      <c r="H189" s="1">
        <v>547342</v>
      </c>
      <c r="I189" t="s">
        <v>629</v>
      </c>
      <c r="J189" s="110">
        <v>43916469</v>
      </c>
      <c r="K189" s="4">
        <v>95949517</v>
      </c>
      <c r="L189" s="4">
        <v>69.3</v>
      </c>
      <c r="M189" s="4">
        <v>12.1</v>
      </c>
      <c r="N189">
        <v>1.7</v>
      </c>
    </row>
    <row r="190" spans="2:14" x14ac:dyDescent="0.2">
      <c r="B190" s="696">
        <v>42601.476759259262</v>
      </c>
      <c r="C190" s="1" t="s">
        <v>582</v>
      </c>
      <c r="E190" t="s">
        <v>225</v>
      </c>
      <c r="F190" t="s">
        <v>305</v>
      </c>
      <c r="G190" s="1" t="s">
        <v>3</v>
      </c>
      <c r="H190" s="1">
        <v>547342</v>
      </c>
      <c r="I190" t="s">
        <v>629</v>
      </c>
      <c r="J190" s="110">
        <v>43916469</v>
      </c>
      <c r="K190" s="4">
        <v>95532800</v>
      </c>
      <c r="L190" s="4">
        <v>68.650000000000006</v>
      </c>
      <c r="M190" s="4">
        <v>12.5</v>
      </c>
      <c r="N190">
        <v>1.68</v>
      </c>
    </row>
    <row r="191" spans="2:14" x14ac:dyDescent="0.2">
      <c r="B191" s="696">
        <v>42601.477256944447</v>
      </c>
      <c r="C191" s="1" t="s">
        <v>582</v>
      </c>
      <c r="E191" t="s">
        <v>225</v>
      </c>
      <c r="F191" t="s">
        <v>305</v>
      </c>
      <c r="G191" s="1" t="s">
        <v>3</v>
      </c>
      <c r="H191" s="1">
        <v>547342</v>
      </c>
      <c r="I191" t="s">
        <v>629</v>
      </c>
      <c r="J191" s="110">
        <v>43916469</v>
      </c>
      <c r="K191" s="4">
        <v>95753000</v>
      </c>
      <c r="L191" s="4">
        <v>69</v>
      </c>
      <c r="M191" s="4">
        <v>12.6</v>
      </c>
      <c r="N191">
        <v>1.64</v>
      </c>
    </row>
    <row r="192" spans="2:14" x14ac:dyDescent="0.2">
      <c r="B192" s="696">
        <v>42601.477581018517</v>
      </c>
      <c r="C192" s="1" t="s">
        <v>582</v>
      </c>
      <c r="E192" t="s">
        <v>225</v>
      </c>
      <c r="F192" t="s">
        <v>305</v>
      </c>
      <c r="G192" s="1" t="s">
        <v>3</v>
      </c>
      <c r="H192" s="1">
        <v>547342</v>
      </c>
      <c r="I192" t="s">
        <v>629</v>
      </c>
      <c r="J192" s="110">
        <v>43916469</v>
      </c>
      <c r="K192" s="4">
        <v>95246310</v>
      </c>
      <c r="L192" s="4">
        <v>70.05</v>
      </c>
      <c r="M192" s="4">
        <v>11.4</v>
      </c>
      <c r="N192">
        <v>1.5</v>
      </c>
    </row>
    <row r="193" spans="2:14" x14ac:dyDescent="0.2">
      <c r="B193" s="696">
        <v>42601.477847222224</v>
      </c>
      <c r="C193" s="1" t="s">
        <v>582</v>
      </c>
      <c r="E193" t="s">
        <v>225</v>
      </c>
      <c r="F193" t="s">
        <v>305</v>
      </c>
      <c r="G193" s="1" t="s">
        <v>3</v>
      </c>
      <c r="H193" s="1">
        <v>547342</v>
      </c>
      <c r="I193" t="s">
        <v>629</v>
      </c>
      <c r="J193" s="110">
        <v>43916469</v>
      </c>
      <c r="K193" s="4">
        <v>95712071</v>
      </c>
      <c r="L193" s="4">
        <v>68.7</v>
      </c>
      <c r="M193" s="4">
        <v>11.6</v>
      </c>
      <c r="N193">
        <v>1.72</v>
      </c>
    </row>
    <row r="194" spans="2:14" x14ac:dyDescent="0.2">
      <c r="B194" s="696">
        <v>42601.47824074074</v>
      </c>
      <c r="C194" s="1" t="s">
        <v>582</v>
      </c>
      <c r="E194" t="s">
        <v>225</v>
      </c>
      <c r="F194" t="s">
        <v>305</v>
      </c>
      <c r="G194" s="1" t="s">
        <v>3</v>
      </c>
      <c r="H194" s="1">
        <v>547342</v>
      </c>
      <c r="I194" t="s">
        <v>629</v>
      </c>
      <c r="J194" s="110">
        <v>43910868</v>
      </c>
      <c r="K194" s="4">
        <v>95693255</v>
      </c>
      <c r="L194" s="4">
        <v>69.25</v>
      </c>
      <c r="M194" s="4">
        <v>12.5</v>
      </c>
      <c r="N194">
        <v>1.54</v>
      </c>
    </row>
    <row r="195" spans="2:14" x14ac:dyDescent="0.2">
      <c r="B195" s="696">
        <v>42601.478518518517</v>
      </c>
      <c r="C195" s="1" t="s">
        <v>582</v>
      </c>
      <c r="E195" t="s">
        <v>225</v>
      </c>
      <c r="F195" t="s">
        <v>305</v>
      </c>
      <c r="G195" s="1" t="s">
        <v>3</v>
      </c>
      <c r="H195" s="1">
        <v>547342</v>
      </c>
      <c r="I195" t="s">
        <v>629</v>
      </c>
      <c r="J195" s="110">
        <v>43910868</v>
      </c>
      <c r="K195" s="4">
        <v>95758918</v>
      </c>
      <c r="L195" s="4">
        <v>69.099999999999994</v>
      </c>
      <c r="M195" s="4">
        <v>12.7</v>
      </c>
      <c r="N195">
        <v>1.6</v>
      </c>
    </row>
    <row r="196" spans="2:14" x14ac:dyDescent="0.2">
      <c r="B196" s="696">
        <v>42601.479039351849</v>
      </c>
      <c r="C196" s="1" t="s">
        <v>582</v>
      </c>
      <c r="E196" t="s">
        <v>225</v>
      </c>
      <c r="F196" t="s">
        <v>305</v>
      </c>
      <c r="G196" s="1" t="s">
        <v>3</v>
      </c>
      <c r="H196" s="1">
        <v>547342</v>
      </c>
      <c r="I196" t="s">
        <v>629</v>
      </c>
      <c r="J196" s="110">
        <v>43910868</v>
      </c>
      <c r="K196" s="4">
        <v>95832267</v>
      </c>
      <c r="L196" s="4">
        <v>69.099999999999994</v>
      </c>
      <c r="M196" s="4">
        <v>11.5</v>
      </c>
      <c r="N196">
        <v>1.54</v>
      </c>
    </row>
    <row r="197" spans="2:14" x14ac:dyDescent="0.2">
      <c r="B197" s="696">
        <v>42601.479479166665</v>
      </c>
      <c r="C197" s="1" t="s">
        <v>582</v>
      </c>
      <c r="E197" t="s">
        <v>225</v>
      </c>
      <c r="F197" t="s">
        <v>305</v>
      </c>
      <c r="G197" s="1" t="s">
        <v>3</v>
      </c>
      <c r="H197" s="1">
        <v>547342</v>
      </c>
      <c r="I197" t="s">
        <v>629</v>
      </c>
      <c r="J197" s="110">
        <v>43910868</v>
      </c>
      <c r="K197" s="4">
        <v>95451068</v>
      </c>
      <c r="L197" s="4">
        <v>69.400000000000006</v>
      </c>
      <c r="M197" s="4">
        <v>11.7</v>
      </c>
      <c r="N197">
        <v>1.4</v>
      </c>
    </row>
    <row r="198" spans="2:14" x14ac:dyDescent="0.2">
      <c r="B198" s="696">
        <v>42601.479814814818</v>
      </c>
      <c r="C198" s="1" t="s">
        <v>582</v>
      </c>
      <c r="E198" t="s">
        <v>225</v>
      </c>
      <c r="F198" t="s">
        <v>305</v>
      </c>
      <c r="G198" s="1" t="s">
        <v>3</v>
      </c>
      <c r="H198" s="1">
        <v>547342</v>
      </c>
      <c r="I198" t="s">
        <v>629</v>
      </c>
      <c r="J198" s="110">
        <v>43910868</v>
      </c>
      <c r="K198" s="4">
        <v>95979753</v>
      </c>
      <c r="L198" s="4">
        <v>69.2</v>
      </c>
      <c r="M198" s="4">
        <v>11.5</v>
      </c>
      <c r="N198">
        <v>1.44</v>
      </c>
    </row>
    <row r="199" spans="2:14" x14ac:dyDescent="0.2">
      <c r="B199" s="696">
        <v>42601.491388888891</v>
      </c>
      <c r="C199" s="1" t="s">
        <v>462</v>
      </c>
      <c r="E199" t="s">
        <v>225</v>
      </c>
      <c r="F199" t="s">
        <v>305</v>
      </c>
      <c r="G199" s="1" t="s">
        <v>3</v>
      </c>
      <c r="H199" s="1">
        <v>553729</v>
      </c>
      <c r="I199" t="s">
        <v>629</v>
      </c>
      <c r="J199" s="110">
        <v>37</v>
      </c>
      <c r="K199" s="4" t="s">
        <v>425</v>
      </c>
      <c r="L199" s="4">
        <v>23.1</v>
      </c>
      <c r="M199" s="4">
        <v>10.7</v>
      </c>
      <c r="N199">
        <v>1</v>
      </c>
    </row>
    <row r="200" spans="2:14" x14ac:dyDescent="0.2">
      <c r="B200" s="696">
        <v>42601.498067129629</v>
      </c>
      <c r="C200" s="1" t="s">
        <v>462</v>
      </c>
      <c r="E200" t="s">
        <v>225</v>
      </c>
      <c r="F200" t="s">
        <v>305</v>
      </c>
      <c r="G200" s="1" t="s">
        <v>3</v>
      </c>
      <c r="H200" s="1">
        <v>553729</v>
      </c>
      <c r="I200" t="s">
        <v>629</v>
      </c>
      <c r="J200" s="110">
        <v>36</v>
      </c>
      <c r="K200" s="4" t="s">
        <v>427</v>
      </c>
      <c r="L200" s="4">
        <v>22.8</v>
      </c>
      <c r="M200" s="4">
        <v>10.8</v>
      </c>
      <c r="N200">
        <v>1</v>
      </c>
    </row>
    <row r="201" spans="2:14" x14ac:dyDescent="0.2">
      <c r="B201" s="696">
        <v>42601.503530092596</v>
      </c>
      <c r="C201" s="1" t="s">
        <v>419</v>
      </c>
      <c r="E201" t="s">
        <v>225</v>
      </c>
      <c r="F201" t="s">
        <v>305</v>
      </c>
      <c r="G201" s="1" t="s">
        <v>3</v>
      </c>
      <c r="H201" s="1">
        <v>553495</v>
      </c>
      <c r="I201" t="s">
        <v>629</v>
      </c>
      <c r="J201" s="110">
        <v>586802</v>
      </c>
      <c r="K201" s="4" t="s">
        <v>583</v>
      </c>
      <c r="L201" s="4">
        <v>16.28</v>
      </c>
      <c r="M201" s="4">
        <v>12.2</v>
      </c>
      <c r="N201">
        <v>1.58</v>
      </c>
    </row>
    <row r="202" spans="2:14" x14ac:dyDescent="0.2">
      <c r="B202" s="696">
        <v>42601.509618055556</v>
      </c>
      <c r="C202" s="1" t="s">
        <v>419</v>
      </c>
      <c r="E202" t="s">
        <v>225</v>
      </c>
      <c r="F202" t="s">
        <v>305</v>
      </c>
      <c r="G202" s="1" t="s">
        <v>3</v>
      </c>
      <c r="H202" s="1">
        <v>553495</v>
      </c>
      <c r="I202" t="s">
        <v>629</v>
      </c>
      <c r="J202" s="110">
        <v>586801</v>
      </c>
      <c r="K202" s="4" t="s">
        <v>584</v>
      </c>
      <c r="L202" s="4">
        <v>13.34</v>
      </c>
      <c r="M202" s="4">
        <v>11.8</v>
      </c>
      <c r="N202">
        <v>1.5</v>
      </c>
    </row>
    <row r="203" spans="2:14" x14ac:dyDescent="0.2">
      <c r="B203" s="696">
        <v>42601.59784722222</v>
      </c>
      <c r="C203" s="1" t="s">
        <v>464</v>
      </c>
      <c r="E203" t="s">
        <v>225</v>
      </c>
      <c r="F203" t="s">
        <v>305</v>
      </c>
      <c r="G203" s="1" t="s">
        <v>3</v>
      </c>
      <c r="H203" s="1">
        <v>553413</v>
      </c>
      <c r="I203" t="s">
        <v>629</v>
      </c>
      <c r="J203" s="110">
        <v>209</v>
      </c>
      <c r="K203" s="4" t="s">
        <v>585</v>
      </c>
      <c r="L203" s="4">
        <v>21.68</v>
      </c>
      <c r="M203" s="4">
        <v>10.8</v>
      </c>
      <c r="N203">
        <v>0.84</v>
      </c>
    </row>
    <row r="204" spans="2:14" x14ac:dyDescent="0.2">
      <c r="B204" s="696">
        <v>42601.603692129633</v>
      </c>
      <c r="C204" s="1" t="s">
        <v>464</v>
      </c>
      <c r="E204" t="s">
        <v>225</v>
      </c>
      <c r="F204" t="s">
        <v>305</v>
      </c>
      <c r="G204" s="1" t="s">
        <v>3</v>
      </c>
      <c r="H204" s="1">
        <v>553413</v>
      </c>
      <c r="I204" t="s">
        <v>629</v>
      </c>
      <c r="J204" s="110">
        <v>210</v>
      </c>
      <c r="K204" s="4" t="s">
        <v>586</v>
      </c>
      <c r="L204" s="4">
        <v>22.16</v>
      </c>
      <c r="M204" s="4">
        <v>10.8</v>
      </c>
      <c r="N204">
        <v>0.88</v>
      </c>
    </row>
    <row r="205" spans="2:14" x14ac:dyDescent="0.2">
      <c r="B205" s="696">
        <v>42601.613333333335</v>
      </c>
      <c r="C205" s="1" t="s">
        <v>462</v>
      </c>
      <c r="E205" t="s">
        <v>225</v>
      </c>
      <c r="F205" t="s">
        <v>305</v>
      </c>
      <c r="G205" s="1" t="s">
        <v>3</v>
      </c>
      <c r="H205" s="1">
        <v>553729</v>
      </c>
      <c r="I205" t="s">
        <v>629</v>
      </c>
      <c r="J205" s="110">
        <v>35</v>
      </c>
      <c r="K205" s="4" t="s">
        <v>587</v>
      </c>
      <c r="L205" s="4">
        <v>21.56</v>
      </c>
      <c r="M205" s="4">
        <v>11.6</v>
      </c>
      <c r="N205">
        <v>0.82</v>
      </c>
    </row>
    <row r="206" spans="2:14" x14ac:dyDescent="0.2">
      <c r="B206" s="696">
        <v>42601.620173611111</v>
      </c>
      <c r="C206" s="1" t="s">
        <v>408</v>
      </c>
      <c r="E206" t="s">
        <v>225</v>
      </c>
      <c r="F206" t="s">
        <v>305</v>
      </c>
      <c r="G206" s="1" t="s">
        <v>3</v>
      </c>
      <c r="H206" s="1">
        <v>553698</v>
      </c>
      <c r="I206" t="s">
        <v>629</v>
      </c>
      <c r="J206" s="110">
        <v>342517</v>
      </c>
      <c r="K206" s="4" t="s">
        <v>588</v>
      </c>
      <c r="L206" s="4">
        <v>25.3</v>
      </c>
      <c r="M206" s="4">
        <v>12.3</v>
      </c>
      <c r="N206">
        <v>0.96</v>
      </c>
    </row>
    <row r="207" spans="2:14" x14ac:dyDescent="0.2">
      <c r="B207" s="696">
        <v>42601.62703703704</v>
      </c>
      <c r="C207" s="1" t="s">
        <v>624</v>
      </c>
      <c r="E207" t="s">
        <v>225</v>
      </c>
      <c r="F207" t="s">
        <v>305</v>
      </c>
      <c r="G207" s="1" t="s">
        <v>3</v>
      </c>
      <c r="H207" s="1">
        <v>553412</v>
      </c>
      <c r="I207" t="s">
        <v>629</v>
      </c>
      <c r="J207" s="110">
        <v>19797</v>
      </c>
      <c r="K207" s="4" t="s">
        <v>589</v>
      </c>
      <c r="L207" s="4">
        <v>22</v>
      </c>
      <c r="M207" s="4">
        <v>13.2</v>
      </c>
      <c r="N207">
        <v>0.84</v>
      </c>
    </row>
    <row r="208" spans="2:14" x14ac:dyDescent="0.2">
      <c r="B208" s="696">
        <v>42601.649872685186</v>
      </c>
      <c r="C208" s="1" t="s">
        <v>624</v>
      </c>
      <c r="E208" t="s">
        <v>225</v>
      </c>
      <c r="F208" t="s">
        <v>305</v>
      </c>
      <c r="G208" s="1" t="s">
        <v>3</v>
      </c>
      <c r="H208" s="1">
        <v>553412</v>
      </c>
      <c r="I208" t="s">
        <v>629</v>
      </c>
      <c r="J208" s="110">
        <v>19791</v>
      </c>
      <c r="K208" s="4" t="s">
        <v>590</v>
      </c>
      <c r="L208" s="4">
        <v>22.16</v>
      </c>
      <c r="M208" s="4">
        <v>12.9</v>
      </c>
      <c r="N208">
        <v>0.74</v>
      </c>
    </row>
    <row r="209" spans="2:14" x14ac:dyDescent="0.2">
      <c r="B209" s="696">
        <v>42601.653298611112</v>
      </c>
      <c r="C209" s="1" t="s">
        <v>624</v>
      </c>
      <c r="E209" t="s">
        <v>225</v>
      </c>
      <c r="F209" t="s">
        <v>305</v>
      </c>
      <c r="G209" s="1" t="s">
        <v>3</v>
      </c>
      <c r="H209" s="1">
        <v>553412</v>
      </c>
      <c r="I209" t="s">
        <v>629</v>
      </c>
      <c r="J209" s="110">
        <v>19792</v>
      </c>
      <c r="K209" s="4" t="s">
        <v>432</v>
      </c>
      <c r="L209" s="4">
        <v>21.54</v>
      </c>
      <c r="M209" s="4">
        <v>12.9</v>
      </c>
      <c r="N209">
        <v>0.86</v>
      </c>
    </row>
    <row r="210" spans="2:14" x14ac:dyDescent="0.2">
      <c r="B210" s="696">
        <v>42601.657372685186</v>
      </c>
      <c r="C210" s="1" t="s">
        <v>624</v>
      </c>
      <c r="E210" t="s">
        <v>225</v>
      </c>
      <c r="F210" t="s">
        <v>305</v>
      </c>
      <c r="G210" s="1" t="s">
        <v>3</v>
      </c>
      <c r="H210" s="1">
        <v>553412</v>
      </c>
      <c r="I210" t="s">
        <v>629</v>
      </c>
      <c r="J210" s="110">
        <v>19795</v>
      </c>
      <c r="K210" s="4" t="s">
        <v>429</v>
      </c>
      <c r="L210" s="4">
        <v>20.7</v>
      </c>
      <c r="M210" s="4">
        <v>12.3</v>
      </c>
      <c r="N210">
        <v>0.78</v>
      </c>
    </row>
    <row r="211" spans="2:14" x14ac:dyDescent="0.2">
      <c r="B211" s="696">
        <v>42601.668229166666</v>
      </c>
      <c r="C211" s="1" t="s">
        <v>624</v>
      </c>
      <c r="E211" t="s">
        <v>225</v>
      </c>
      <c r="F211" t="s">
        <v>305</v>
      </c>
      <c r="G211" s="1" t="s">
        <v>3</v>
      </c>
      <c r="H211" s="1">
        <v>553412</v>
      </c>
      <c r="I211" t="s">
        <v>629</v>
      </c>
      <c r="J211" s="110">
        <v>19793</v>
      </c>
      <c r="K211" s="4" t="s">
        <v>431</v>
      </c>
      <c r="L211" s="4">
        <v>20.8</v>
      </c>
      <c r="M211" s="4">
        <v>12.7</v>
      </c>
      <c r="N211">
        <v>0.82</v>
      </c>
    </row>
    <row r="212" spans="2:14" x14ac:dyDescent="0.2">
      <c r="B212" s="696">
        <v>42601.688460648147</v>
      </c>
      <c r="C212" s="1" t="s">
        <v>464</v>
      </c>
      <c r="E212" t="s">
        <v>225</v>
      </c>
      <c r="F212" t="s">
        <v>305</v>
      </c>
      <c r="G212" s="1" t="s">
        <v>3</v>
      </c>
      <c r="H212" s="1">
        <v>553413</v>
      </c>
      <c r="I212" t="s">
        <v>629</v>
      </c>
      <c r="J212" s="110">
        <v>211</v>
      </c>
      <c r="K212" s="4" t="s">
        <v>423</v>
      </c>
      <c r="L212" s="4">
        <v>25.76</v>
      </c>
      <c r="M212" s="4">
        <v>10.4</v>
      </c>
      <c r="N212">
        <v>0.72</v>
      </c>
    </row>
    <row r="213" spans="2:14" x14ac:dyDescent="0.2">
      <c r="B213" s="696">
        <v>42601.857743055552</v>
      </c>
      <c r="C213" s="1" t="s">
        <v>495</v>
      </c>
      <c r="E213" t="s">
        <v>225</v>
      </c>
      <c r="F213" t="s">
        <v>305</v>
      </c>
      <c r="G213" s="1" t="s">
        <v>3</v>
      </c>
      <c r="H213" s="1">
        <v>552782</v>
      </c>
      <c r="I213" t="s">
        <v>629</v>
      </c>
      <c r="J213" s="110">
        <v>600491</v>
      </c>
      <c r="K213" s="4" t="s">
        <v>422</v>
      </c>
      <c r="L213" s="4">
        <v>26.34</v>
      </c>
      <c r="M213" s="4">
        <v>12.2</v>
      </c>
      <c r="N213">
        <v>1.6</v>
      </c>
    </row>
    <row r="214" spans="2:14" x14ac:dyDescent="0.2">
      <c r="B214" s="696">
        <v>42601.890416666669</v>
      </c>
      <c r="C214" s="1" t="s">
        <v>624</v>
      </c>
      <c r="E214" t="s">
        <v>225</v>
      </c>
      <c r="F214" t="s">
        <v>305</v>
      </c>
      <c r="G214" s="1" t="s">
        <v>3</v>
      </c>
      <c r="H214" s="1">
        <v>553412</v>
      </c>
      <c r="I214" t="s">
        <v>629</v>
      </c>
      <c r="J214" s="110">
        <v>1005</v>
      </c>
      <c r="K214" s="4" t="s">
        <v>591</v>
      </c>
      <c r="L214" s="4">
        <v>24.98</v>
      </c>
      <c r="M214" s="4">
        <v>13</v>
      </c>
      <c r="N214">
        <v>0.76</v>
      </c>
    </row>
    <row r="215" spans="2:14" x14ac:dyDescent="0.2">
      <c r="B215" s="696">
        <v>42602.073101851849</v>
      </c>
      <c r="C215" s="1" t="s">
        <v>408</v>
      </c>
      <c r="E215" t="s">
        <v>225</v>
      </c>
      <c r="F215" t="s">
        <v>305</v>
      </c>
      <c r="G215" s="1" t="s">
        <v>3</v>
      </c>
      <c r="H215" s="1">
        <v>553698</v>
      </c>
      <c r="I215" t="s">
        <v>629</v>
      </c>
      <c r="J215" s="110">
        <v>355432</v>
      </c>
      <c r="K215" s="4" t="s">
        <v>472</v>
      </c>
      <c r="L215" s="4">
        <v>14.66</v>
      </c>
      <c r="M215" s="4">
        <v>12</v>
      </c>
      <c r="N215">
        <v>1</v>
      </c>
    </row>
    <row r="216" spans="2:14" x14ac:dyDescent="0.2">
      <c r="B216" s="696">
        <v>42602.096354166664</v>
      </c>
      <c r="C216" s="1" t="s">
        <v>624</v>
      </c>
      <c r="E216" t="s">
        <v>225</v>
      </c>
      <c r="F216" t="s">
        <v>305</v>
      </c>
      <c r="G216" s="1" t="s">
        <v>3</v>
      </c>
      <c r="H216" s="1">
        <v>553412</v>
      </c>
      <c r="I216" t="s">
        <v>629</v>
      </c>
      <c r="J216" s="110">
        <v>1006</v>
      </c>
      <c r="K216" s="4" t="s">
        <v>592</v>
      </c>
      <c r="L216" s="4">
        <v>23.94</v>
      </c>
      <c r="M216" s="4">
        <v>13</v>
      </c>
      <c r="N216">
        <v>1.02</v>
      </c>
    </row>
    <row r="217" spans="2:14" x14ac:dyDescent="0.2">
      <c r="B217" s="696">
        <v>42602.106712962966</v>
      </c>
      <c r="C217" s="1" t="s">
        <v>460</v>
      </c>
      <c r="E217" t="s">
        <v>225</v>
      </c>
      <c r="F217" t="s">
        <v>305</v>
      </c>
      <c r="G217" s="1" t="s">
        <v>3</v>
      </c>
      <c r="H217" s="1">
        <v>553695</v>
      </c>
      <c r="I217" t="s">
        <v>629</v>
      </c>
      <c r="J217" s="110">
        <v>5464</v>
      </c>
      <c r="K217" s="4" t="s">
        <v>442</v>
      </c>
      <c r="L217" s="4">
        <v>19.86</v>
      </c>
      <c r="M217" s="4">
        <v>10.8</v>
      </c>
      <c r="N217">
        <v>1.26</v>
      </c>
    </row>
    <row r="218" spans="2:14" x14ac:dyDescent="0.2">
      <c r="B218" s="696">
        <v>42602.117222222223</v>
      </c>
      <c r="C218" s="1" t="s">
        <v>460</v>
      </c>
      <c r="E218" t="s">
        <v>225</v>
      </c>
      <c r="F218" t="s">
        <v>305</v>
      </c>
      <c r="G218" s="1" t="s">
        <v>3</v>
      </c>
      <c r="H218" s="1">
        <v>553695</v>
      </c>
      <c r="I218" t="s">
        <v>629</v>
      </c>
      <c r="J218" s="110">
        <v>5463</v>
      </c>
      <c r="K218" s="4" t="s">
        <v>441</v>
      </c>
      <c r="L218" s="4">
        <v>20.18</v>
      </c>
      <c r="M218" s="4">
        <v>10.8</v>
      </c>
      <c r="N218">
        <v>1.02</v>
      </c>
    </row>
    <row r="219" spans="2:14" x14ac:dyDescent="0.2">
      <c r="B219" s="696">
        <v>42602.12599537037</v>
      </c>
      <c r="C219" s="1" t="s">
        <v>460</v>
      </c>
      <c r="E219" t="s">
        <v>225</v>
      </c>
      <c r="F219" t="s">
        <v>305</v>
      </c>
      <c r="G219" s="1" t="s">
        <v>3</v>
      </c>
      <c r="H219" s="1">
        <v>553695</v>
      </c>
      <c r="I219" t="s">
        <v>629</v>
      </c>
      <c r="J219" s="110">
        <v>5465</v>
      </c>
      <c r="K219" s="4" t="s">
        <v>444</v>
      </c>
      <c r="L219" s="4">
        <v>20.94</v>
      </c>
      <c r="M219" s="4">
        <v>11</v>
      </c>
      <c r="N219">
        <v>1.32</v>
      </c>
    </row>
    <row r="220" spans="2:14" x14ac:dyDescent="0.2">
      <c r="B220" s="696">
        <v>42602.238993055558</v>
      </c>
      <c r="C220" s="1" t="s">
        <v>582</v>
      </c>
      <c r="E220" t="s">
        <v>225</v>
      </c>
      <c r="F220" t="s">
        <v>305</v>
      </c>
      <c r="G220" s="1" t="s">
        <v>3</v>
      </c>
      <c r="H220" s="1">
        <v>547342</v>
      </c>
      <c r="I220" t="s">
        <v>629</v>
      </c>
      <c r="J220" s="110">
        <v>43901206</v>
      </c>
      <c r="K220" s="4">
        <v>95760229</v>
      </c>
      <c r="L220" s="4">
        <v>68.55</v>
      </c>
      <c r="M220" s="4">
        <v>13.6</v>
      </c>
      <c r="N220">
        <v>1.46</v>
      </c>
    </row>
    <row r="221" spans="2:14" x14ac:dyDescent="0.2">
      <c r="B221" s="696">
        <v>42602.274884259263</v>
      </c>
      <c r="C221" s="1" t="s">
        <v>495</v>
      </c>
      <c r="E221" t="s">
        <v>225</v>
      </c>
      <c r="F221" t="s">
        <v>305</v>
      </c>
      <c r="G221" s="1" t="s">
        <v>3</v>
      </c>
      <c r="H221" s="1">
        <v>552782</v>
      </c>
      <c r="I221" t="s">
        <v>629</v>
      </c>
      <c r="J221" s="110">
        <v>600494</v>
      </c>
      <c r="K221" s="4" t="s">
        <v>512</v>
      </c>
      <c r="L221" s="4">
        <v>25.42</v>
      </c>
      <c r="M221" s="4">
        <v>11.5</v>
      </c>
      <c r="N221">
        <v>1.46</v>
      </c>
    </row>
    <row r="222" spans="2:14" x14ac:dyDescent="0.2">
      <c r="B222" s="696">
        <v>42602.278912037036</v>
      </c>
      <c r="C222" s="1" t="s">
        <v>624</v>
      </c>
      <c r="E222" t="s">
        <v>225</v>
      </c>
      <c r="F222" t="s">
        <v>305</v>
      </c>
      <c r="G222" s="1" t="s">
        <v>3</v>
      </c>
      <c r="H222" s="1">
        <v>553412</v>
      </c>
      <c r="I222" t="s">
        <v>629</v>
      </c>
      <c r="J222" s="110">
        <v>1008</v>
      </c>
      <c r="K222" s="4" t="s">
        <v>529</v>
      </c>
      <c r="L222" s="4">
        <v>21.7</v>
      </c>
      <c r="M222" s="4">
        <v>12.5</v>
      </c>
      <c r="N222">
        <v>1.46</v>
      </c>
    </row>
    <row r="223" spans="2:14" x14ac:dyDescent="0.2">
      <c r="B223" s="696">
        <v>42602.292824074073</v>
      </c>
      <c r="C223" s="1" t="s">
        <v>408</v>
      </c>
      <c r="E223" t="s">
        <v>225</v>
      </c>
      <c r="F223" t="s">
        <v>305</v>
      </c>
      <c r="G223" s="1" t="s">
        <v>3</v>
      </c>
      <c r="H223" s="1">
        <v>553698</v>
      </c>
      <c r="I223" t="s">
        <v>629</v>
      </c>
      <c r="J223" s="110">
        <v>354612</v>
      </c>
      <c r="K223" s="4" t="s">
        <v>593</v>
      </c>
      <c r="L223" s="4">
        <v>22.9</v>
      </c>
      <c r="M223" s="4">
        <v>11.8</v>
      </c>
      <c r="N223">
        <v>1.3</v>
      </c>
    </row>
    <row r="224" spans="2:14" x14ac:dyDescent="0.2">
      <c r="B224" s="696">
        <v>42602.296736111108</v>
      </c>
      <c r="C224" s="1" t="s">
        <v>624</v>
      </c>
      <c r="E224" t="s">
        <v>225</v>
      </c>
      <c r="F224" t="s">
        <v>305</v>
      </c>
      <c r="G224" s="1" t="s">
        <v>3</v>
      </c>
      <c r="H224" s="1">
        <v>553412</v>
      </c>
      <c r="I224" t="s">
        <v>629</v>
      </c>
      <c r="J224" s="110">
        <v>1007</v>
      </c>
      <c r="K224" s="4" t="s">
        <v>528</v>
      </c>
      <c r="L224" s="4">
        <v>23.24</v>
      </c>
      <c r="M224" s="4">
        <v>12.6</v>
      </c>
      <c r="N224">
        <v>1.24</v>
      </c>
    </row>
    <row r="225" spans="2:14" x14ac:dyDescent="0.2">
      <c r="B225" s="696">
        <v>42602.301504629628</v>
      </c>
      <c r="C225" s="1" t="s">
        <v>624</v>
      </c>
      <c r="E225" t="s">
        <v>225</v>
      </c>
      <c r="F225" t="s">
        <v>305</v>
      </c>
      <c r="G225" s="1" t="s">
        <v>3</v>
      </c>
      <c r="H225" s="1">
        <v>553412</v>
      </c>
      <c r="I225" t="s">
        <v>629</v>
      </c>
      <c r="J225" s="110">
        <v>19794</v>
      </c>
      <c r="K225" s="4" t="s">
        <v>520</v>
      </c>
      <c r="L225" s="4">
        <v>19.04</v>
      </c>
      <c r="M225" s="4">
        <v>12.8</v>
      </c>
      <c r="N225">
        <v>0.96</v>
      </c>
    </row>
    <row r="226" spans="2:14" x14ac:dyDescent="0.2">
      <c r="B226" s="696">
        <v>42602.414004629631</v>
      </c>
      <c r="C226" s="1" t="s">
        <v>495</v>
      </c>
      <c r="E226" t="s">
        <v>225</v>
      </c>
      <c r="F226" t="s">
        <v>305</v>
      </c>
      <c r="G226" s="1" t="s">
        <v>3</v>
      </c>
      <c r="H226" s="1">
        <v>552782</v>
      </c>
      <c r="I226" t="s">
        <v>629</v>
      </c>
      <c r="J226" s="110">
        <v>600496</v>
      </c>
      <c r="K226" s="4" t="s">
        <v>594</v>
      </c>
      <c r="L226" s="4">
        <v>25.32</v>
      </c>
      <c r="M226" s="4">
        <v>11.5</v>
      </c>
      <c r="N226">
        <v>1.26</v>
      </c>
    </row>
    <row r="227" spans="2:14" x14ac:dyDescent="0.2">
      <c r="B227" s="696">
        <v>42602.518946759257</v>
      </c>
      <c r="C227" s="1" t="s">
        <v>619</v>
      </c>
      <c r="E227" t="s">
        <v>225</v>
      </c>
      <c r="F227" t="s">
        <v>305</v>
      </c>
      <c r="G227" s="1" t="s">
        <v>3</v>
      </c>
      <c r="H227" s="1">
        <v>551127</v>
      </c>
      <c r="I227" t="s">
        <v>629</v>
      </c>
      <c r="J227" s="110">
        <v>50257856</v>
      </c>
      <c r="K227" s="4">
        <v>95353389</v>
      </c>
      <c r="L227" s="4">
        <v>64.650000000000006</v>
      </c>
      <c r="M227" s="4">
        <v>11.8</v>
      </c>
      <c r="N227">
        <v>0.84</v>
      </c>
    </row>
    <row r="228" spans="2:14" x14ac:dyDescent="0.2">
      <c r="B228" s="696">
        <v>42602.519513888888</v>
      </c>
      <c r="C228" s="1" t="s">
        <v>619</v>
      </c>
      <c r="E228" t="s">
        <v>225</v>
      </c>
      <c r="F228" t="s">
        <v>305</v>
      </c>
      <c r="G228" s="1" t="s">
        <v>3</v>
      </c>
      <c r="H228" s="1">
        <v>551127</v>
      </c>
      <c r="I228" t="s">
        <v>629</v>
      </c>
      <c r="J228" s="110">
        <v>50257856</v>
      </c>
      <c r="K228" s="4">
        <v>95499422</v>
      </c>
      <c r="L228" s="4">
        <v>66.8</v>
      </c>
      <c r="M228" s="4">
        <v>11.8</v>
      </c>
      <c r="N228">
        <v>0.86</v>
      </c>
    </row>
    <row r="229" spans="2:14" x14ac:dyDescent="0.2">
      <c r="B229" s="696">
        <v>42602.52008101852</v>
      </c>
      <c r="C229" s="1" t="s">
        <v>619</v>
      </c>
      <c r="E229" t="s">
        <v>225</v>
      </c>
      <c r="F229" t="s">
        <v>305</v>
      </c>
      <c r="G229" s="1" t="s">
        <v>3</v>
      </c>
      <c r="H229" s="1">
        <v>551127</v>
      </c>
      <c r="I229" t="s">
        <v>629</v>
      </c>
      <c r="J229" s="110">
        <v>50257856</v>
      </c>
      <c r="K229" s="4">
        <v>95696357</v>
      </c>
      <c r="L229" s="4">
        <v>68.849999999999994</v>
      </c>
      <c r="M229" s="4">
        <v>11.8</v>
      </c>
      <c r="N229">
        <v>0.86</v>
      </c>
    </row>
    <row r="230" spans="2:14" x14ac:dyDescent="0.2">
      <c r="B230" s="696">
        <v>42602.520590277774</v>
      </c>
      <c r="C230" s="1" t="s">
        <v>619</v>
      </c>
      <c r="E230" t="s">
        <v>225</v>
      </c>
      <c r="F230" t="s">
        <v>305</v>
      </c>
      <c r="G230" s="1" t="s">
        <v>3</v>
      </c>
      <c r="H230" s="1">
        <v>551127</v>
      </c>
      <c r="I230" t="s">
        <v>629</v>
      </c>
      <c r="J230" s="110">
        <v>50257856</v>
      </c>
      <c r="K230" s="4">
        <v>95362539</v>
      </c>
      <c r="L230" s="4">
        <v>64.05</v>
      </c>
      <c r="M230" s="4">
        <v>11.1</v>
      </c>
      <c r="N230">
        <v>0.84</v>
      </c>
    </row>
    <row r="231" spans="2:14" x14ac:dyDescent="0.2">
      <c r="B231" s="696">
        <v>42602.596284722225</v>
      </c>
      <c r="C231" s="1" t="s">
        <v>624</v>
      </c>
      <c r="E231" t="s">
        <v>225</v>
      </c>
      <c r="F231" t="s">
        <v>305</v>
      </c>
      <c r="G231" s="1" t="s">
        <v>3</v>
      </c>
      <c r="H231" s="1">
        <v>553412</v>
      </c>
      <c r="I231" t="s">
        <v>629</v>
      </c>
      <c r="J231" s="110">
        <v>19800</v>
      </c>
      <c r="K231" s="4" t="s">
        <v>532</v>
      </c>
      <c r="L231" s="4">
        <v>24.96</v>
      </c>
      <c r="M231" s="4">
        <v>12.6</v>
      </c>
      <c r="N231">
        <v>1.46</v>
      </c>
    </row>
    <row r="232" spans="2:14" x14ac:dyDescent="0.2">
      <c r="B232" s="696">
        <v>42602.785127314812</v>
      </c>
      <c r="C232" s="1" t="s">
        <v>624</v>
      </c>
      <c r="E232" t="s">
        <v>225</v>
      </c>
      <c r="F232" t="s">
        <v>305</v>
      </c>
      <c r="G232" s="1" t="s">
        <v>3</v>
      </c>
      <c r="H232" s="1">
        <v>553412</v>
      </c>
      <c r="I232" t="s">
        <v>629</v>
      </c>
      <c r="J232" s="110">
        <v>19788</v>
      </c>
      <c r="K232" s="4" t="s">
        <v>516</v>
      </c>
      <c r="L232" s="4">
        <v>20.399999999999999</v>
      </c>
      <c r="M232" s="4">
        <v>12.8</v>
      </c>
      <c r="N232">
        <v>1.8</v>
      </c>
    </row>
    <row r="233" spans="2:14" x14ac:dyDescent="0.2">
      <c r="B233" s="696">
        <v>42602.790625000001</v>
      </c>
      <c r="C233" s="1" t="s">
        <v>624</v>
      </c>
      <c r="E233" t="s">
        <v>225</v>
      </c>
      <c r="F233" t="s">
        <v>305</v>
      </c>
      <c r="G233" s="1" t="s">
        <v>3</v>
      </c>
      <c r="H233" s="1">
        <v>553412</v>
      </c>
      <c r="I233" t="s">
        <v>629</v>
      </c>
      <c r="J233" s="110">
        <v>19789</v>
      </c>
      <c r="K233" s="4" t="s">
        <v>517</v>
      </c>
      <c r="L233" s="4">
        <v>19.2</v>
      </c>
      <c r="M233" s="4">
        <v>12.6</v>
      </c>
      <c r="N233">
        <v>1.48</v>
      </c>
    </row>
    <row r="234" spans="2:14" x14ac:dyDescent="0.2">
      <c r="B234" s="696">
        <v>42602.797106481485</v>
      </c>
      <c r="C234" s="1" t="s">
        <v>624</v>
      </c>
      <c r="E234" t="s">
        <v>225</v>
      </c>
      <c r="F234" t="s">
        <v>305</v>
      </c>
      <c r="G234" s="1" t="s">
        <v>3</v>
      </c>
      <c r="H234" s="1">
        <v>553412</v>
      </c>
      <c r="I234" t="s">
        <v>629</v>
      </c>
      <c r="J234" s="110">
        <v>1012</v>
      </c>
      <c r="K234" s="4" t="s">
        <v>595</v>
      </c>
      <c r="L234" s="4">
        <v>21.28</v>
      </c>
      <c r="M234" s="4">
        <v>12.5</v>
      </c>
      <c r="N234">
        <v>1.4</v>
      </c>
    </row>
    <row r="235" spans="2:14" x14ac:dyDescent="0.2">
      <c r="B235" s="696">
        <v>42603.090868055559</v>
      </c>
      <c r="C235" s="1" t="s">
        <v>627</v>
      </c>
      <c r="E235" t="s">
        <v>225</v>
      </c>
      <c r="F235" t="s">
        <v>305</v>
      </c>
      <c r="G235" s="1" t="s">
        <v>3</v>
      </c>
      <c r="H235" s="1">
        <v>553730</v>
      </c>
      <c r="I235" t="s">
        <v>629</v>
      </c>
      <c r="J235" s="110">
        <v>1013</v>
      </c>
      <c r="K235" s="4" t="s">
        <v>429</v>
      </c>
      <c r="L235" s="4">
        <v>20.72</v>
      </c>
      <c r="M235" s="4">
        <v>12.2</v>
      </c>
      <c r="N235">
        <v>0.78</v>
      </c>
    </row>
    <row r="236" spans="2:14" x14ac:dyDescent="0.2">
      <c r="B236" s="696">
        <v>42603.095185185186</v>
      </c>
      <c r="C236" s="1" t="s">
        <v>627</v>
      </c>
      <c r="E236" t="s">
        <v>225</v>
      </c>
      <c r="F236" t="s">
        <v>305</v>
      </c>
      <c r="G236" s="1" t="s">
        <v>3</v>
      </c>
      <c r="H236" s="1">
        <v>553730</v>
      </c>
      <c r="I236" t="s">
        <v>629</v>
      </c>
      <c r="J236" s="110">
        <v>1020</v>
      </c>
      <c r="K236" s="4" t="s">
        <v>431</v>
      </c>
      <c r="L236" s="4">
        <v>20.6</v>
      </c>
      <c r="M236" s="4">
        <v>12.3</v>
      </c>
      <c r="N236">
        <v>0.78</v>
      </c>
    </row>
    <row r="237" spans="2:14" x14ac:dyDescent="0.2">
      <c r="B237" s="696">
        <v>42603.099988425929</v>
      </c>
      <c r="C237" s="1" t="s">
        <v>627</v>
      </c>
      <c r="E237" t="s">
        <v>225</v>
      </c>
      <c r="F237" t="s">
        <v>305</v>
      </c>
      <c r="G237" s="1" t="s">
        <v>3</v>
      </c>
      <c r="H237" s="1">
        <v>553730</v>
      </c>
      <c r="I237" t="s">
        <v>629</v>
      </c>
      <c r="J237" s="110">
        <v>1014</v>
      </c>
      <c r="K237" s="4" t="s">
        <v>589</v>
      </c>
      <c r="L237" s="4">
        <v>21.94</v>
      </c>
      <c r="M237" s="4">
        <v>12.5</v>
      </c>
      <c r="N237">
        <v>0.8</v>
      </c>
    </row>
    <row r="238" spans="2:14" x14ac:dyDescent="0.2">
      <c r="B238" s="696">
        <v>42603.104594907411</v>
      </c>
      <c r="C238" s="1" t="s">
        <v>627</v>
      </c>
      <c r="E238" t="s">
        <v>225</v>
      </c>
      <c r="F238" t="s">
        <v>305</v>
      </c>
      <c r="G238" s="1" t="s">
        <v>3</v>
      </c>
      <c r="H238" s="1">
        <v>553730</v>
      </c>
      <c r="I238" t="s">
        <v>629</v>
      </c>
      <c r="J238" s="110">
        <v>1022</v>
      </c>
      <c r="K238" s="4" t="s">
        <v>432</v>
      </c>
      <c r="L238" s="4">
        <v>20.399999999999999</v>
      </c>
      <c r="M238" s="4">
        <v>11.9</v>
      </c>
      <c r="N238">
        <v>0.84</v>
      </c>
    </row>
    <row r="239" spans="2:14" x14ac:dyDescent="0.2">
      <c r="B239" s="696">
        <v>42603.114664351851</v>
      </c>
      <c r="C239" s="1" t="s">
        <v>627</v>
      </c>
      <c r="E239" t="s">
        <v>225</v>
      </c>
      <c r="F239" t="s">
        <v>305</v>
      </c>
      <c r="G239" s="1" t="s">
        <v>3</v>
      </c>
      <c r="H239" s="1">
        <v>553730</v>
      </c>
      <c r="I239" t="s">
        <v>629</v>
      </c>
      <c r="J239" s="110">
        <v>1016</v>
      </c>
      <c r="K239" s="4" t="s">
        <v>596</v>
      </c>
      <c r="L239" s="4">
        <v>21.38</v>
      </c>
      <c r="M239" s="4">
        <v>12.1</v>
      </c>
      <c r="N239">
        <v>0.8</v>
      </c>
    </row>
    <row r="240" spans="2:14" x14ac:dyDescent="0.2">
      <c r="B240" s="696">
        <v>42603.135567129626</v>
      </c>
      <c r="C240" s="1" t="s">
        <v>627</v>
      </c>
      <c r="E240" t="s">
        <v>225</v>
      </c>
      <c r="F240" t="s">
        <v>305</v>
      </c>
      <c r="G240" s="1" t="s">
        <v>3</v>
      </c>
      <c r="H240" s="1">
        <v>553730</v>
      </c>
      <c r="I240" t="s">
        <v>629</v>
      </c>
      <c r="J240" s="110">
        <v>1009</v>
      </c>
      <c r="K240" s="4" t="s">
        <v>597</v>
      </c>
      <c r="L240" s="4">
        <v>20.6</v>
      </c>
      <c r="M240" s="4">
        <v>12.6</v>
      </c>
      <c r="N240">
        <v>0.76</v>
      </c>
    </row>
    <row r="241" spans="2:14" x14ac:dyDescent="0.2">
      <c r="B241" s="696">
        <v>42603.229212962964</v>
      </c>
      <c r="C241" s="1" t="s">
        <v>420</v>
      </c>
      <c r="E241" t="s">
        <v>225</v>
      </c>
      <c r="F241" t="s">
        <v>305</v>
      </c>
      <c r="G241" s="1" t="s">
        <v>3</v>
      </c>
      <c r="H241" s="1">
        <v>553036</v>
      </c>
      <c r="I241" t="s">
        <v>629</v>
      </c>
      <c r="J241" s="110">
        <v>50265743</v>
      </c>
      <c r="K241" s="4">
        <v>95369542</v>
      </c>
      <c r="L241" s="4">
        <v>67.3</v>
      </c>
      <c r="M241" s="4">
        <v>12.2</v>
      </c>
      <c r="N241">
        <v>1.02</v>
      </c>
    </row>
    <row r="242" spans="2:14" x14ac:dyDescent="0.2">
      <c r="B242" s="696">
        <v>42603.229675925926</v>
      </c>
      <c r="C242" s="1" t="s">
        <v>420</v>
      </c>
      <c r="E242" t="s">
        <v>225</v>
      </c>
      <c r="F242" t="s">
        <v>305</v>
      </c>
      <c r="G242" s="1" t="s">
        <v>3</v>
      </c>
      <c r="H242" s="1">
        <v>553036</v>
      </c>
      <c r="I242" t="s">
        <v>629</v>
      </c>
      <c r="J242" s="110">
        <v>50265743</v>
      </c>
      <c r="K242" s="4">
        <v>95830451</v>
      </c>
      <c r="L242" s="4">
        <v>68.45</v>
      </c>
      <c r="M242" s="4">
        <v>12.2</v>
      </c>
      <c r="N242">
        <v>1.9</v>
      </c>
    </row>
    <row r="243" spans="2:14" x14ac:dyDescent="0.2">
      <c r="B243" s="696">
        <v>42603.230243055557</v>
      </c>
      <c r="C243" s="1" t="s">
        <v>420</v>
      </c>
      <c r="E243" t="s">
        <v>225</v>
      </c>
      <c r="F243" t="s">
        <v>305</v>
      </c>
      <c r="G243" s="1" t="s">
        <v>3</v>
      </c>
      <c r="H243" s="1">
        <v>553036</v>
      </c>
      <c r="I243" t="s">
        <v>629</v>
      </c>
      <c r="J243" s="110">
        <v>50265743</v>
      </c>
      <c r="K243" s="4">
        <v>95389227</v>
      </c>
      <c r="L243" s="4">
        <v>68.150000000000006</v>
      </c>
      <c r="M243" s="4">
        <v>11.2</v>
      </c>
      <c r="N243">
        <v>1.2</v>
      </c>
    </row>
    <row r="244" spans="2:14" x14ac:dyDescent="0.2">
      <c r="B244" s="696">
        <v>42603.230937499997</v>
      </c>
      <c r="C244" s="1" t="s">
        <v>420</v>
      </c>
      <c r="E244" t="s">
        <v>225</v>
      </c>
      <c r="F244" t="s">
        <v>305</v>
      </c>
      <c r="G244" s="1" t="s">
        <v>3</v>
      </c>
      <c r="H244" s="1">
        <v>553036</v>
      </c>
      <c r="I244" t="s">
        <v>629</v>
      </c>
      <c r="J244" s="110">
        <v>50265743</v>
      </c>
      <c r="K244" s="4">
        <v>95682183</v>
      </c>
      <c r="L244" s="4">
        <v>67.95</v>
      </c>
      <c r="M244" s="4">
        <v>11.2</v>
      </c>
      <c r="N244">
        <v>1.1000000000000001</v>
      </c>
    </row>
    <row r="245" spans="2:14" x14ac:dyDescent="0.2">
      <c r="B245" s="696">
        <v>42603.238553240742</v>
      </c>
      <c r="C245" s="1" t="s">
        <v>420</v>
      </c>
      <c r="E245" t="s">
        <v>225</v>
      </c>
      <c r="F245" t="s">
        <v>305</v>
      </c>
      <c r="G245" s="1" t="s">
        <v>3</v>
      </c>
      <c r="H245" s="1">
        <v>553036</v>
      </c>
      <c r="I245" t="s">
        <v>629</v>
      </c>
      <c r="J245" s="110">
        <v>50265743</v>
      </c>
      <c r="K245" s="4">
        <v>95802047</v>
      </c>
      <c r="L245" s="4">
        <v>68.099999999999994</v>
      </c>
      <c r="M245" s="4">
        <v>12.2</v>
      </c>
      <c r="N245">
        <v>1.86</v>
      </c>
    </row>
    <row r="246" spans="2:14" x14ac:dyDescent="0.2">
      <c r="B246" s="696">
        <v>42603.385000000002</v>
      </c>
      <c r="C246" s="1" t="s">
        <v>619</v>
      </c>
      <c r="E246" t="s">
        <v>225</v>
      </c>
      <c r="F246" t="s">
        <v>305</v>
      </c>
      <c r="G246" s="1" t="s">
        <v>3</v>
      </c>
      <c r="H246" s="1">
        <v>551127</v>
      </c>
      <c r="I246" t="s">
        <v>629</v>
      </c>
      <c r="J246" s="110">
        <v>50175843</v>
      </c>
      <c r="K246" s="4">
        <v>95692257</v>
      </c>
      <c r="L246" s="4">
        <v>69.25</v>
      </c>
      <c r="M246" s="4">
        <v>13.1</v>
      </c>
      <c r="N246">
        <v>1.2</v>
      </c>
    </row>
    <row r="247" spans="2:14" x14ac:dyDescent="0.2">
      <c r="B247" s="696">
        <v>42603.385648148149</v>
      </c>
      <c r="C247" s="1" t="s">
        <v>619</v>
      </c>
      <c r="E247" t="s">
        <v>225</v>
      </c>
      <c r="F247" t="s">
        <v>305</v>
      </c>
      <c r="G247" s="1" t="s">
        <v>3</v>
      </c>
      <c r="H247" s="1">
        <v>551127</v>
      </c>
      <c r="I247" t="s">
        <v>629</v>
      </c>
      <c r="J247" s="110">
        <v>50175843</v>
      </c>
      <c r="K247" s="4">
        <v>95754073</v>
      </c>
      <c r="L247" s="4">
        <v>70.05</v>
      </c>
      <c r="M247" s="4">
        <v>12</v>
      </c>
      <c r="N247">
        <v>1.18</v>
      </c>
    </row>
    <row r="248" spans="2:14" x14ac:dyDescent="0.2">
      <c r="B248" s="696">
        <v>42603.386157407411</v>
      </c>
      <c r="C248" s="1" t="s">
        <v>619</v>
      </c>
      <c r="E248" t="s">
        <v>225</v>
      </c>
      <c r="F248" t="s">
        <v>305</v>
      </c>
      <c r="G248" s="1" t="s">
        <v>3</v>
      </c>
      <c r="H248" s="1">
        <v>551127</v>
      </c>
      <c r="I248" t="s">
        <v>629</v>
      </c>
      <c r="J248" s="110">
        <v>50175843</v>
      </c>
      <c r="K248" s="4">
        <v>95653721</v>
      </c>
      <c r="L248" s="4">
        <v>69.55</v>
      </c>
      <c r="M248" s="4">
        <v>12.7</v>
      </c>
      <c r="N248">
        <v>0.96</v>
      </c>
    </row>
    <row r="249" spans="2:14" x14ac:dyDescent="0.2">
      <c r="B249" s="696">
        <v>42603.437152777777</v>
      </c>
      <c r="C249" s="1" t="s">
        <v>495</v>
      </c>
      <c r="E249" t="s">
        <v>225</v>
      </c>
      <c r="F249" t="s">
        <v>305</v>
      </c>
      <c r="G249" s="1" t="s">
        <v>3</v>
      </c>
      <c r="H249" s="1">
        <v>552782</v>
      </c>
      <c r="I249" t="s">
        <v>629</v>
      </c>
      <c r="J249" s="110">
        <v>600489</v>
      </c>
      <c r="K249" s="4" t="s">
        <v>598</v>
      </c>
      <c r="L249" s="4">
        <v>24.12</v>
      </c>
      <c r="M249" s="4">
        <v>12.4</v>
      </c>
      <c r="N249">
        <v>1.2</v>
      </c>
    </row>
    <row r="250" spans="2:14" x14ac:dyDescent="0.2">
      <c r="B250" s="696">
        <v>42603.456782407404</v>
      </c>
      <c r="C250" s="1" t="s">
        <v>627</v>
      </c>
      <c r="E250" t="s">
        <v>225</v>
      </c>
      <c r="F250" t="s">
        <v>305</v>
      </c>
      <c r="G250" s="1" t="s">
        <v>3</v>
      </c>
      <c r="H250" s="1">
        <v>553730</v>
      </c>
      <c r="I250" t="s">
        <v>629</v>
      </c>
      <c r="J250" s="110">
        <v>1024</v>
      </c>
      <c r="K250" s="4" t="s">
        <v>591</v>
      </c>
      <c r="L250" s="4">
        <v>25.16</v>
      </c>
      <c r="M250" s="4">
        <v>12.3</v>
      </c>
      <c r="N250">
        <v>0.9</v>
      </c>
    </row>
    <row r="251" spans="2:14" x14ac:dyDescent="0.2">
      <c r="B251" s="696">
        <v>42603.461261574077</v>
      </c>
      <c r="C251" s="1" t="s">
        <v>627</v>
      </c>
      <c r="E251" t="s">
        <v>225</v>
      </c>
      <c r="F251" t="s">
        <v>305</v>
      </c>
      <c r="G251" s="1" t="s">
        <v>3</v>
      </c>
      <c r="H251" s="1">
        <v>553730</v>
      </c>
      <c r="I251" t="s">
        <v>629</v>
      </c>
      <c r="J251" s="110">
        <v>1011</v>
      </c>
      <c r="K251" s="4" t="s">
        <v>476</v>
      </c>
      <c r="L251" s="4">
        <v>22.08</v>
      </c>
      <c r="M251" s="4">
        <v>12.1</v>
      </c>
      <c r="N251">
        <v>0.82</v>
      </c>
    </row>
    <row r="252" spans="2:14" x14ac:dyDescent="0.2">
      <c r="B252" s="696">
        <v>42603.475266203706</v>
      </c>
      <c r="C252" s="1" t="s">
        <v>627</v>
      </c>
      <c r="E252" t="s">
        <v>225</v>
      </c>
      <c r="F252" t="s">
        <v>305</v>
      </c>
      <c r="G252" s="1" t="s">
        <v>3</v>
      </c>
      <c r="H252" s="1">
        <v>553730</v>
      </c>
      <c r="I252" t="s">
        <v>629</v>
      </c>
      <c r="J252" s="110">
        <v>1023</v>
      </c>
      <c r="K252" s="4" t="s">
        <v>590</v>
      </c>
      <c r="L252" s="4">
        <v>22.2</v>
      </c>
      <c r="M252" s="4">
        <v>11.9</v>
      </c>
      <c r="N252">
        <v>1.1000000000000001</v>
      </c>
    </row>
    <row r="253" spans="2:14" x14ac:dyDescent="0.2">
      <c r="B253" s="696">
        <v>42603.482025462959</v>
      </c>
      <c r="C253" s="1" t="s">
        <v>627</v>
      </c>
      <c r="E253" t="s">
        <v>225</v>
      </c>
      <c r="F253" t="s">
        <v>305</v>
      </c>
      <c r="G253" s="1" t="s">
        <v>3</v>
      </c>
      <c r="H253" s="1">
        <v>553730</v>
      </c>
      <c r="I253" t="s">
        <v>629</v>
      </c>
      <c r="J253" s="110">
        <v>1018</v>
      </c>
      <c r="K253" s="4" t="s">
        <v>599</v>
      </c>
      <c r="L253" s="4">
        <v>21.12</v>
      </c>
      <c r="M253" s="4">
        <v>11.8</v>
      </c>
      <c r="N253">
        <v>1.1000000000000001</v>
      </c>
    </row>
    <row r="254" spans="2:14" x14ac:dyDescent="0.2">
      <c r="B254" s="696">
        <v>42603.484756944446</v>
      </c>
      <c r="C254" s="1" t="s">
        <v>582</v>
      </c>
      <c r="E254" t="s">
        <v>225</v>
      </c>
      <c r="F254" t="s">
        <v>305</v>
      </c>
      <c r="G254" s="1" t="s">
        <v>3</v>
      </c>
      <c r="H254" s="1">
        <v>547342</v>
      </c>
      <c r="I254" t="s">
        <v>629</v>
      </c>
      <c r="J254" s="110">
        <v>43931625</v>
      </c>
      <c r="K254" s="4">
        <v>95640611</v>
      </c>
      <c r="L254" s="4">
        <v>68.8</v>
      </c>
      <c r="M254" s="4">
        <v>12</v>
      </c>
      <c r="N254">
        <v>1.1000000000000001</v>
      </c>
    </row>
    <row r="255" spans="2:14" x14ac:dyDescent="0.2">
      <c r="B255" s="696">
        <v>42603.485775462963</v>
      </c>
      <c r="C255" s="1" t="s">
        <v>582</v>
      </c>
      <c r="E255" t="s">
        <v>225</v>
      </c>
      <c r="F255" t="s">
        <v>305</v>
      </c>
      <c r="G255" s="1" t="s">
        <v>3</v>
      </c>
      <c r="H255" s="1">
        <v>547342</v>
      </c>
      <c r="I255" t="s">
        <v>629</v>
      </c>
      <c r="J255" s="110">
        <v>43931625</v>
      </c>
      <c r="K255" s="4">
        <v>95681425</v>
      </c>
      <c r="L255" s="4">
        <v>68.95</v>
      </c>
      <c r="M255" s="4">
        <v>12.5</v>
      </c>
      <c r="N255">
        <v>1.1599999999999999</v>
      </c>
    </row>
    <row r="256" spans="2:14" x14ac:dyDescent="0.2">
      <c r="B256" s="696">
        <v>42603.486226851855</v>
      </c>
      <c r="C256" s="1" t="s">
        <v>582</v>
      </c>
      <c r="E256" t="s">
        <v>225</v>
      </c>
      <c r="F256" t="s">
        <v>305</v>
      </c>
      <c r="G256" s="1" t="s">
        <v>3</v>
      </c>
      <c r="H256" s="1">
        <v>547342</v>
      </c>
      <c r="I256" t="s">
        <v>629</v>
      </c>
      <c r="J256" s="110">
        <v>43931625</v>
      </c>
      <c r="K256" s="4">
        <v>95623682</v>
      </c>
      <c r="L256" s="4">
        <v>69.599999999999994</v>
      </c>
      <c r="M256" s="4">
        <v>11.4</v>
      </c>
      <c r="N256">
        <v>1.1399999999999999</v>
      </c>
    </row>
    <row r="257" spans="2:14" x14ac:dyDescent="0.2">
      <c r="B257" s="696">
        <v>42603.486631944441</v>
      </c>
      <c r="C257" s="1" t="s">
        <v>582</v>
      </c>
      <c r="E257" t="s">
        <v>225</v>
      </c>
      <c r="F257" t="s">
        <v>305</v>
      </c>
      <c r="G257" s="1" t="s">
        <v>3</v>
      </c>
      <c r="H257" s="1">
        <v>547342</v>
      </c>
      <c r="I257" t="s">
        <v>629</v>
      </c>
      <c r="J257" s="110">
        <v>43931625</v>
      </c>
      <c r="K257" s="4">
        <v>95532669</v>
      </c>
      <c r="L257" s="4">
        <v>69.400000000000006</v>
      </c>
      <c r="M257" s="4">
        <v>11.4</v>
      </c>
      <c r="N257">
        <v>1.04</v>
      </c>
    </row>
    <row r="258" spans="2:14" x14ac:dyDescent="0.2">
      <c r="B258" s="696">
        <v>42603.519791666666</v>
      </c>
      <c r="C258" s="1" t="s">
        <v>627</v>
      </c>
      <c r="E258" t="s">
        <v>225</v>
      </c>
      <c r="F258" t="s">
        <v>305</v>
      </c>
      <c r="G258" s="1" t="s">
        <v>3</v>
      </c>
      <c r="H258" s="1">
        <v>553730</v>
      </c>
      <c r="I258" t="s">
        <v>629</v>
      </c>
      <c r="J258" s="110">
        <v>19799</v>
      </c>
      <c r="K258" s="4" t="s">
        <v>519</v>
      </c>
      <c r="L258" s="4">
        <v>21.76</v>
      </c>
      <c r="M258" s="4">
        <v>12.8</v>
      </c>
      <c r="N258">
        <v>1.18</v>
      </c>
    </row>
    <row r="259" spans="2:14" x14ac:dyDescent="0.2">
      <c r="B259" s="696">
        <v>42603.730312500003</v>
      </c>
      <c r="C259" s="1" t="s">
        <v>420</v>
      </c>
      <c r="E259" t="s">
        <v>225</v>
      </c>
      <c r="F259" t="s">
        <v>305</v>
      </c>
      <c r="G259" s="1" t="s">
        <v>3</v>
      </c>
      <c r="H259" s="1">
        <v>553036</v>
      </c>
      <c r="I259" t="s">
        <v>629</v>
      </c>
      <c r="J259" s="110">
        <v>50291442</v>
      </c>
      <c r="K259" s="4">
        <v>95949616</v>
      </c>
      <c r="L259" s="4">
        <v>68.3</v>
      </c>
      <c r="M259" s="4">
        <v>12.4</v>
      </c>
      <c r="N259">
        <v>1.08</v>
      </c>
    </row>
    <row r="260" spans="2:14" x14ac:dyDescent="0.2">
      <c r="B260" s="696">
        <v>42603.730821759258</v>
      </c>
      <c r="C260" s="1" t="s">
        <v>621</v>
      </c>
      <c r="E260" t="s">
        <v>225</v>
      </c>
      <c r="F260" t="s">
        <v>305</v>
      </c>
      <c r="G260" s="1" t="s">
        <v>3</v>
      </c>
      <c r="H260" s="1">
        <v>552518</v>
      </c>
      <c r="I260" t="s">
        <v>629</v>
      </c>
      <c r="J260" s="110">
        <v>47143581</v>
      </c>
      <c r="K260" s="4">
        <v>95540100</v>
      </c>
      <c r="L260" s="4">
        <v>69.8</v>
      </c>
      <c r="M260" s="4">
        <v>10.9</v>
      </c>
      <c r="N260">
        <v>1.58</v>
      </c>
    </row>
    <row r="261" spans="2:14" x14ac:dyDescent="0.2">
      <c r="B261" s="696">
        <v>42603.731076388889</v>
      </c>
      <c r="C261" s="1" t="s">
        <v>420</v>
      </c>
      <c r="E261" t="s">
        <v>225</v>
      </c>
      <c r="F261" t="s">
        <v>305</v>
      </c>
      <c r="G261" s="1" t="s">
        <v>3</v>
      </c>
      <c r="H261" s="1">
        <v>553036</v>
      </c>
      <c r="I261" t="s">
        <v>629</v>
      </c>
      <c r="J261" s="110">
        <v>50291442</v>
      </c>
      <c r="K261" s="4">
        <v>95794541</v>
      </c>
      <c r="L261" s="4">
        <v>65.849999999999994</v>
      </c>
      <c r="M261" s="4">
        <v>13.2</v>
      </c>
      <c r="N261">
        <v>0.98</v>
      </c>
    </row>
    <row r="262" spans="2:14" x14ac:dyDescent="0.2">
      <c r="B262" s="696">
        <v>42603.731354166666</v>
      </c>
      <c r="C262" s="1" t="s">
        <v>420</v>
      </c>
      <c r="E262" t="s">
        <v>225</v>
      </c>
      <c r="F262" t="s">
        <v>305</v>
      </c>
      <c r="G262" s="1" t="s">
        <v>3</v>
      </c>
      <c r="H262" s="1">
        <v>553036</v>
      </c>
      <c r="I262" t="s">
        <v>629</v>
      </c>
      <c r="J262" s="110">
        <v>50291442</v>
      </c>
      <c r="K262" s="4">
        <v>95346474</v>
      </c>
      <c r="L262" s="4">
        <v>69.150000000000006</v>
      </c>
      <c r="M262" s="4">
        <v>12.3</v>
      </c>
      <c r="N262">
        <v>1</v>
      </c>
    </row>
    <row r="263" spans="2:14" x14ac:dyDescent="0.2">
      <c r="B263" s="696">
        <v>42603.731608796297</v>
      </c>
      <c r="C263" s="1" t="s">
        <v>621</v>
      </c>
      <c r="E263" t="s">
        <v>225</v>
      </c>
      <c r="F263" t="s">
        <v>305</v>
      </c>
      <c r="G263" s="1" t="s">
        <v>3</v>
      </c>
      <c r="H263" s="1">
        <v>552518</v>
      </c>
      <c r="I263" t="s">
        <v>629</v>
      </c>
      <c r="J263" s="110">
        <v>47143581</v>
      </c>
      <c r="K263" s="4">
        <v>95811089</v>
      </c>
      <c r="L263" s="4">
        <v>69.8</v>
      </c>
      <c r="M263" s="4">
        <v>11.3</v>
      </c>
      <c r="N263">
        <v>1.58</v>
      </c>
    </row>
    <row r="264" spans="2:14" x14ac:dyDescent="0.2">
      <c r="B264" s="696">
        <v>42603.731956018521</v>
      </c>
      <c r="C264" s="1" t="s">
        <v>420</v>
      </c>
      <c r="E264" t="s">
        <v>225</v>
      </c>
      <c r="F264" t="s">
        <v>305</v>
      </c>
      <c r="G264" s="1" t="s">
        <v>3</v>
      </c>
      <c r="H264" s="1">
        <v>553036</v>
      </c>
      <c r="I264" t="s">
        <v>629</v>
      </c>
      <c r="J264" s="110">
        <v>50291442</v>
      </c>
      <c r="K264" s="4">
        <v>95540563</v>
      </c>
      <c r="L264" s="4">
        <v>66.849999999999994</v>
      </c>
      <c r="M264" s="4">
        <v>13.1</v>
      </c>
      <c r="N264">
        <v>0.98</v>
      </c>
    </row>
    <row r="265" spans="2:14" x14ac:dyDescent="0.2">
      <c r="B265" s="696">
        <v>42603.732210648152</v>
      </c>
      <c r="C265" s="1" t="s">
        <v>621</v>
      </c>
      <c r="E265" t="s">
        <v>225</v>
      </c>
      <c r="F265" t="s">
        <v>305</v>
      </c>
      <c r="G265" s="1" t="s">
        <v>3</v>
      </c>
      <c r="H265" s="1">
        <v>552518</v>
      </c>
      <c r="I265" t="s">
        <v>629</v>
      </c>
      <c r="J265" s="110">
        <v>47143581</v>
      </c>
      <c r="K265" s="4">
        <v>95293908</v>
      </c>
      <c r="L265" s="4">
        <v>64.75</v>
      </c>
      <c r="M265" s="4">
        <v>11.4</v>
      </c>
      <c r="N265">
        <v>1.52</v>
      </c>
    </row>
    <row r="266" spans="2:14" x14ac:dyDescent="0.2">
      <c r="B266" s="696">
        <v>42603.877743055556</v>
      </c>
      <c r="C266" s="1" t="s">
        <v>621</v>
      </c>
      <c r="E266" t="s">
        <v>225</v>
      </c>
      <c r="F266" t="s">
        <v>305</v>
      </c>
      <c r="G266" s="1" t="s">
        <v>3</v>
      </c>
      <c r="H266" s="1">
        <v>552518</v>
      </c>
      <c r="I266" t="s">
        <v>629</v>
      </c>
      <c r="J266" s="110">
        <v>47091913</v>
      </c>
      <c r="K266" s="4">
        <v>95380358</v>
      </c>
      <c r="L266" s="4">
        <v>69.5</v>
      </c>
      <c r="M266" s="4">
        <v>11.5</v>
      </c>
      <c r="N266">
        <v>1.64</v>
      </c>
    </row>
    <row r="267" spans="2:14" x14ac:dyDescent="0.2">
      <c r="B267" s="696">
        <v>42603.879872685182</v>
      </c>
      <c r="C267" s="1" t="s">
        <v>621</v>
      </c>
      <c r="E267" t="s">
        <v>225</v>
      </c>
      <c r="F267" t="s">
        <v>305</v>
      </c>
      <c r="G267" s="1" t="s">
        <v>3</v>
      </c>
      <c r="H267" s="1">
        <v>552518</v>
      </c>
      <c r="I267" t="s">
        <v>629</v>
      </c>
      <c r="J267" s="110">
        <v>47091913</v>
      </c>
      <c r="K267" s="4">
        <v>95523452</v>
      </c>
      <c r="L267" s="4">
        <v>69.349999999999994</v>
      </c>
      <c r="M267" s="4">
        <v>11.6</v>
      </c>
      <c r="N267">
        <v>1.66</v>
      </c>
    </row>
    <row r="268" spans="2:14" x14ac:dyDescent="0.2">
      <c r="B268" s="696">
        <v>42603.88553240741</v>
      </c>
      <c r="C268" s="1" t="s">
        <v>621</v>
      </c>
      <c r="E268" t="s">
        <v>225</v>
      </c>
      <c r="F268" t="s">
        <v>305</v>
      </c>
      <c r="G268" s="1" t="s">
        <v>3</v>
      </c>
      <c r="H268" s="1">
        <v>552518</v>
      </c>
      <c r="I268" t="s">
        <v>629</v>
      </c>
      <c r="J268" s="110">
        <v>47091913</v>
      </c>
      <c r="K268" s="4">
        <v>95389342</v>
      </c>
      <c r="L268" s="4">
        <v>67.599999999999994</v>
      </c>
      <c r="M268" s="4">
        <v>11.4</v>
      </c>
      <c r="N268">
        <v>1.82</v>
      </c>
    </row>
    <row r="269" spans="2:14" x14ac:dyDescent="0.2">
      <c r="B269" s="696">
        <v>42603.88616898148</v>
      </c>
      <c r="C269" s="1" t="s">
        <v>621</v>
      </c>
      <c r="E269" t="s">
        <v>225</v>
      </c>
      <c r="F269" t="s">
        <v>305</v>
      </c>
      <c r="G269" s="1" t="s">
        <v>3</v>
      </c>
      <c r="H269" s="1">
        <v>552518</v>
      </c>
      <c r="I269" t="s">
        <v>629</v>
      </c>
      <c r="J269" s="110">
        <v>47091913</v>
      </c>
      <c r="K269" s="4">
        <v>95346540</v>
      </c>
      <c r="L269" s="4">
        <v>68.650000000000006</v>
      </c>
      <c r="M269" s="4">
        <v>10.8</v>
      </c>
      <c r="N269">
        <v>1.6</v>
      </c>
    </row>
    <row r="270" spans="2:14" x14ac:dyDescent="0.2">
      <c r="B270" s="696">
        <v>42604.186226851853</v>
      </c>
      <c r="C270" s="1" t="s">
        <v>408</v>
      </c>
      <c r="E270" t="s">
        <v>225</v>
      </c>
      <c r="F270" t="s">
        <v>305</v>
      </c>
      <c r="G270" s="1" t="s">
        <v>3</v>
      </c>
      <c r="H270" s="1">
        <v>553698</v>
      </c>
      <c r="I270" t="s">
        <v>629</v>
      </c>
      <c r="J270" s="110">
        <v>354907</v>
      </c>
      <c r="K270" s="4" t="s">
        <v>600</v>
      </c>
      <c r="L270" s="4">
        <v>22.12</v>
      </c>
      <c r="M270" s="4">
        <v>9.6999999999999993</v>
      </c>
      <c r="N270">
        <v>1.34</v>
      </c>
    </row>
    <row r="271" spans="2:14" x14ac:dyDescent="0.2">
      <c r="B271" s="696">
        <v>42604.190405092595</v>
      </c>
      <c r="C271" s="1" t="s">
        <v>408</v>
      </c>
      <c r="E271" t="s">
        <v>225</v>
      </c>
      <c r="F271" t="s">
        <v>305</v>
      </c>
      <c r="G271" s="1" t="s">
        <v>3</v>
      </c>
      <c r="H271" s="1">
        <v>553698</v>
      </c>
      <c r="I271" t="s">
        <v>629</v>
      </c>
      <c r="J271" s="110">
        <v>354912</v>
      </c>
      <c r="K271" s="4" t="s">
        <v>601</v>
      </c>
      <c r="L271" s="4">
        <v>22.58</v>
      </c>
      <c r="M271" s="4">
        <v>9.8000000000000007</v>
      </c>
      <c r="N271">
        <v>1.2</v>
      </c>
    </row>
    <row r="272" spans="2:14" x14ac:dyDescent="0.2">
      <c r="B272" s="696">
        <v>42602.174467592595</v>
      </c>
      <c r="C272" s="1" t="s">
        <v>622</v>
      </c>
      <c r="E272" t="s">
        <v>225</v>
      </c>
      <c r="F272" t="s">
        <v>305</v>
      </c>
      <c r="G272" s="1" t="s">
        <v>3</v>
      </c>
      <c r="H272" s="1">
        <v>552973</v>
      </c>
      <c r="I272" t="s">
        <v>470</v>
      </c>
      <c r="J272" s="110">
        <v>42986745</v>
      </c>
      <c r="K272" s="4">
        <v>95538484</v>
      </c>
      <c r="L272" s="4">
        <v>56.7</v>
      </c>
      <c r="M272" s="4">
        <v>7.3</v>
      </c>
      <c r="N272">
        <v>1.86</v>
      </c>
    </row>
    <row r="273" spans="2:14" x14ac:dyDescent="0.2">
      <c r="B273" s="696">
        <v>42602.175324074073</v>
      </c>
      <c r="C273" s="1" t="s">
        <v>622</v>
      </c>
      <c r="E273" t="s">
        <v>225</v>
      </c>
      <c r="F273" t="s">
        <v>305</v>
      </c>
      <c r="G273" s="1" t="s">
        <v>3</v>
      </c>
      <c r="H273" s="1">
        <v>552973</v>
      </c>
      <c r="I273" t="s">
        <v>470</v>
      </c>
      <c r="J273" s="110">
        <v>42986745</v>
      </c>
      <c r="K273" s="4">
        <v>95615126</v>
      </c>
      <c r="L273" s="4">
        <v>56.6</v>
      </c>
      <c r="M273" s="4">
        <v>7.2</v>
      </c>
      <c r="N273">
        <v>2</v>
      </c>
    </row>
    <row r="274" spans="2:14" x14ac:dyDescent="0.2">
      <c r="B274" s="696">
        <v>42602.176076388889</v>
      </c>
      <c r="C274" s="1" t="s">
        <v>622</v>
      </c>
      <c r="E274" t="s">
        <v>225</v>
      </c>
      <c r="F274" t="s">
        <v>305</v>
      </c>
      <c r="G274" s="1" t="s">
        <v>3</v>
      </c>
      <c r="H274" s="1">
        <v>552973</v>
      </c>
      <c r="I274" t="s">
        <v>470</v>
      </c>
      <c r="J274" s="110">
        <v>42986745</v>
      </c>
      <c r="K274" s="4">
        <v>95759668</v>
      </c>
      <c r="L274" s="4">
        <v>58.25</v>
      </c>
      <c r="M274" s="4">
        <v>7</v>
      </c>
      <c r="N274">
        <v>1.9</v>
      </c>
    </row>
    <row r="275" spans="2:14" x14ac:dyDescent="0.2">
      <c r="B275" s="696">
        <v>42602.176805555559</v>
      </c>
      <c r="C275" s="1" t="s">
        <v>622</v>
      </c>
      <c r="E275" t="s">
        <v>225</v>
      </c>
      <c r="F275" t="s">
        <v>305</v>
      </c>
      <c r="G275" s="1" t="s">
        <v>3</v>
      </c>
      <c r="H275" s="1">
        <v>552973</v>
      </c>
      <c r="I275" t="s">
        <v>470</v>
      </c>
      <c r="J275" s="110">
        <v>42986745</v>
      </c>
      <c r="K275" s="4">
        <v>95524476</v>
      </c>
      <c r="L275" s="4">
        <v>59.6</v>
      </c>
      <c r="M275" s="4">
        <v>6.6</v>
      </c>
      <c r="N275">
        <v>1.94</v>
      </c>
    </row>
    <row r="276" spans="2:14" x14ac:dyDescent="0.2">
      <c r="B276" s="696">
        <v>42602.177523148152</v>
      </c>
      <c r="C276" s="1" t="s">
        <v>623</v>
      </c>
      <c r="E276" t="s">
        <v>225</v>
      </c>
      <c r="F276" t="s">
        <v>305</v>
      </c>
      <c r="G276" s="1" t="s">
        <v>3</v>
      </c>
      <c r="H276" s="1">
        <v>553278</v>
      </c>
      <c r="I276" t="s">
        <v>470</v>
      </c>
      <c r="J276" s="110">
        <v>46995221</v>
      </c>
      <c r="K276" s="4">
        <v>95100145</v>
      </c>
      <c r="L276" s="4">
        <v>66.3</v>
      </c>
      <c r="M276" s="4">
        <v>7.2</v>
      </c>
      <c r="N276">
        <v>1.91</v>
      </c>
    </row>
    <row r="277" spans="2:14" x14ac:dyDescent="0.2">
      <c r="B277" s="696">
        <v>42602.178078703706</v>
      </c>
      <c r="C277" s="1" t="s">
        <v>623</v>
      </c>
      <c r="E277" t="s">
        <v>225</v>
      </c>
      <c r="F277" t="s">
        <v>305</v>
      </c>
      <c r="G277" s="1" t="s">
        <v>3</v>
      </c>
      <c r="H277" s="1">
        <v>553278</v>
      </c>
      <c r="I277" t="s">
        <v>470</v>
      </c>
      <c r="J277" s="110">
        <v>46995221</v>
      </c>
      <c r="K277" s="4">
        <v>95125621</v>
      </c>
      <c r="L277" s="4">
        <v>66.25</v>
      </c>
      <c r="M277" s="4">
        <v>7.2</v>
      </c>
      <c r="N277">
        <v>1.89</v>
      </c>
    </row>
    <row r="278" spans="2:14" x14ac:dyDescent="0.2">
      <c r="B278" s="696">
        <v>42602.178784722222</v>
      </c>
      <c r="C278" s="1" t="s">
        <v>623</v>
      </c>
      <c r="E278" t="s">
        <v>225</v>
      </c>
      <c r="F278" t="s">
        <v>305</v>
      </c>
      <c r="G278" s="1" t="s">
        <v>3</v>
      </c>
      <c r="H278" s="1">
        <v>553278</v>
      </c>
      <c r="I278" t="s">
        <v>470</v>
      </c>
      <c r="J278" s="110">
        <v>46995221</v>
      </c>
      <c r="K278" s="4">
        <v>95107785</v>
      </c>
      <c r="L278" s="4">
        <v>66.3</v>
      </c>
      <c r="M278" s="4">
        <v>6.8</v>
      </c>
      <c r="N278">
        <v>1.92</v>
      </c>
    </row>
    <row r="279" spans="2:14" x14ac:dyDescent="0.2">
      <c r="B279" s="696">
        <v>42602.179282407407</v>
      </c>
      <c r="C279" s="1" t="s">
        <v>623</v>
      </c>
      <c r="E279" t="s">
        <v>225</v>
      </c>
      <c r="F279" t="s">
        <v>305</v>
      </c>
      <c r="G279" s="1" t="s">
        <v>3</v>
      </c>
      <c r="H279" s="1">
        <v>553278</v>
      </c>
      <c r="I279" t="s">
        <v>470</v>
      </c>
      <c r="J279" s="110">
        <v>46995221</v>
      </c>
      <c r="K279" s="4">
        <v>95095766</v>
      </c>
      <c r="L279" s="4">
        <v>68.95</v>
      </c>
      <c r="M279" s="4">
        <v>7.2</v>
      </c>
      <c r="N279">
        <v>1.91</v>
      </c>
    </row>
    <row r="280" spans="2:14" x14ac:dyDescent="0.2">
      <c r="B280" s="696">
        <v>42602.179837962962</v>
      </c>
      <c r="C280" s="1" t="s">
        <v>623</v>
      </c>
      <c r="E280" t="s">
        <v>225</v>
      </c>
      <c r="F280" t="s">
        <v>305</v>
      </c>
      <c r="G280" s="1" t="s">
        <v>3</v>
      </c>
      <c r="H280" s="1">
        <v>553278</v>
      </c>
      <c r="I280" t="s">
        <v>470</v>
      </c>
      <c r="J280" s="110">
        <v>46995221</v>
      </c>
      <c r="K280" s="4">
        <v>95091831</v>
      </c>
      <c r="L280" s="4">
        <v>66.45</v>
      </c>
      <c r="M280" s="4">
        <v>7.2</v>
      </c>
      <c r="N280">
        <v>1.94</v>
      </c>
    </row>
    <row r="281" spans="2:14" x14ac:dyDescent="0.2">
      <c r="B281" s="696">
        <v>42602.180428240739</v>
      </c>
      <c r="C281" s="1" t="s">
        <v>623</v>
      </c>
      <c r="E281" t="s">
        <v>225</v>
      </c>
      <c r="F281" t="s">
        <v>305</v>
      </c>
      <c r="G281" s="1" t="s">
        <v>3</v>
      </c>
      <c r="H281" s="1">
        <v>553278</v>
      </c>
      <c r="I281" t="s">
        <v>470</v>
      </c>
      <c r="J281" s="110">
        <v>46995221</v>
      </c>
      <c r="K281" s="4">
        <v>95108213</v>
      </c>
      <c r="L281" s="4">
        <v>65.25</v>
      </c>
      <c r="M281" s="4">
        <v>7</v>
      </c>
      <c r="N281">
        <v>1.88</v>
      </c>
    </row>
    <row r="282" spans="2:14" x14ac:dyDescent="0.2">
      <c r="B282" s="696">
        <v>42602.209305555552</v>
      </c>
      <c r="C282" s="1" t="s">
        <v>495</v>
      </c>
      <c r="E282" t="s">
        <v>225</v>
      </c>
      <c r="F282" t="s">
        <v>305</v>
      </c>
      <c r="G282" s="1" t="s">
        <v>3</v>
      </c>
      <c r="H282" s="1">
        <v>553567</v>
      </c>
      <c r="I282" t="s">
        <v>470</v>
      </c>
      <c r="J282" s="110">
        <v>777062</v>
      </c>
      <c r="K282" s="4" t="s">
        <v>616</v>
      </c>
      <c r="L282" s="4">
        <v>15.88</v>
      </c>
      <c r="M282" s="4">
        <v>7.1</v>
      </c>
      <c r="N282">
        <v>1.8</v>
      </c>
    </row>
    <row r="283" spans="2:14" x14ac:dyDescent="0.2">
      <c r="B283" s="696">
        <v>42602.227187500001</v>
      </c>
      <c r="C283" s="1" t="s">
        <v>495</v>
      </c>
      <c r="E283" t="s">
        <v>225</v>
      </c>
      <c r="F283" t="s">
        <v>305</v>
      </c>
      <c r="G283" s="1" t="s">
        <v>3</v>
      </c>
      <c r="H283" s="1">
        <v>553567</v>
      </c>
      <c r="I283" t="s">
        <v>470</v>
      </c>
      <c r="J283" s="110">
        <v>777063</v>
      </c>
      <c r="K283" s="4" t="s">
        <v>617</v>
      </c>
      <c r="L283" s="4">
        <v>25.6</v>
      </c>
      <c r="M283" s="4">
        <v>6</v>
      </c>
      <c r="N283">
        <v>1.8</v>
      </c>
    </row>
    <row r="284" spans="2:14" x14ac:dyDescent="0.2">
      <c r="B284" s="696">
        <v>42602.466307870367</v>
      </c>
      <c r="C284" s="1" t="s">
        <v>461</v>
      </c>
      <c r="E284" t="s">
        <v>225</v>
      </c>
      <c r="F284" t="s">
        <v>305</v>
      </c>
      <c r="G284" s="1" t="s">
        <v>3</v>
      </c>
      <c r="H284" s="1">
        <v>553068</v>
      </c>
      <c r="I284" t="s">
        <v>470</v>
      </c>
      <c r="J284" s="110">
        <v>34766998</v>
      </c>
      <c r="K284" s="4">
        <v>95539052</v>
      </c>
      <c r="L284" s="4">
        <v>61.75</v>
      </c>
      <c r="M284" s="4">
        <v>7.7</v>
      </c>
      <c r="N284">
        <v>2</v>
      </c>
    </row>
    <row r="285" spans="2:14" x14ac:dyDescent="0.2">
      <c r="B285" s="696">
        <v>42602.467060185183</v>
      </c>
      <c r="C285" s="1" t="s">
        <v>461</v>
      </c>
      <c r="E285" t="s">
        <v>225</v>
      </c>
      <c r="F285" t="s">
        <v>305</v>
      </c>
      <c r="G285" s="1" t="s">
        <v>3</v>
      </c>
      <c r="H285" s="1">
        <v>553068</v>
      </c>
      <c r="I285" t="s">
        <v>470</v>
      </c>
      <c r="J285" s="110">
        <v>34766998</v>
      </c>
      <c r="K285" s="4">
        <v>95399051</v>
      </c>
      <c r="L285" s="4">
        <v>61.35</v>
      </c>
      <c r="M285" s="4">
        <v>7.9</v>
      </c>
      <c r="N285">
        <v>2</v>
      </c>
    </row>
    <row r="286" spans="2:14" x14ac:dyDescent="0.2">
      <c r="B286" s="696">
        <v>42602.467476851853</v>
      </c>
      <c r="C286" s="1" t="s">
        <v>461</v>
      </c>
      <c r="E286" t="s">
        <v>225</v>
      </c>
      <c r="F286" t="s">
        <v>305</v>
      </c>
      <c r="G286" s="1" t="s">
        <v>3</v>
      </c>
      <c r="H286" s="1">
        <v>553068</v>
      </c>
      <c r="I286" t="s">
        <v>470</v>
      </c>
      <c r="J286" s="110">
        <v>34766998</v>
      </c>
      <c r="K286" s="4">
        <v>95797643</v>
      </c>
      <c r="L286" s="4">
        <v>61.35</v>
      </c>
      <c r="M286" s="4">
        <v>7.9</v>
      </c>
      <c r="N286">
        <v>1.9</v>
      </c>
    </row>
    <row r="287" spans="2:14" x14ac:dyDescent="0.2">
      <c r="B287" s="696">
        <v>42602.605358796296</v>
      </c>
      <c r="C287" s="1" t="s">
        <v>495</v>
      </c>
      <c r="E287" t="s">
        <v>225</v>
      </c>
      <c r="F287" t="s">
        <v>305</v>
      </c>
      <c r="G287" s="1" t="s">
        <v>3</v>
      </c>
      <c r="H287" s="1">
        <v>553567</v>
      </c>
      <c r="I287" t="s">
        <v>470</v>
      </c>
      <c r="J287" s="110">
        <v>777061</v>
      </c>
      <c r="K287" s="4" t="s">
        <v>618</v>
      </c>
      <c r="L287" s="4">
        <v>24.66</v>
      </c>
      <c r="M287" s="4">
        <v>8</v>
      </c>
      <c r="N287">
        <v>1.83</v>
      </c>
    </row>
    <row r="288" spans="2:14" x14ac:dyDescent="0.2">
      <c r="B288" s="696">
        <v>42603.386874999997</v>
      </c>
      <c r="C288" s="1" t="s">
        <v>623</v>
      </c>
      <c r="E288" t="s">
        <v>225</v>
      </c>
      <c r="F288" t="s">
        <v>305</v>
      </c>
      <c r="G288" s="1" t="s">
        <v>3</v>
      </c>
      <c r="H288" s="1">
        <v>553278</v>
      </c>
      <c r="I288" t="s">
        <v>470</v>
      </c>
      <c r="J288" s="110">
        <v>47040803</v>
      </c>
      <c r="K288" s="4">
        <v>95091708</v>
      </c>
      <c r="L288" s="4">
        <v>69.45</v>
      </c>
      <c r="M288" s="4">
        <v>6.5</v>
      </c>
      <c r="N288">
        <v>1.88</v>
      </c>
    </row>
    <row r="289" spans="2:14" x14ac:dyDescent="0.2">
      <c r="B289" s="696">
        <v>42603.387511574074</v>
      </c>
      <c r="C289" s="1" t="s">
        <v>623</v>
      </c>
      <c r="E289" t="s">
        <v>225</v>
      </c>
      <c r="F289" t="s">
        <v>305</v>
      </c>
      <c r="G289" s="1" t="s">
        <v>3</v>
      </c>
      <c r="H289" s="1">
        <v>553278</v>
      </c>
      <c r="I289" t="s">
        <v>470</v>
      </c>
      <c r="J289" s="110">
        <v>47040803</v>
      </c>
      <c r="K289" s="4">
        <v>95191821</v>
      </c>
      <c r="L289" s="4">
        <v>66.3</v>
      </c>
      <c r="M289" s="4">
        <v>6.3</v>
      </c>
      <c r="N289">
        <v>1.94</v>
      </c>
    </row>
    <row r="290" spans="2:14" x14ac:dyDescent="0.2">
      <c r="B290" s="696">
        <v>42603.38821759259</v>
      </c>
      <c r="C290" s="1" t="s">
        <v>623</v>
      </c>
      <c r="E290" t="s">
        <v>225</v>
      </c>
      <c r="F290" t="s">
        <v>305</v>
      </c>
      <c r="G290" s="1" t="s">
        <v>3</v>
      </c>
      <c r="H290" s="1">
        <v>553278</v>
      </c>
      <c r="I290" t="s">
        <v>470</v>
      </c>
      <c r="J290" s="110">
        <v>47040803</v>
      </c>
      <c r="K290" s="4">
        <v>95125688</v>
      </c>
      <c r="L290" s="4">
        <v>66.099999999999994</v>
      </c>
      <c r="M290" s="4">
        <v>6.5</v>
      </c>
      <c r="N290">
        <v>1.9</v>
      </c>
    </row>
    <row r="291" spans="2:14" x14ac:dyDescent="0.2">
      <c r="B291" s="696">
        <v>42603.388854166667</v>
      </c>
      <c r="C291" s="1" t="s">
        <v>623</v>
      </c>
      <c r="E291" t="s">
        <v>225</v>
      </c>
      <c r="F291" t="s">
        <v>305</v>
      </c>
      <c r="G291" s="1" t="s">
        <v>3</v>
      </c>
      <c r="H291" s="1">
        <v>553278</v>
      </c>
      <c r="I291" t="s">
        <v>470</v>
      </c>
      <c r="J291" s="110">
        <v>47040803</v>
      </c>
      <c r="K291" s="4">
        <v>95095113</v>
      </c>
      <c r="L291" s="4">
        <v>69.55</v>
      </c>
      <c r="M291" s="4">
        <v>6.3</v>
      </c>
      <c r="N291">
        <v>1.81</v>
      </c>
    </row>
    <row r="292" spans="2:14" x14ac:dyDescent="0.2">
      <c r="B292" s="696">
        <v>42603.389814814815</v>
      </c>
      <c r="C292" s="1" t="s">
        <v>623</v>
      </c>
      <c r="E292" t="s">
        <v>225</v>
      </c>
      <c r="F292" t="s">
        <v>305</v>
      </c>
      <c r="G292" s="1" t="s">
        <v>3</v>
      </c>
      <c r="H292" s="1">
        <v>553278</v>
      </c>
      <c r="I292" t="s">
        <v>470</v>
      </c>
      <c r="J292" s="110">
        <v>47040803</v>
      </c>
      <c r="K292" s="4">
        <v>95092110</v>
      </c>
      <c r="L292" s="4">
        <v>69.650000000000006</v>
      </c>
      <c r="M292" s="4">
        <v>6.2</v>
      </c>
      <c r="N292">
        <v>1.89</v>
      </c>
    </row>
    <row r="293" spans="2:14" x14ac:dyDescent="0.2">
      <c r="B293" s="696">
        <v>42603.3905787037</v>
      </c>
      <c r="C293" s="1" t="s">
        <v>623</v>
      </c>
      <c r="E293" t="s">
        <v>225</v>
      </c>
      <c r="F293" t="s">
        <v>305</v>
      </c>
      <c r="G293" s="1" t="s">
        <v>3</v>
      </c>
      <c r="H293" s="1">
        <v>553278</v>
      </c>
      <c r="I293" t="s">
        <v>470</v>
      </c>
      <c r="J293" s="110">
        <v>47040803</v>
      </c>
      <c r="K293" s="4">
        <v>95193942</v>
      </c>
      <c r="L293" s="4">
        <v>66.05</v>
      </c>
      <c r="M293" s="4">
        <v>6.6</v>
      </c>
      <c r="N293">
        <v>1.97</v>
      </c>
    </row>
    <row r="294" spans="2:14" x14ac:dyDescent="0.2">
      <c r="B294" s="696">
        <v>42603.474097222221</v>
      </c>
      <c r="C294" s="1" t="s">
        <v>461</v>
      </c>
      <c r="E294" t="s">
        <v>225</v>
      </c>
      <c r="F294" t="s">
        <v>305</v>
      </c>
      <c r="G294" s="1" t="s">
        <v>3</v>
      </c>
      <c r="H294" s="1">
        <v>553068</v>
      </c>
      <c r="I294" t="s">
        <v>470</v>
      </c>
      <c r="J294" s="110">
        <v>34766998</v>
      </c>
      <c r="K294" s="4">
        <v>95364535</v>
      </c>
      <c r="L294" s="4">
        <v>61.15</v>
      </c>
      <c r="M294" s="4">
        <v>7.2</v>
      </c>
      <c r="N294">
        <v>1.85</v>
      </c>
    </row>
    <row r="295" spans="2:14" x14ac:dyDescent="0.2">
      <c r="B295" s="696">
        <v>42603.474861111114</v>
      </c>
      <c r="C295" s="1" t="s">
        <v>620</v>
      </c>
      <c r="E295" t="s">
        <v>225</v>
      </c>
      <c r="F295" t="s">
        <v>305</v>
      </c>
      <c r="G295" s="1" t="s">
        <v>3</v>
      </c>
      <c r="H295" s="1">
        <v>551831</v>
      </c>
      <c r="I295" t="s">
        <v>470</v>
      </c>
      <c r="J295" s="110">
        <v>47064852</v>
      </c>
      <c r="K295" s="4">
        <v>95828646</v>
      </c>
      <c r="L295" s="4">
        <v>62.35</v>
      </c>
      <c r="M295" s="4">
        <v>6.9</v>
      </c>
      <c r="N295">
        <v>1.83</v>
      </c>
    </row>
    <row r="296" spans="2:14" x14ac:dyDescent="0.2">
      <c r="B296" s="696">
        <v>42603.475798611114</v>
      </c>
      <c r="C296" s="1" t="s">
        <v>620</v>
      </c>
      <c r="E296" t="s">
        <v>225</v>
      </c>
      <c r="F296" t="s">
        <v>305</v>
      </c>
      <c r="G296" s="1" t="s">
        <v>3</v>
      </c>
      <c r="H296" s="1">
        <v>551831</v>
      </c>
      <c r="I296" t="s">
        <v>470</v>
      </c>
      <c r="J296" s="110">
        <v>47064852</v>
      </c>
      <c r="K296" s="4">
        <v>95637245</v>
      </c>
      <c r="L296" s="4">
        <v>62.65</v>
      </c>
      <c r="M296" s="4">
        <v>6.7</v>
      </c>
      <c r="N296">
        <v>1.97</v>
      </c>
    </row>
    <row r="297" spans="2:14" x14ac:dyDescent="0.2">
      <c r="B297" s="696">
        <v>42603.476481481484</v>
      </c>
      <c r="C297" s="1" t="s">
        <v>626</v>
      </c>
      <c r="E297" t="s">
        <v>225</v>
      </c>
      <c r="F297" t="s">
        <v>305</v>
      </c>
      <c r="G297" s="1" t="s">
        <v>3</v>
      </c>
      <c r="H297" s="1">
        <v>551832</v>
      </c>
      <c r="I297" t="s">
        <v>470</v>
      </c>
      <c r="J297" s="110">
        <v>47064878</v>
      </c>
      <c r="K297" s="4">
        <v>95754859</v>
      </c>
      <c r="L297" s="4">
        <v>61.3</v>
      </c>
      <c r="M297" s="4">
        <v>6.8</v>
      </c>
      <c r="N297">
        <v>1.95</v>
      </c>
    </row>
    <row r="298" spans="2:14" x14ac:dyDescent="0.2">
      <c r="B298" s="696">
        <v>42601.571516203701</v>
      </c>
      <c r="C298" s="1" t="s">
        <v>628</v>
      </c>
      <c r="E298" t="s">
        <v>225</v>
      </c>
      <c r="F298" t="s">
        <v>305</v>
      </c>
      <c r="G298" s="1" t="s">
        <v>3</v>
      </c>
      <c r="H298" s="1">
        <v>552979</v>
      </c>
      <c r="I298" t="s">
        <v>469</v>
      </c>
      <c r="J298" s="110">
        <v>586943</v>
      </c>
      <c r="K298" s="4" t="s">
        <v>602</v>
      </c>
      <c r="L298" s="4">
        <v>21.56</v>
      </c>
      <c r="M298" s="4">
        <v>11.6</v>
      </c>
      <c r="N298">
        <v>2</v>
      </c>
    </row>
    <row r="299" spans="2:14" x14ac:dyDescent="0.2">
      <c r="B299" s="696">
        <v>42601.584027777775</v>
      </c>
      <c r="C299" s="1" t="s">
        <v>628</v>
      </c>
      <c r="E299" t="s">
        <v>225</v>
      </c>
      <c r="F299" t="s">
        <v>305</v>
      </c>
      <c r="G299" s="1" t="s">
        <v>3</v>
      </c>
      <c r="H299" s="1">
        <v>552979</v>
      </c>
      <c r="I299" t="s">
        <v>469</v>
      </c>
      <c r="J299" s="110">
        <v>586942</v>
      </c>
      <c r="K299" s="4" t="s">
        <v>603</v>
      </c>
      <c r="L299" s="4">
        <v>18.32</v>
      </c>
      <c r="M299" s="4">
        <v>12.5</v>
      </c>
      <c r="N299">
        <v>2</v>
      </c>
    </row>
    <row r="300" spans="2:14" x14ac:dyDescent="0.2">
      <c r="B300" s="696">
        <v>42601.753437500003</v>
      </c>
      <c r="C300" s="1" t="s">
        <v>625</v>
      </c>
      <c r="E300" t="s">
        <v>225</v>
      </c>
      <c r="F300" t="s">
        <v>305</v>
      </c>
      <c r="G300" s="1" t="s">
        <v>3</v>
      </c>
      <c r="H300" s="1">
        <v>553204</v>
      </c>
      <c r="I300" t="s">
        <v>469</v>
      </c>
      <c r="J300" s="110">
        <v>47023684</v>
      </c>
      <c r="K300" s="4">
        <v>95389920</v>
      </c>
      <c r="L300" s="4">
        <v>59.3</v>
      </c>
      <c r="M300" s="4">
        <v>12.9</v>
      </c>
      <c r="N300">
        <v>1.8</v>
      </c>
    </row>
    <row r="301" spans="2:14" x14ac:dyDescent="0.2">
      <c r="B301" s="696">
        <v>42601.753958333335</v>
      </c>
      <c r="C301" s="1" t="s">
        <v>625</v>
      </c>
      <c r="E301" t="s">
        <v>225</v>
      </c>
      <c r="F301" t="s">
        <v>305</v>
      </c>
      <c r="G301" s="1" t="s">
        <v>3</v>
      </c>
      <c r="H301" s="1">
        <v>553204</v>
      </c>
      <c r="I301" t="s">
        <v>469</v>
      </c>
      <c r="J301" s="110">
        <v>47023684</v>
      </c>
      <c r="K301" s="4">
        <v>95758728</v>
      </c>
      <c r="L301" s="4">
        <v>59.2</v>
      </c>
      <c r="M301" s="4">
        <v>13</v>
      </c>
      <c r="N301">
        <v>1.82</v>
      </c>
    </row>
    <row r="302" spans="2:14" x14ac:dyDescent="0.2">
      <c r="B302" s="696">
        <v>42601.754872685182</v>
      </c>
      <c r="C302" s="1" t="s">
        <v>625</v>
      </c>
      <c r="E302" t="s">
        <v>225</v>
      </c>
      <c r="F302" t="s">
        <v>305</v>
      </c>
      <c r="G302" s="1" t="s">
        <v>3</v>
      </c>
      <c r="H302" s="1">
        <v>553204</v>
      </c>
      <c r="I302" t="s">
        <v>469</v>
      </c>
      <c r="J302" s="110">
        <v>47023684</v>
      </c>
      <c r="K302" s="4">
        <v>95643078</v>
      </c>
      <c r="L302" s="4">
        <v>59.05</v>
      </c>
      <c r="M302" s="4">
        <v>12.9</v>
      </c>
      <c r="N302">
        <v>1.88</v>
      </c>
    </row>
    <row r="303" spans="2:14" x14ac:dyDescent="0.2">
      <c r="B303" s="696">
        <v>42601.755636574075</v>
      </c>
      <c r="C303" s="1" t="s">
        <v>625</v>
      </c>
      <c r="E303" t="s">
        <v>225</v>
      </c>
      <c r="F303" t="s">
        <v>305</v>
      </c>
      <c r="G303" s="1" t="s">
        <v>3</v>
      </c>
      <c r="H303" s="1">
        <v>553204</v>
      </c>
      <c r="I303" t="s">
        <v>469</v>
      </c>
      <c r="J303" s="110">
        <v>47023684</v>
      </c>
      <c r="K303" s="4">
        <v>95621264</v>
      </c>
      <c r="L303" s="4">
        <v>58.95</v>
      </c>
      <c r="M303" s="4">
        <v>12.7</v>
      </c>
      <c r="N303">
        <v>1.84</v>
      </c>
    </row>
    <row r="304" spans="2:14" x14ac:dyDescent="0.2">
      <c r="B304" s="696">
        <v>42601.756458333337</v>
      </c>
      <c r="C304" s="1" t="s">
        <v>625</v>
      </c>
      <c r="E304" t="s">
        <v>225</v>
      </c>
      <c r="F304" t="s">
        <v>305</v>
      </c>
      <c r="G304" s="1" t="s">
        <v>3</v>
      </c>
      <c r="H304" s="1">
        <v>553204</v>
      </c>
      <c r="I304" t="s">
        <v>469</v>
      </c>
      <c r="J304" s="110">
        <v>47012463</v>
      </c>
      <c r="K304" s="4">
        <v>95798047</v>
      </c>
      <c r="L304" s="4">
        <v>61.35</v>
      </c>
      <c r="M304" s="4">
        <v>13.1</v>
      </c>
      <c r="N304">
        <v>1.88</v>
      </c>
    </row>
    <row r="305" spans="2:14" x14ac:dyDescent="0.2">
      <c r="B305" s="696">
        <v>42601.757280092592</v>
      </c>
      <c r="C305" s="1" t="s">
        <v>625</v>
      </c>
      <c r="E305" t="s">
        <v>225</v>
      </c>
      <c r="F305" t="s">
        <v>305</v>
      </c>
      <c r="G305" s="1" t="s">
        <v>3</v>
      </c>
      <c r="H305" s="1">
        <v>553204</v>
      </c>
      <c r="I305" t="s">
        <v>469</v>
      </c>
      <c r="J305" s="110">
        <v>47012463</v>
      </c>
      <c r="K305" s="4">
        <v>95619086</v>
      </c>
      <c r="L305" s="4">
        <v>58.9</v>
      </c>
      <c r="M305" s="4">
        <v>14</v>
      </c>
      <c r="N305">
        <v>1.92</v>
      </c>
    </row>
    <row r="306" spans="2:14" x14ac:dyDescent="0.2">
      <c r="B306" s="696">
        <v>42601.758101851854</v>
      </c>
      <c r="C306" s="1" t="s">
        <v>625</v>
      </c>
      <c r="E306" t="s">
        <v>225</v>
      </c>
      <c r="F306" t="s">
        <v>305</v>
      </c>
      <c r="G306" s="1" t="s">
        <v>3</v>
      </c>
      <c r="H306" s="1">
        <v>553204</v>
      </c>
      <c r="I306" t="s">
        <v>469</v>
      </c>
      <c r="J306" s="110">
        <v>47012463</v>
      </c>
      <c r="K306" s="4">
        <v>95524724</v>
      </c>
      <c r="L306" s="4">
        <v>61.35</v>
      </c>
      <c r="M306" s="4">
        <v>13.2</v>
      </c>
      <c r="N306">
        <v>1.9</v>
      </c>
    </row>
    <row r="307" spans="2:14" x14ac:dyDescent="0.2">
      <c r="B307" s="696">
        <v>42601.925381944442</v>
      </c>
      <c r="C307" s="1" t="s">
        <v>625</v>
      </c>
      <c r="E307" t="s">
        <v>225</v>
      </c>
      <c r="F307" t="s">
        <v>305</v>
      </c>
      <c r="G307" s="1" t="s">
        <v>3</v>
      </c>
      <c r="H307" s="1">
        <v>553204</v>
      </c>
      <c r="I307" t="s">
        <v>469</v>
      </c>
      <c r="J307" s="110">
        <v>47023684</v>
      </c>
      <c r="K307" s="4">
        <v>95451944</v>
      </c>
      <c r="L307" s="4">
        <v>56.2</v>
      </c>
      <c r="M307" s="4">
        <v>12.8</v>
      </c>
      <c r="N307">
        <v>1.98</v>
      </c>
    </row>
    <row r="308" spans="2:14" x14ac:dyDescent="0.2">
      <c r="B308" s="696">
        <v>42601.976620370369</v>
      </c>
      <c r="C308" s="1" t="s">
        <v>628</v>
      </c>
      <c r="E308" t="s">
        <v>225</v>
      </c>
      <c r="F308" t="s">
        <v>305</v>
      </c>
      <c r="G308" s="1" t="s">
        <v>3</v>
      </c>
      <c r="H308" s="1">
        <v>552979</v>
      </c>
      <c r="I308" t="s">
        <v>469</v>
      </c>
      <c r="J308" s="110">
        <v>586813</v>
      </c>
      <c r="K308" s="4" t="s">
        <v>604</v>
      </c>
      <c r="L308" s="4">
        <v>21.88</v>
      </c>
      <c r="M308" s="4">
        <v>11.2</v>
      </c>
      <c r="N308">
        <v>2</v>
      </c>
    </row>
    <row r="309" spans="2:14" x14ac:dyDescent="0.2">
      <c r="B309" s="696">
        <v>42601.980405092596</v>
      </c>
      <c r="C309" s="1" t="s">
        <v>419</v>
      </c>
      <c r="E309" t="s">
        <v>225</v>
      </c>
      <c r="F309" t="s">
        <v>305</v>
      </c>
      <c r="G309" s="1" t="s">
        <v>3</v>
      </c>
      <c r="H309" s="1">
        <v>553245</v>
      </c>
      <c r="I309" t="s">
        <v>469</v>
      </c>
      <c r="J309" s="110">
        <v>307584</v>
      </c>
      <c r="K309" s="4" t="s">
        <v>605</v>
      </c>
      <c r="L309" s="4">
        <v>23.68</v>
      </c>
      <c r="M309" s="4">
        <v>12.2</v>
      </c>
      <c r="N309">
        <v>2</v>
      </c>
    </row>
    <row r="310" spans="2:14" x14ac:dyDescent="0.2">
      <c r="B310" s="696">
        <v>42601.984467592592</v>
      </c>
      <c r="C310" s="1" t="s">
        <v>419</v>
      </c>
      <c r="E310" t="s">
        <v>225</v>
      </c>
      <c r="F310" t="s">
        <v>305</v>
      </c>
      <c r="G310" s="1" t="s">
        <v>3</v>
      </c>
      <c r="H310" s="1">
        <v>553245</v>
      </c>
      <c r="I310" t="s">
        <v>469</v>
      </c>
      <c r="J310" s="110">
        <v>307580</v>
      </c>
      <c r="K310" s="4" t="s">
        <v>606</v>
      </c>
      <c r="L310" s="4">
        <v>21.9</v>
      </c>
      <c r="M310" s="4">
        <v>12.2</v>
      </c>
      <c r="N310">
        <v>1.9</v>
      </c>
    </row>
    <row r="311" spans="2:14" x14ac:dyDescent="0.2">
      <c r="B311" s="696">
        <v>42601.988402777781</v>
      </c>
      <c r="C311" s="1" t="s">
        <v>419</v>
      </c>
      <c r="E311" t="s">
        <v>225</v>
      </c>
      <c r="F311" t="s">
        <v>305</v>
      </c>
      <c r="G311" s="1" t="s">
        <v>3</v>
      </c>
      <c r="H311" s="1">
        <v>553245</v>
      </c>
      <c r="I311" t="s">
        <v>469</v>
      </c>
      <c r="J311" s="110">
        <v>307587</v>
      </c>
      <c r="K311" s="4" t="s">
        <v>607</v>
      </c>
      <c r="L311" s="4">
        <v>22.02</v>
      </c>
      <c r="M311" s="4">
        <v>12.2</v>
      </c>
      <c r="N311">
        <v>2</v>
      </c>
    </row>
    <row r="312" spans="2:14" x14ac:dyDescent="0.2">
      <c r="B312" s="696">
        <v>42602.006655092591</v>
      </c>
      <c r="C312" s="1" t="s">
        <v>419</v>
      </c>
      <c r="E312" t="s">
        <v>225</v>
      </c>
      <c r="F312" t="s">
        <v>305</v>
      </c>
      <c r="G312" s="1" t="s">
        <v>3</v>
      </c>
      <c r="H312" s="1">
        <v>553245</v>
      </c>
      <c r="I312" t="s">
        <v>469</v>
      </c>
      <c r="J312" s="110">
        <v>307585</v>
      </c>
      <c r="K312" s="4" t="s">
        <v>608</v>
      </c>
      <c r="L312" s="4">
        <v>20.7</v>
      </c>
      <c r="M312" s="4">
        <v>12.3</v>
      </c>
      <c r="N312">
        <v>1.9</v>
      </c>
    </row>
    <row r="313" spans="2:14" x14ac:dyDescent="0.2">
      <c r="B313" s="696">
        <v>42602.015439814815</v>
      </c>
      <c r="C313" s="1" t="s">
        <v>419</v>
      </c>
      <c r="E313" t="s">
        <v>225</v>
      </c>
      <c r="F313" t="s">
        <v>305</v>
      </c>
      <c r="G313" s="1" t="s">
        <v>3</v>
      </c>
      <c r="H313" s="1">
        <v>553245</v>
      </c>
      <c r="I313" t="s">
        <v>469</v>
      </c>
      <c r="J313" s="110">
        <v>586814</v>
      </c>
      <c r="K313" s="4" t="s">
        <v>609</v>
      </c>
      <c r="L313" s="4">
        <v>22.94</v>
      </c>
      <c r="M313" s="4">
        <v>12.1</v>
      </c>
      <c r="N313">
        <v>1.94</v>
      </c>
    </row>
    <row r="314" spans="2:14" x14ac:dyDescent="0.2">
      <c r="B314" s="696">
        <v>42602.024224537039</v>
      </c>
      <c r="C314" s="1" t="s">
        <v>419</v>
      </c>
      <c r="E314" t="s">
        <v>225</v>
      </c>
      <c r="F314" t="s">
        <v>305</v>
      </c>
      <c r="G314" s="1" t="s">
        <v>3</v>
      </c>
      <c r="H314" s="1">
        <v>553245</v>
      </c>
      <c r="I314" t="s">
        <v>469</v>
      </c>
      <c r="J314" s="110">
        <v>586803</v>
      </c>
      <c r="K314" s="4" t="s">
        <v>610</v>
      </c>
      <c r="L314" s="4">
        <v>20.420000000000002</v>
      </c>
      <c r="M314" s="4">
        <v>11.1</v>
      </c>
      <c r="N314">
        <v>1.88</v>
      </c>
    </row>
    <row r="315" spans="2:14" x14ac:dyDescent="0.2">
      <c r="B315" s="696">
        <v>42602.083124999997</v>
      </c>
      <c r="C315" s="1" t="s">
        <v>419</v>
      </c>
      <c r="E315" t="s">
        <v>225</v>
      </c>
      <c r="F315" t="s">
        <v>305</v>
      </c>
      <c r="G315" s="1" t="s">
        <v>3</v>
      </c>
      <c r="H315" s="1">
        <v>553245</v>
      </c>
      <c r="I315" t="s">
        <v>469</v>
      </c>
      <c r="J315" s="110">
        <v>586807</v>
      </c>
      <c r="K315" s="4" t="s">
        <v>611</v>
      </c>
      <c r="L315" s="4">
        <v>26.08</v>
      </c>
      <c r="M315" s="4">
        <v>13.3</v>
      </c>
      <c r="N315">
        <v>1.9</v>
      </c>
    </row>
    <row r="316" spans="2:14" x14ac:dyDescent="0.2">
      <c r="B316" s="696">
        <v>42602.089930555558</v>
      </c>
      <c r="C316" s="1" t="s">
        <v>419</v>
      </c>
      <c r="E316" t="s">
        <v>225</v>
      </c>
      <c r="F316" t="s">
        <v>305</v>
      </c>
      <c r="G316" s="1" t="s">
        <v>3</v>
      </c>
      <c r="H316" s="1">
        <v>553245</v>
      </c>
      <c r="I316" t="s">
        <v>469</v>
      </c>
      <c r="J316" s="110">
        <v>461694</v>
      </c>
      <c r="K316" s="4" t="s">
        <v>612</v>
      </c>
      <c r="L316" s="4">
        <v>24.66</v>
      </c>
      <c r="M316" s="4">
        <v>12.5</v>
      </c>
      <c r="N316">
        <v>1.86</v>
      </c>
    </row>
    <row r="317" spans="2:14" x14ac:dyDescent="0.2">
      <c r="B317" s="696">
        <v>42602.101909722223</v>
      </c>
      <c r="C317" s="1" t="s">
        <v>419</v>
      </c>
      <c r="E317" t="s">
        <v>225</v>
      </c>
      <c r="F317" t="s">
        <v>305</v>
      </c>
      <c r="G317" s="1" t="s">
        <v>3</v>
      </c>
      <c r="H317" s="1">
        <v>553245</v>
      </c>
      <c r="I317" t="s">
        <v>469</v>
      </c>
      <c r="J317" s="110">
        <v>307586</v>
      </c>
      <c r="K317" s="4" t="s">
        <v>613</v>
      </c>
      <c r="L317" s="4">
        <v>25.08</v>
      </c>
      <c r="M317" s="4">
        <v>12.2</v>
      </c>
      <c r="N317">
        <v>1.92</v>
      </c>
    </row>
    <row r="318" spans="2:14" x14ac:dyDescent="0.2">
      <c r="B318" s="696">
        <v>42602.247789351852</v>
      </c>
      <c r="C318" s="1" t="s">
        <v>419</v>
      </c>
      <c r="E318" t="s">
        <v>225</v>
      </c>
      <c r="F318" t="s">
        <v>305</v>
      </c>
      <c r="G318" s="1" t="s">
        <v>3</v>
      </c>
      <c r="H318" s="1">
        <v>553245</v>
      </c>
      <c r="I318" t="s">
        <v>469</v>
      </c>
      <c r="J318" s="110">
        <v>307616</v>
      </c>
      <c r="K318" s="4" t="s">
        <v>614</v>
      </c>
      <c r="L318" s="4">
        <v>23.06</v>
      </c>
      <c r="M318" s="4">
        <v>13.5</v>
      </c>
      <c r="N318">
        <v>1.96</v>
      </c>
    </row>
    <row r="319" spans="2:14" x14ac:dyDescent="0.2">
      <c r="B319" s="696">
        <v>42602.564004629632</v>
      </c>
      <c r="C319" s="1" t="s">
        <v>625</v>
      </c>
      <c r="E319" t="s">
        <v>225</v>
      </c>
      <c r="F319" t="s">
        <v>305</v>
      </c>
      <c r="G319" s="1" t="s">
        <v>3</v>
      </c>
      <c r="H319" s="1">
        <v>553204</v>
      </c>
      <c r="I319" t="s">
        <v>469</v>
      </c>
      <c r="J319" s="110">
        <v>47062740</v>
      </c>
      <c r="K319" s="4">
        <v>95641965</v>
      </c>
      <c r="L319" s="4">
        <v>58.95</v>
      </c>
      <c r="M319" s="4">
        <v>13</v>
      </c>
      <c r="N319">
        <v>1.88</v>
      </c>
    </row>
    <row r="320" spans="2:14" x14ac:dyDescent="0.2">
      <c r="B320" s="696">
        <v>42602.564756944441</v>
      </c>
      <c r="C320" s="1" t="s">
        <v>625</v>
      </c>
      <c r="E320" t="s">
        <v>225</v>
      </c>
      <c r="F320" t="s">
        <v>305</v>
      </c>
      <c r="G320" s="1" t="s">
        <v>3</v>
      </c>
      <c r="H320" s="1">
        <v>553204</v>
      </c>
      <c r="I320" t="s">
        <v>469</v>
      </c>
      <c r="J320" s="110">
        <v>47053582</v>
      </c>
      <c r="K320" s="4">
        <v>95315388</v>
      </c>
      <c r="L320" s="4">
        <v>54.7</v>
      </c>
      <c r="M320" s="4">
        <v>13</v>
      </c>
      <c r="N320">
        <v>1.92</v>
      </c>
    </row>
    <row r="321" spans="2:14" x14ac:dyDescent="0.2">
      <c r="B321" s="696">
        <v>42602.565347222226</v>
      </c>
      <c r="C321" s="1" t="s">
        <v>625</v>
      </c>
      <c r="E321" t="s">
        <v>225</v>
      </c>
      <c r="F321" t="s">
        <v>305</v>
      </c>
      <c r="G321" s="1" t="s">
        <v>3</v>
      </c>
      <c r="H321" s="1">
        <v>553204</v>
      </c>
      <c r="I321" t="s">
        <v>469</v>
      </c>
      <c r="J321" s="110">
        <v>47053582</v>
      </c>
      <c r="K321" s="4">
        <v>95451910</v>
      </c>
      <c r="L321" s="4">
        <v>59.9</v>
      </c>
      <c r="M321" s="4">
        <v>13.1</v>
      </c>
      <c r="N321">
        <v>1.86</v>
      </c>
    </row>
    <row r="322" spans="2:14" x14ac:dyDescent="0.2">
      <c r="B322" s="696">
        <v>42602.566041666665</v>
      </c>
      <c r="C322" s="1" t="s">
        <v>625</v>
      </c>
      <c r="E322" t="s">
        <v>225</v>
      </c>
      <c r="F322" t="s">
        <v>305</v>
      </c>
      <c r="G322" s="1" t="s">
        <v>3</v>
      </c>
      <c r="H322" s="1">
        <v>553204</v>
      </c>
      <c r="I322" t="s">
        <v>469</v>
      </c>
      <c r="J322" s="110">
        <v>47053582</v>
      </c>
      <c r="K322" s="4">
        <v>95683959</v>
      </c>
      <c r="L322" s="4">
        <v>59.8</v>
      </c>
      <c r="M322" s="4">
        <v>13.1</v>
      </c>
      <c r="N322">
        <v>1.9</v>
      </c>
    </row>
    <row r="323" spans="2:14" x14ac:dyDescent="0.2">
      <c r="B323" s="696">
        <v>42602.566550925927</v>
      </c>
      <c r="C323" s="1" t="s">
        <v>625</v>
      </c>
      <c r="E323" t="s">
        <v>225</v>
      </c>
      <c r="F323" t="s">
        <v>305</v>
      </c>
      <c r="G323" s="1" t="s">
        <v>3</v>
      </c>
      <c r="H323" s="1">
        <v>553204</v>
      </c>
      <c r="I323" t="s">
        <v>469</v>
      </c>
      <c r="J323" s="110">
        <v>47053582</v>
      </c>
      <c r="K323" s="4">
        <v>95630083</v>
      </c>
      <c r="L323" s="4">
        <v>56.35</v>
      </c>
      <c r="M323" s="4">
        <v>13</v>
      </c>
      <c r="N323">
        <v>1.94</v>
      </c>
    </row>
    <row r="324" spans="2:14" x14ac:dyDescent="0.2">
      <c r="B324" s="696">
        <v>42602.702685185184</v>
      </c>
      <c r="C324" s="1" t="s">
        <v>625</v>
      </c>
      <c r="E324" t="s">
        <v>225</v>
      </c>
      <c r="F324" t="s">
        <v>305</v>
      </c>
      <c r="G324" s="1" t="s">
        <v>3</v>
      </c>
      <c r="H324" s="1">
        <v>553204</v>
      </c>
      <c r="I324" t="s">
        <v>469</v>
      </c>
      <c r="J324" s="110">
        <v>47062740</v>
      </c>
      <c r="K324" s="4">
        <v>95796678</v>
      </c>
      <c r="L324" s="4">
        <v>60.5</v>
      </c>
      <c r="M324" s="4">
        <v>11.7</v>
      </c>
      <c r="N324">
        <v>1.92</v>
      </c>
    </row>
    <row r="325" spans="2:14" x14ac:dyDescent="0.2">
      <c r="B325" s="696">
        <v>42602.703263888892</v>
      </c>
      <c r="C325" s="1" t="s">
        <v>625</v>
      </c>
      <c r="E325" t="s">
        <v>225</v>
      </c>
      <c r="F325" t="s">
        <v>305</v>
      </c>
      <c r="G325" s="1" t="s">
        <v>3</v>
      </c>
      <c r="H325" s="1">
        <v>553204</v>
      </c>
      <c r="I325" t="s">
        <v>469</v>
      </c>
      <c r="J325" s="110">
        <v>47062740</v>
      </c>
      <c r="K325" s="4">
        <v>95798245</v>
      </c>
      <c r="L325" s="4">
        <v>58.95</v>
      </c>
      <c r="M325" s="4">
        <v>12.8</v>
      </c>
      <c r="N325">
        <v>1.86</v>
      </c>
    </row>
    <row r="326" spans="2:14" x14ac:dyDescent="0.2">
      <c r="B326" s="696">
        <v>42602.703877314816</v>
      </c>
      <c r="C326" s="1" t="s">
        <v>625</v>
      </c>
      <c r="E326" t="s">
        <v>225</v>
      </c>
      <c r="F326" t="s">
        <v>305</v>
      </c>
      <c r="G326" s="1" t="s">
        <v>3</v>
      </c>
      <c r="H326" s="1">
        <v>553204</v>
      </c>
      <c r="I326" t="s">
        <v>469</v>
      </c>
      <c r="J326" s="110">
        <v>47062740</v>
      </c>
      <c r="K326" s="4">
        <v>95677548</v>
      </c>
      <c r="L326" s="4">
        <v>59.85</v>
      </c>
      <c r="M326" s="4">
        <v>12.8</v>
      </c>
      <c r="N326">
        <v>1.9</v>
      </c>
    </row>
    <row r="327" spans="2:14" x14ac:dyDescent="0.2">
      <c r="B327" s="696">
        <v>42602.704594907409</v>
      </c>
      <c r="C327" s="1" t="s">
        <v>625</v>
      </c>
      <c r="E327" t="s">
        <v>225</v>
      </c>
      <c r="F327" t="s">
        <v>305</v>
      </c>
      <c r="G327" s="1" t="s">
        <v>3</v>
      </c>
      <c r="H327" s="1">
        <v>553204</v>
      </c>
      <c r="I327" t="s">
        <v>469</v>
      </c>
      <c r="J327" s="110">
        <v>47062740</v>
      </c>
      <c r="K327" s="4">
        <v>95752341</v>
      </c>
      <c r="L327" s="4">
        <v>60.4</v>
      </c>
      <c r="M327" s="4">
        <v>11.7</v>
      </c>
      <c r="N327">
        <v>1.94</v>
      </c>
    </row>
    <row r="328" spans="2:14" x14ac:dyDescent="0.2">
      <c r="B328" s="696">
        <v>42603.262731481482</v>
      </c>
      <c r="C328" s="1" t="s">
        <v>419</v>
      </c>
      <c r="E328" t="s">
        <v>225</v>
      </c>
      <c r="F328" t="s">
        <v>305</v>
      </c>
      <c r="G328" s="1" t="s">
        <v>3</v>
      </c>
      <c r="H328" s="1">
        <v>553245</v>
      </c>
      <c r="I328" t="s">
        <v>469</v>
      </c>
      <c r="J328" s="110">
        <v>586985</v>
      </c>
      <c r="K328" s="4" t="s">
        <v>439</v>
      </c>
      <c r="L328" s="4">
        <v>24.08</v>
      </c>
      <c r="M328" s="4">
        <v>13.1</v>
      </c>
      <c r="N328">
        <v>2</v>
      </c>
    </row>
    <row r="329" spans="2:14" x14ac:dyDescent="0.2">
      <c r="B329" s="696">
        <v>42603.272615740738</v>
      </c>
      <c r="C329" s="1" t="s">
        <v>419</v>
      </c>
      <c r="E329" t="s">
        <v>225</v>
      </c>
      <c r="F329" t="s">
        <v>305</v>
      </c>
      <c r="G329" s="1" t="s">
        <v>3</v>
      </c>
      <c r="H329" s="1">
        <v>553245</v>
      </c>
      <c r="I329" t="s">
        <v>469</v>
      </c>
      <c r="J329" s="110">
        <v>586815</v>
      </c>
      <c r="K329" s="4" t="s">
        <v>611</v>
      </c>
      <c r="L329" s="4">
        <v>24.84</v>
      </c>
      <c r="M329" s="4">
        <v>12.7</v>
      </c>
      <c r="N329">
        <v>2</v>
      </c>
    </row>
    <row r="330" spans="2:14" x14ac:dyDescent="0.2">
      <c r="B330" s="696">
        <v>42603.276736111111</v>
      </c>
      <c r="C330" s="1" t="s">
        <v>419</v>
      </c>
      <c r="E330" t="s">
        <v>225</v>
      </c>
      <c r="F330" t="s">
        <v>305</v>
      </c>
      <c r="G330" s="1" t="s">
        <v>3</v>
      </c>
      <c r="H330" s="1">
        <v>553245</v>
      </c>
      <c r="I330" t="s">
        <v>469</v>
      </c>
      <c r="J330" s="110">
        <v>586816</v>
      </c>
      <c r="K330" s="4" t="s">
        <v>584</v>
      </c>
      <c r="L330" s="4">
        <v>11.98</v>
      </c>
      <c r="M330" s="4">
        <v>12.4</v>
      </c>
      <c r="N330">
        <v>2</v>
      </c>
    </row>
    <row r="331" spans="2:14" x14ac:dyDescent="0.2">
      <c r="B331" s="696">
        <v>42603.408009259256</v>
      </c>
      <c r="C331" s="1" t="s">
        <v>541</v>
      </c>
      <c r="E331" t="s">
        <v>225</v>
      </c>
      <c r="F331" t="s">
        <v>305</v>
      </c>
      <c r="G331" s="1" t="s">
        <v>3</v>
      </c>
      <c r="H331" s="1">
        <v>553098</v>
      </c>
      <c r="I331" t="s">
        <v>469</v>
      </c>
      <c r="J331" s="110">
        <v>2004</v>
      </c>
      <c r="K331" s="4" t="s">
        <v>615</v>
      </c>
      <c r="L331" s="4">
        <v>25.3</v>
      </c>
      <c r="M331" s="4">
        <v>12.2</v>
      </c>
      <c r="N331">
        <v>2</v>
      </c>
    </row>
    <row r="332" spans="2:14" x14ac:dyDescent="0.2">
      <c r="B332" s="696">
        <v>42603.727002314816</v>
      </c>
      <c r="C332" s="1" t="s">
        <v>541</v>
      </c>
      <c r="E332" t="s">
        <v>225</v>
      </c>
      <c r="F332" t="s">
        <v>305</v>
      </c>
      <c r="G332" s="1" t="s">
        <v>3</v>
      </c>
      <c r="H332" s="1">
        <v>553098</v>
      </c>
      <c r="I332" t="s">
        <v>469</v>
      </c>
      <c r="J332" s="110">
        <v>43928134</v>
      </c>
      <c r="K332" s="4">
        <v>95796033</v>
      </c>
      <c r="L332" s="4">
        <v>60.3</v>
      </c>
      <c r="M332" s="4">
        <v>13</v>
      </c>
      <c r="N332">
        <v>1.96</v>
      </c>
    </row>
    <row r="333" spans="2:14" x14ac:dyDescent="0.2">
      <c r="B333" s="696">
        <v>42603.727384259262</v>
      </c>
      <c r="C333" s="1" t="s">
        <v>541</v>
      </c>
      <c r="E333" t="s">
        <v>225</v>
      </c>
      <c r="F333" t="s">
        <v>305</v>
      </c>
      <c r="G333" s="1" t="s">
        <v>3</v>
      </c>
      <c r="H333" s="1">
        <v>553098</v>
      </c>
      <c r="I333" t="s">
        <v>469</v>
      </c>
      <c r="J333" s="110">
        <v>43928134</v>
      </c>
      <c r="K333" s="4">
        <v>95454138</v>
      </c>
      <c r="L333" s="4">
        <v>60.65</v>
      </c>
      <c r="M333" s="4">
        <v>12.8</v>
      </c>
      <c r="N333">
        <v>1.96</v>
      </c>
    </row>
    <row r="334" spans="2:14" x14ac:dyDescent="0.2">
      <c r="B334" s="696">
        <v>42603.772881944446</v>
      </c>
      <c r="C334" s="1" t="s">
        <v>419</v>
      </c>
      <c r="E334" t="s">
        <v>225</v>
      </c>
      <c r="F334" t="s">
        <v>305</v>
      </c>
      <c r="G334" s="1" t="s">
        <v>3</v>
      </c>
      <c r="H334" s="1">
        <v>553245</v>
      </c>
      <c r="I334" t="s">
        <v>469</v>
      </c>
      <c r="J334" s="110">
        <v>307617</v>
      </c>
      <c r="K334" s="4" t="s">
        <v>614</v>
      </c>
      <c r="L334" s="4">
        <v>23.16</v>
      </c>
      <c r="M334" s="4">
        <v>13.2</v>
      </c>
      <c r="N334">
        <v>1.94</v>
      </c>
    </row>
    <row r="335" spans="2:14" x14ac:dyDescent="0.2">
      <c r="B335" s="696">
        <v>42603.958680555559</v>
      </c>
      <c r="C335" s="1" t="s">
        <v>625</v>
      </c>
      <c r="E335" t="s">
        <v>225</v>
      </c>
      <c r="F335" t="s">
        <v>305</v>
      </c>
      <c r="G335" s="1" t="s">
        <v>3</v>
      </c>
      <c r="H335" s="1">
        <v>553204</v>
      </c>
      <c r="I335" t="s">
        <v>469</v>
      </c>
      <c r="J335" s="110">
        <v>40129850</v>
      </c>
      <c r="K335" s="4">
        <v>95823266</v>
      </c>
      <c r="L335" s="4">
        <v>59.05</v>
      </c>
      <c r="M335" s="4">
        <v>11.8</v>
      </c>
      <c r="N335">
        <v>2</v>
      </c>
    </row>
    <row r="336" spans="2:14" x14ac:dyDescent="0.2">
      <c r="B336" s="696">
        <v>42604.180127314816</v>
      </c>
      <c r="C336" s="1" t="s">
        <v>419</v>
      </c>
      <c r="E336" t="s">
        <v>225</v>
      </c>
      <c r="F336" t="s">
        <v>305</v>
      </c>
      <c r="G336" s="1" t="s">
        <v>3</v>
      </c>
      <c r="H336" s="1">
        <v>553245</v>
      </c>
      <c r="I336" t="s">
        <v>469</v>
      </c>
      <c r="J336" s="110">
        <v>586817</v>
      </c>
      <c r="K336" s="4" t="s">
        <v>611</v>
      </c>
      <c r="L336" s="4">
        <v>25.98</v>
      </c>
      <c r="M336" s="4">
        <v>12.3</v>
      </c>
      <c r="N336">
        <v>2</v>
      </c>
    </row>
    <row r="337" spans="2:14" x14ac:dyDescent="0.2">
      <c r="B337" s="696">
        <v>42604.678935185184</v>
      </c>
      <c r="C337" s="1" t="s">
        <v>639</v>
      </c>
      <c r="D337" t="s">
        <v>144</v>
      </c>
      <c r="E337" t="s">
        <v>225</v>
      </c>
      <c r="F337" t="s">
        <v>305</v>
      </c>
      <c r="G337" s="1" t="s">
        <v>3</v>
      </c>
      <c r="H337" s="1">
        <v>552862</v>
      </c>
      <c r="I337" t="s">
        <v>467</v>
      </c>
      <c r="J337" s="110">
        <v>43949957</v>
      </c>
      <c r="K337" s="4">
        <v>95448528</v>
      </c>
      <c r="L337" s="4">
        <v>70.05</v>
      </c>
      <c r="M337" s="4">
        <v>12.2</v>
      </c>
      <c r="N337">
        <v>0.96</v>
      </c>
    </row>
    <row r="338" spans="2:14" x14ac:dyDescent="0.2">
      <c r="B338" s="696">
        <v>42604.683634259258</v>
      </c>
      <c r="C338" s="1" t="s">
        <v>639</v>
      </c>
      <c r="D338" t="s">
        <v>144</v>
      </c>
      <c r="E338" t="s">
        <v>225</v>
      </c>
      <c r="F338" t="s">
        <v>305</v>
      </c>
      <c r="G338" s="1" t="s">
        <v>3</v>
      </c>
      <c r="H338" s="1">
        <v>552862</v>
      </c>
      <c r="I338" t="s">
        <v>467</v>
      </c>
      <c r="J338" s="110">
        <v>43949957</v>
      </c>
      <c r="K338" s="4">
        <v>95315503</v>
      </c>
      <c r="L338" s="4">
        <v>64.97</v>
      </c>
      <c r="M338" s="4">
        <v>12.1</v>
      </c>
      <c r="N338">
        <v>0.94</v>
      </c>
    </row>
    <row r="339" spans="2:14" x14ac:dyDescent="0.2">
      <c r="B339" s="696">
        <v>42604.683958333335</v>
      </c>
      <c r="C339" s="1" t="s">
        <v>639</v>
      </c>
      <c r="D339" t="s">
        <v>144</v>
      </c>
      <c r="E339" t="s">
        <v>225</v>
      </c>
      <c r="F339" t="s">
        <v>305</v>
      </c>
      <c r="G339" s="1" t="s">
        <v>3</v>
      </c>
      <c r="H339" s="1">
        <v>552862</v>
      </c>
      <c r="I339" t="s">
        <v>467</v>
      </c>
      <c r="J339" s="110">
        <v>43950013</v>
      </c>
      <c r="K339" s="4">
        <v>95633988</v>
      </c>
      <c r="L339" s="4">
        <v>69.849999999999994</v>
      </c>
      <c r="M339" s="4">
        <v>12</v>
      </c>
      <c r="N339">
        <v>0.98</v>
      </c>
    </row>
    <row r="340" spans="2:14" x14ac:dyDescent="0.2">
      <c r="B340" s="696">
        <v>42604.684247685182</v>
      </c>
      <c r="C340" s="1" t="s">
        <v>639</v>
      </c>
      <c r="D340" t="s">
        <v>144</v>
      </c>
      <c r="E340" t="s">
        <v>225</v>
      </c>
      <c r="F340" t="s">
        <v>305</v>
      </c>
      <c r="G340" s="1" t="s">
        <v>3</v>
      </c>
      <c r="H340" s="1">
        <v>552862</v>
      </c>
      <c r="I340" t="s">
        <v>467</v>
      </c>
      <c r="J340" s="110">
        <v>43950013</v>
      </c>
      <c r="K340" s="4">
        <v>95452249</v>
      </c>
      <c r="L340" s="4">
        <v>69.95</v>
      </c>
      <c r="M340" s="4">
        <v>12.4</v>
      </c>
      <c r="N340">
        <v>0.98</v>
      </c>
    </row>
    <row r="341" spans="2:14" x14ac:dyDescent="0.2">
      <c r="B341" s="696">
        <v>42604.68478009259</v>
      </c>
      <c r="C341" s="1" t="s">
        <v>639</v>
      </c>
      <c r="D341" t="s">
        <v>144</v>
      </c>
      <c r="E341" t="s">
        <v>225</v>
      </c>
      <c r="F341" t="s">
        <v>305</v>
      </c>
      <c r="G341" s="1" t="s">
        <v>3</v>
      </c>
      <c r="H341" s="1">
        <v>552862</v>
      </c>
      <c r="I341" t="s">
        <v>467</v>
      </c>
      <c r="J341" s="110">
        <v>43950013</v>
      </c>
      <c r="K341" s="4">
        <v>95682654</v>
      </c>
      <c r="L341" s="4">
        <v>70</v>
      </c>
      <c r="M341" s="4">
        <v>12.4</v>
      </c>
      <c r="N341">
        <v>1.02</v>
      </c>
    </row>
    <row r="342" spans="2:14" x14ac:dyDescent="0.2">
      <c r="B342" s="696">
        <v>42604.685069444444</v>
      </c>
      <c r="C342" s="1" t="s">
        <v>639</v>
      </c>
      <c r="D342" t="s">
        <v>144</v>
      </c>
      <c r="E342" t="s">
        <v>225</v>
      </c>
      <c r="F342" t="s">
        <v>305</v>
      </c>
      <c r="G342" s="1" t="s">
        <v>3</v>
      </c>
      <c r="H342" s="1">
        <v>552862</v>
      </c>
      <c r="I342" t="s">
        <v>467</v>
      </c>
      <c r="J342" s="110">
        <v>43950013</v>
      </c>
      <c r="K342" s="4">
        <v>95360566</v>
      </c>
      <c r="L342" s="4">
        <v>69.900000000000006</v>
      </c>
      <c r="M342" s="4">
        <v>12.3</v>
      </c>
      <c r="N342">
        <v>0.98</v>
      </c>
    </row>
    <row r="343" spans="2:14" x14ac:dyDescent="0.2">
      <c r="B343" s="696">
        <v>42604.685381944444</v>
      </c>
      <c r="C343" s="1" t="s">
        <v>639</v>
      </c>
      <c r="D343" t="s">
        <v>144</v>
      </c>
      <c r="E343" t="s">
        <v>225</v>
      </c>
      <c r="F343" t="s">
        <v>305</v>
      </c>
      <c r="G343" s="1" t="s">
        <v>3</v>
      </c>
      <c r="H343" s="1">
        <v>552862</v>
      </c>
      <c r="I343" t="s">
        <v>467</v>
      </c>
      <c r="J343" s="110">
        <v>43950013</v>
      </c>
      <c r="K343" s="4">
        <v>95446332</v>
      </c>
      <c r="L343" s="4">
        <v>69.7</v>
      </c>
      <c r="M343" s="4">
        <v>12.3</v>
      </c>
      <c r="N343">
        <v>0.92</v>
      </c>
    </row>
    <row r="344" spans="2:14" x14ac:dyDescent="0.2">
      <c r="B344" s="696">
        <v>42604.685868055552</v>
      </c>
      <c r="C344" s="1" t="s">
        <v>641</v>
      </c>
      <c r="D344" t="s">
        <v>144</v>
      </c>
      <c r="E344" t="s">
        <v>225</v>
      </c>
      <c r="F344" t="s">
        <v>305</v>
      </c>
      <c r="G344" s="1" t="s">
        <v>3</v>
      </c>
      <c r="H344" s="1">
        <v>1</v>
      </c>
      <c r="I344" t="s">
        <v>467</v>
      </c>
      <c r="J344" s="110">
        <v>43948314</v>
      </c>
      <c r="K344" s="4">
        <v>95682829</v>
      </c>
      <c r="L344" s="4">
        <v>64</v>
      </c>
      <c r="M344" s="4">
        <v>14</v>
      </c>
      <c r="N344">
        <v>1.2</v>
      </c>
    </row>
    <row r="345" spans="2:14" x14ac:dyDescent="0.2">
      <c r="B345" s="696">
        <v>42604.686157407406</v>
      </c>
      <c r="C345" s="1" t="s">
        <v>641</v>
      </c>
      <c r="D345" t="s">
        <v>144</v>
      </c>
      <c r="E345" t="s">
        <v>225</v>
      </c>
      <c r="F345" t="s">
        <v>305</v>
      </c>
      <c r="G345" s="1" t="s">
        <v>3</v>
      </c>
      <c r="H345" s="1">
        <v>1</v>
      </c>
      <c r="I345" t="s">
        <v>467</v>
      </c>
      <c r="J345" s="110">
        <v>43948314</v>
      </c>
      <c r="K345" s="4">
        <v>95695920</v>
      </c>
      <c r="L345" s="4">
        <v>63.45</v>
      </c>
      <c r="M345" s="4">
        <v>14</v>
      </c>
      <c r="N345">
        <v>1.2</v>
      </c>
    </row>
    <row r="346" spans="2:14" x14ac:dyDescent="0.2">
      <c r="B346" s="696">
        <v>42604.698368055557</v>
      </c>
      <c r="C346" s="1" t="s">
        <v>408</v>
      </c>
      <c r="E346" t="s">
        <v>225</v>
      </c>
      <c r="F346" t="s">
        <v>305</v>
      </c>
      <c r="G346" s="1" t="s">
        <v>3</v>
      </c>
      <c r="H346" s="1">
        <v>553755</v>
      </c>
      <c r="I346" t="s">
        <v>467</v>
      </c>
      <c r="J346" s="110">
        <v>354913</v>
      </c>
      <c r="K346" s="4" t="s">
        <v>630</v>
      </c>
      <c r="L346" s="4">
        <v>23.82</v>
      </c>
      <c r="M346" s="4">
        <v>11.7</v>
      </c>
      <c r="N346">
        <v>1.96</v>
      </c>
    </row>
    <row r="347" spans="2:14" x14ac:dyDescent="0.2">
      <c r="B347" s="696">
        <v>42604.707071759258</v>
      </c>
      <c r="C347" s="1" t="s">
        <v>639</v>
      </c>
      <c r="D347" t="s">
        <v>144</v>
      </c>
      <c r="E347" t="s">
        <v>225</v>
      </c>
      <c r="F347" t="s">
        <v>305</v>
      </c>
      <c r="G347" s="1" t="s">
        <v>3</v>
      </c>
      <c r="H347" s="1">
        <v>552862</v>
      </c>
      <c r="I347" t="s">
        <v>467</v>
      </c>
      <c r="J347" s="110">
        <v>43949957</v>
      </c>
      <c r="K347" s="4">
        <v>95646840</v>
      </c>
      <c r="L347" s="4">
        <v>70.099999999999994</v>
      </c>
      <c r="M347" s="4">
        <v>12.1</v>
      </c>
      <c r="N347">
        <v>0.88</v>
      </c>
    </row>
    <row r="348" spans="2:14" x14ac:dyDescent="0.2">
      <c r="B348" s="696">
        <v>42604.709606481483</v>
      </c>
      <c r="C348" s="1" t="s">
        <v>639</v>
      </c>
      <c r="D348" t="s">
        <v>144</v>
      </c>
      <c r="E348" t="s">
        <v>225</v>
      </c>
      <c r="F348" t="s">
        <v>305</v>
      </c>
      <c r="G348" s="1" t="s">
        <v>3</v>
      </c>
      <c r="H348" s="1">
        <v>552862</v>
      </c>
      <c r="I348" t="s">
        <v>467</v>
      </c>
      <c r="J348" s="110">
        <v>43949957</v>
      </c>
      <c r="K348" s="4">
        <v>95379319</v>
      </c>
      <c r="L348" s="4">
        <v>69.849999999999994</v>
      </c>
      <c r="M348" s="4">
        <v>12.1</v>
      </c>
      <c r="N348">
        <v>0.96</v>
      </c>
    </row>
    <row r="349" spans="2:14" x14ac:dyDescent="0.2">
      <c r="B349" s="696">
        <v>42604.712777777779</v>
      </c>
      <c r="C349" s="1" t="s">
        <v>641</v>
      </c>
      <c r="D349" t="s">
        <v>144</v>
      </c>
      <c r="E349" t="s">
        <v>225</v>
      </c>
      <c r="F349" t="s">
        <v>305</v>
      </c>
      <c r="G349" s="1" t="s">
        <v>3</v>
      </c>
      <c r="H349" s="1">
        <v>1</v>
      </c>
      <c r="I349" t="s">
        <v>467</v>
      </c>
      <c r="J349" s="110">
        <v>43948314</v>
      </c>
      <c r="K349" s="4">
        <v>95797015</v>
      </c>
      <c r="L349" s="4">
        <v>63.25</v>
      </c>
      <c r="M349" s="4">
        <v>14</v>
      </c>
      <c r="N349">
        <v>1.18</v>
      </c>
    </row>
    <row r="350" spans="2:14" x14ac:dyDescent="0.2">
      <c r="B350" s="696">
        <v>42604.71365740741</v>
      </c>
      <c r="C350" s="1" t="s">
        <v>641</v>
      </c>
      <c r="D350" t="s">
        <v>144</v>
      </c>
      <c r="E350" t="s">
        <v>225</v>
      </c>
      <c r="F350" t="s">
        <v>305</v>
      </c>
      <c r="G350" s="1" t="s">
        <v>3</v>
      </c>
      <c r="H350" s="1">
        <v>1</v>
      </c>
      <c r="I350" t="s">
        <v>467</v>
      </c>
      <c r="J350" s="110">
        <v>43948314</v>
      </c>
      <c r="K350" s="4">
        <v>95639944</v>
      </c>
      <c r="L350" s="4">
        <v>63.4</v>
      </c>
      <c r="M350" s="4">
        <v>14</v>
      </c>
      <c r="N350">
        <v>1.18</v>
      </c>
    </row>
    <row r="351" spans="2:14" x14ac:dyDescent="0.2">
      <c r="B351" s="696">
        <v>42604.714502314811</v>
      </c>
      <c r="C351" s="1" t="s">
        <v>641</v>
      </c>
      <c r="D351" t="s">
        <v>144</v>
      </c>
      <c r="E351" t="s">
        <v>225</v>
      </c>
      <c r="F351" t="s">
        <v>305</v>
      </c>
      <c r="G351" s="1" t="s">
        <v>3</v>
      </c>
      <c r="H351" s="1">
        <v>1</v>
      </c>
      <c r="I351" t="s">
        <v>467</v>
      </c>
      <c r="J351" s="110">
        <v>43948314</v>
      </c>
      <c r="K351" s="4">
        <v>95831558</v>
      </c>
      <c r="L351" s="4">
        <v>63.6</v>
      </c>
      <c r="M351" s="4">
        <v>14</v>
      </c>
      <c r="N351">
        <v>1.18</v>
      </c>
    </row>
    <row r="352" spans="2:14" x14ac:dyDescent="0.2">
      <c r="B352" s="696">
        <v>42604.714953703704</v>
      </c>
      <c r="C352" s="1" t="s">
        <v>641</v>
      </c>
      <c r="D352" t="s">
        <v>144</v>
      </c>
      <c r="E352" t="s">
        <v>225</v>
      </c>
      <c r="F352" t="s">
        <v>305</v>
      </c>
      <c r="G352" s="1" t="s">
        <v>3</v>
      </c>
      <c r="H352" s="1">
        <v>1</v>
      </c>
      <c r="I352" t="s">
        <v>467</v>
      </c>
      <c r="J352" s="110">
        <v>43948314</v>
      </c>
      <c r="K352" s="4">
        <v>95330676</v>
      </c>
      <c r="L352" s="4">
        <v>55.2</v>
      </c>
      <c r="M352" s="4">
        <v>14</v>
      </c>
      <c r="N352">
        <v>1.22</v>
      </c>
    </row>
    <row r="353" spans="2:14" x14ac:dyDescent="0.2">
      <c r="B353" s="696">
        <v>42604.715462962966</v>
      </c>
      <c r="C353" s="1" t="s">
        <v>641</v>
      </c>
      <c r="D353" t="s">
        <v>144</v>
      </c>
      <c r="E353" t="s">
        <v>225</v>
      </c>
      <c r="F353" t="s">
        <v>305</v>
      </c>
      <c r="G353" s="1" t="s">
        <v>3</v>
      </c>
      <c r="H353" s="1">
        <v>1</v>
      </c>
      <c r="I353" t="s">
        <v>467</v>
      </c>
      <c r="J353" s="110">
        <v>43948314</v>
      </c>
      <c r="K353" s="4">
        <v>95758553</v>
      </c>
      <c r="L353" s="4">
        <v>61.8</v>
      </c>
      <c r="M353" s="4">
        <v>14</v>
      </c>
      <c r="N353">
        <v>1.2</v>
      </c>
    </row>
    <row r="354" spans="2:14" x14ac:dyDescent="0.2">
      <c r="B354" s="696">
        <v>42604.716400462959</v>
      </c>
      <c r="C354" s="1" t="s">
        <v>641</v>
      </c>
      <c r="D354" t="s">
        <v>144</v>
      </c>
      <c r="E354" t="s">
        <v>225</v>
      </c>
      <c r="F354" t="s">
        <v>305</v>
      </c>
      <c r="G354" s="1" t="s">
        <v>3</v>
      </c>
      <c r="H354" s="1">
        <v>1</v>
      </c>
      <c r="I354" t="s">
        <v>467</v>
      </c>
      <c r="J354" s="110">
        <v>43948314</v>
      </c>
      <c r="K354" s="4">
        <v>95649968</v>
      </c>
      <c r="L354" s="4">
        <v>61</v>
      </c>
      <c r="M354" s="4">
        <v>13.9</v>
      </c>
      <c r="N354">
        <v>1.2</v>
      </c>
    </row>
    <row r="355" spans="2:14" x14ac:dyDescent="0.2">
      <c r="B355" s="696">
        <v>42604.71675925926</v>
      </c>
      <c r="C355" s="1" t="s">
        <v>641</v>
      </c>
      <c r="D355" t="s">
        <v>144</v>
      </c>
      <c r="E355" t="s">
        <v>225</v>
      </c>
      <c r="F355" t="s">
        <v>305</v>
      </c>
      <c r="G355" s="1" t="s">
        <v>3</v>
      </c>
      <c r="H355" s="1">
        <v>1</v>
      </c>
      <c r="I355" t="s">
        <v>467</v>
      </c>
      <c r="J355" s="110">
        <v>43948314</v>
      </c>
      <c r="K355" s="4">
        <v>95537379</v>
      </c>
      <c r="L355" s="4">
        <v>65.25</v>
      </c>
      <c r="M355" s="4">
        <v>13.9</v>
      </c>
      <c r="N355">
        <v>1.1399999999999999</v>
      </c>
    </row>
    <row r="356" spans="2:14" x14ac:dyDescent="0.2">
      <c r="B356" s="696">
        <v>42604.880787037036</v>
      </c>
      <c r="C356" s="1" t="s">
        <v>640</v>
      </c>
      <c r="D356" t="s">
        <v>144</v>
      </c>
      <c r="E356" t="s">
        <v>225</v>
      </c>
      <c r="F356" t="s">
        <v>305</v>
      </c>
      <c r="G356" s="1" t="s">
        <v>3</v>
      </c>
      <c r="H356" s="1">
        <v>553450</v>
      </c>
      <c r="I356" t="s">
        <v>467</v>
      </c>
      <c r="J356" s="110">
        <v>40141103</v>
      </c>
      <c r="K356" s="4">
        <v>95332821</v>
      </c>
      <c r="L356" s="4">
        <v>65</v>
      </c>
      <c r="M356" s="4">
        <v>13.4</v>
      </c>
      <c r="N356">
        <v>1.18</v>
      </c>
    </row>
    <row r="357" spans="2:14" x14ac:dyDescent="0.2">
      <c r="B357" s="696">
        <v>42604.881342592591</v>
      </c>
      <c r="C357" s="1" t="s">
        <v>640</v>
      </c>
      <c r="D357" t="s">
        <v>144</v>
      </c>
      <c r="E357" t="s">
        <v>225</v>
      </c>
      <c r="F357" t="s">
        <v>305</v>
      </c>
      <c r="G357" s="1" t="s">
        <v>3</v>
      </c>
      <c r="H357" s="1">
        <v>553450</v>
      </c>
      <c r="I357" t="s">
        <v>467</v>
      </c>
      <c r="J357" s="110">
        <v>40141103</v>
      </c>
      <c r="K357" s="4">
        <v>95831038</v>
      </c>
      <c r="L357" s="4">
        <v>65.55</v>
      </c>
      <c r="M357" s="4">
        <v>12.3</v>
      </c>
      <c r="N357">
        <v>1.18</v>
      </c>
    </row>
    <row r="358" spans="2:14" x14ac:dyDescent="0.2">
      <c r="B358" s="696">
        <v>42604.881898148145</v>
      </c>
      <c r="C358" s="1" t="s">
        <v>640</v>
      </c>
      <c r="D358" t="s">
        <v>144</v>
      </c>
      <c r="E358" t="s">
        <v>225</v>
      </c>
      <c r="F358" t="s">
        <v>305</v>
      </c>
      <c r="G358" s="1" t="s">
        <v>3</v>
      </c>
      <c r="H358" s="1">
        <v>553450</v>
      </c>
      <c r="I358" t="s">
        <v>467</v>
      </c>
      <c r="J358" s="110">
        <v>40141103</v>
      </c>
      <c r="K358" s="4">
        <v>95757779</v>
      </c>
      <c r="L358" s="4">
        <v>65.7</v>
      </c>
      <c r="M358" s="4">
        <v>12.1</v>
      </c>
      <c r="N358">
        <v>1.22</v>
      </c>
    </row>
    <row r="359" spans="2:14" x14ac:dyDescent="0.2">
      <c r="B359" s="696">
        <v>42604.8828125</v>
      </c>
      <c r="C359" s="1" t="s">
        <v>640</v>
      </c>
      <c r="D359" t="s">
        <v>144</v>
      </c>
      <c r="E359" t="s">
        <v>225</v>
      </c>
      <c r="F359" t="s">
        <v>305</v>
      </c>
      <c r="G359" s="1" t="s">
        <v>3</v>
      </c>
      <c r="H359" s="1">
        <v>553450</v>
      </c>
      <c r="I359" t="s">
        <v>467</v>
      </c>
      <c r="J359" s="110">
        <v>40141103</v>
      </c>
      <c r="K359" s="4">
        <v>95636627</v>
      </c>
      <c r="L359" s="4">
        <v>65.8</v>
      </c>
      <c r="M359" s="4">
        <v>12.3</v>
      </c>
      <c r="N359">
        <v>1.18</v>
      </c>
    </row>
    <row r="360" spans="2:14" x14ac:dyDescent="0.2">
      <c r="B360" s="696">
        <v>42604.884155092594</v>
      </c>
      <c r="C360" s="1" t="s">
        <v>641</v>
      </c>
      <c r="D360" t="s">
        <v>144</v>
      </c>
      <c r="E360" t="s">
        <v>225</v>
      </c>
      <c r="F360" t="s">
        <v>305</v>
      </c>
      <c r="G360" s="1" t="s">
        <v>3</v>
      </c>
      <c r="H360" s="1">
        <v>1</v>
      </c>
      <c r="I360" t="s">
        <v>467</v>
      </c>
      <c r="J360" s="110">
        <v>43948314</v>
      </c>
      <c r="K360" s="4">
        <v>95759171</v>
      </c>
      <c r="L360" s="4">
        <v>60.95</v>
      </c>
      <c r="M360" s="4">
        <v>14</v>
      </c>
      <c r="N360">
        <v>1.18</v>
      </c>
    </row>
    <row r="361" spans="2:14" x14ac:dyDescent="0.2">
      <c r="B361" s="696">
        <v>42604.375115740739</v>
      </c>
      <c r="C361" s="1" t="s">
        <v>624</v>
      </c>
      <c r="D361" t="s">
        <v>144</v>
      </c>
      <c r="E361" t="s">
        <v>225</v>
      </c>
      <c r="F361" t="s">
        <v>305</v>
      </c>
      <c r="G361" s="1" t="s">
        <v>3</v>
      </c>
      <c r="H361" s="1">
        <v>553730</v>
      </c>
      <c r="I361" t="s">
        <v>292</v>
      </c>
      <c r="J361" s="110">
        <v>1025</v>
      </c>
      <c r="K361" s="4" t="s">
        <v>632</v>
      </c>
      <c r="L361" s="4">
        <v>19.38</v>
      </c>
      <c r="M361" s="4">
        <v>12.1</v>
      </c>
      <c r="N361">
        <v>1.3</v>
      </c>
    </row>
    <row r="362" spans="2:14" x14ac:dyDescent="0.2">
      <c r="B362" s="696">
        <v>42604.389363425929</v>
      </c>
      <c r="C362" s="1" t="s">
        <v>408</v>
      </c>
      <c r="D362" t="s">
        <v>144</v>
      </c>
      <c r="E362" t="s">
        <v>225</v>
      </c>
      <c r="F362" t="s">
        <v>305</v>
      </c>
      <c r="G362" s="1" t="s">
        <v>3</v>
      </c>
      <c r="H362" s="1">
        <v>553698</v>
      </c>
      <c r="I362" t="s">
        <v>292</v>
      </c>
      <c r="J362" s="110">
        <v>355433</v>
      </c>
      <c r="K362" s="4" t="s">
        <v>472</v>
      </c>
      <c r="L362" s="4">
        <v>14.6</v>
      </c>
      <c r="M362" s="4">
        <v>11.1</v>
      </c>
      <c r="N362">
        <v>1.06</v>
      </c>
    </row>
    <row r="363" spans="2:14" x14ac:dyDescent="0.2">
      <c r="B363" s="696">
        <v>42604.396874999999</v>
      </c>
      <c r="C363" s="1" t="s">
        <v>408</v>
      </c>
      <c r="D363" t="s">
        <v>144</v>
      </c>
      <c r="E363" t="s">
        <v>225</v>
      </c>
      <c r="F363" t="s">
        <v>305</v>
      </c>
      <c r="G363" s="1" t="s">
        <v>3</v>
      </c>
      <c r="H363" s="1">
        <v>553698</v>
      </c>
      <c r="I363" t="s">
        <v>292</v>
      </c>
      <c r="J363" s="110">
        <v>355380</v>
      </c>
      <c r="K363" s="4" t="s">
        <v>633</v>
      </c>
      <c r="L363" s="4">
        <v>23.26</v>
      </c>
      <c r="M363" s="4">
        <v>13.5</v>
      </c>
      <c r="N363">
        <v>1.1399999999999999</v>
      </c>
    </row>
    <row r="364" spans="2:14" x14ac:dyDescent="0.2">
      <c r="B364" s="696">
        <v>42604.422094907408</v>
      </c>
      <c r="C364" s="1" t="s">
        <v>464</v>
      </c>
      <c r="D364" t="s">
        <v>144</v>
      </c>
      <c r="E364" t="s">
        <v>225</v>
      </c>
      <c r="F364" t="s">
        <v>305</v>
      </c>
      <c r="G364" s="1" t="s">
        <v>3</v>
      </c>
      <c r="H364" s="1">
        <v>553731</v>
      </c>
      <c r="I364" t="s">
        <v>292</v>
      </c>
      <c r="J364" s="110">
        <v>213</v>
      </c>
      <c r="K364" s="4" t="s">
        <v>634</v>
      </c>
      <c r="L364" s="4">
        <v>23.06</v>
      </c>
      <c r="M364" s="4">
        <v>10.3</v>
      </c>
      <c r="N364">
        <v>0.92</v>
      </c>
    </row>
    <row r="365" spans="2:14" x14ac:dyDescent="0.2">
      <c r="B365" s="696">
        <v>42604.719340277778</v>
      </c>
      <c r="C365" s="1" t="s">
        <v>495</v>
      </c>
      <c r="D365" t="s">
        <v>144</v>
      </c>
      <c r="E365" t="s">
        <v>225</v>
      </c>
      <c r="F365" t="s">
        <v>305</v>
      </c>
      <c r="G365" s="1" t="s">
        <v>3</v>
      </c>
      <c r="H365" s="1">
        <v>552782</v>
      </c>
      <c r="I365" t="s">
        <v>643</v>
      </c>
      <c r="J365" s="110">
        <v>600503</v>
      </c>
      <c r="K365" s="4" t="s">
        <v>635</v>
      </c>
      <c r="L365" s="4">
        <v>23.24</v>
      </c>
      <c r="M365" s="4">
        <v>11.9</v>
      </c>
      <c r="N365">
        <v>1.54</v>
      </c>
    </row>
    <row r="366" spans="2:14" x14ac:dyDescent="0.2">
      <c r="B366" s="696">
        <v>42605.223703703705</v>
      </c>
      <c r="C366" s="1" t="s">
        <v>420</v>
      </c>
      <c r="D366" t="s">
        <v>144</v>
      </c>
      <c r="E366" t="s">
        <v>225</v>
      </c>
      <c r="F366" t="s">
        <v>305</v>
      </c>
      <c r="G366" s="1" t="s">
        <v>3</v>
      </c>
      <c r="H366" s="1">
        <v>553036</v>
      </c>
      <c r="I366" t="s">
        <v>292</v>
      </c>
      <c r="J366" s="110">
        <v>50291442</v>
      </c>
      <c r="K366" s="4">
        <v>95352829</v>
      </c>
      <c r="L366" s="4">
        <v>60.55</v>
      </c>
      <c r="M366" s="4">
        <v>11</v>
      </c>
      <c r="N366">
        <v>0.92</v>
      </c>
    </row>
    <row r="367" spans="2:14" x14ac:dyDescent="0.2">
      <c r="B367" s="696">
        <v>42605.227546296293</v>
      </c>
      <c r="C367" s="1" t="s">
        <v>631</v>
      </c>
      <c r="D367" t="s">
        <v>144</v>
      </c>
      <c r="E367" t="s">
        <v>225</v>
      </c>
      <c r="F367" t="s">
        <v>305</v>
      </c>
      <c r="G367" s="1" t="s">
        <v>3</v>
      </c>
      <c r="H367" s="1">
        <v>550377</v>
      </c>
      <c r="I367" t="s">
        <v>643</v>
      </c>
      <c r="J367" s="110">
        <v>43903665</v>
      </c>
      <c r="K367" s="4">
        <v>95304168</v>
      </c>
      <c r="L367" s="4">
        <v>64.150000000000006</v>
      </c>
      <c r="M367" s="4">
        <v>13.8</v>
      </c>
      <c r="N367">
        <v>1.42</v>
      </c>
    </row>
    <row r="368" spans="2:14" x14ac:dyDescent="0.2">
      <c r="B368" s="696">
        <v>42605.227824074071</v>
      </c>
      <c r="C368" s="1" t="s">
        <v>631</v>
      </c>
      <c r="D368" t="s">
        <v>144</v>
      </c>
      <c r="E368" t="s">
        <v>225</v>
      </c>
      <c r="F368" t="s">
        <v>305</v>
      </c>
      <c r="G368" s="1" t="s">
        <v>3</v>
      </c>
      <c r="H368" s="1">
        <v>550377</v>
      </c>
      <c r="I368" t="s">
        <v>643</v>
      </c>
      <c r="J368" s="110">
        <v>43903665</v>
      </c>
      <c r="K368" s="4">
        <v>95528469</v>
      </c>
      <c r="L368" s="4">
        <v>69.599999999999994</v>
      </c>
      <c r="M368" s="4">
        <v>13.7</v>
      </c>
      <c r="N368">
        <v>1.48</v>
      </c>
    </row>
    <row r="369" spans="2:14" x14ac:dyDescent="0.2">
      <c r="B369" s="696">
        <v>42605.228125000001</v>
      </c>
      <c r="C369" s="1" t="s">
        <v>631</v>
      </c>
      <c r="D369" t="s">
        <v>144</v>
      </c>
      <c r="E369" t="s">
        <v>225</v>
      </c>
      <c r="F369" t="s">
        <v>305</v>
      </c>
      <c r="G369" s="1" t="s">
        <v>3</v>
      </c>
      <c r="H369" s="1">
        <v>550377</v>
      </c>
      <c r="I369" t="s">
        <v>643</v>
      </c>
      <c r="J369" s="110">
        <v>43903665</v>
      </c>
      <c r="K369" s="4">
        <v>95682456</v>
      </c>
      <c r="L369" s="4">
        <v>69.45</v>
      </c>
      <c r="M369" s="4">
        <v>13.8</v>
      </c>
      <c r="N369">
        <v>1.46</v>
      </c>
    </row>
    <row r="370" spans="2:14" x14ac:dyDescent="0.2">
      <c r="B370" s="696">
        <v>42605.228368055556</v>
      </c>
      <c r="C370" s="1" t="s">
        <v>631</v>
      </c>
      <c r="D370" t="s">
        <v>144</v>
      </c>
      <c r="E370" t="s">
        <v>225</v>
      </c>
      <c r="F370" t="s">
        <v>305</v>
      </c>
      <c r="G370" s="1" t="s">
        <v>3</v>
      </c>
      <c r="H370" s="1">
        <v>550377</v>
      </c>
      <c r="I370" t="s">
        <v>643</v>
      </c>
      <c r="J370" s="110">
        <v>43903665</v>
      </c>
      <c r="K370" s="4">
        <v>95530259</v>
      </c>
      <c r="L370" s="4">
        <v>69.400000000000006</v>
      </c>
      <c r="M370" s="4">
        <v>13.8</v>
      </c>
      <c r="N370">
        <v>1.52</v>
      </c>
    </row>
    <row r="371" spans="2:14" x14ac:dyDescent="0.2">
      <c r="B371" s="696">
        <v>42605.228668981479</v>
      </c>
      <c r="C371" s="1" t="s">
        <v>631</v>
      </c>
      <c r="D371" t="s">
        <v>144</v>
      </c>
      <c r="E371" t="s">
        <v>225</v>
      </c>
      <c r="F371" t="s">
        <v>305</v>
      </c>
      <c r="G371" s="1" t="s">
        <v>3</v>
      </c>
      <c r="H371" s="1">
        <v>550377</v>
      </c>
      <c r="I371" t="s">
        <v>643</v>
      </c>
      <c r="J371" s="110">
        <v>43903665</v>
      </c>
      <c r="K371" s="4">
        <v>95614756</v>
      </c>
      <c r="L371" s="4">
        <v>69.25</v>
      </c>
      <c r="M371" s="4">
        <v>13.7</v>
      </c>
      <c r="N371">
        <v>1.44</v>
      </c>
    </row>
    <row r="372" spans="2:14" x14ac:dyDescent="0.2">
      <c r="B372" s="696">
        <v>42605.228993055556</v>
      </c>
      <c r="C372" s="1" t="s">
        <v>631</v>
      </c>
      <c r="D372" t="s">
        <v>144</v>
      </c>
      <c r="E372" t="s">
        <v>225</v>
      </c>
      <c r="F372" t="s">
        <v>305</v>
      </c>
      <c r="G372" s="1" t="s">
        <v>3</v>
      </c>
      <c r="H372" s="1">
        <v>550377</v>
      </c>
      <c r="I372" t="s">
        <v>643</v>
      </c>
      <c r="J372" s="110">
        <v>43903640</v>
      </c>
      <c r="K372" s="4">
        <v>95379715</v>
      </c>
      <c r="L372" s="4">
        <v>69.25</v>
      </c>
      <c r="M372" s="4">
        <v>13.7</v>
      </c>
      <c r="N372">
        <v>1.46</v>
      </c>
    </row>
    <row r="373" spans="2:14" x14ac:dyDescent="0.2">
      <c r="B373" s="696">
        <v>42605.22928240741</v>
      </c>
      <c r="C373" s="1" t="s">
        <v>631</v>
      </c>
      <c r="D373" t="s">
        <v>144</v>
      </c>
      <c r="E373" t="s">
        <v>225</v>
      </c>
      <c r="F373" t="s">
        <v>305</v>
      </c>
      <c r="G373" s="1" t="s">
        <v>3</v>
      </c>
      <c r="H373" s="1">
        <v>550377</v>
      </c>
      <c r="I373" t="s">
        <v>643</v>
      </c>
      <c r="J373" s="110">
        <v>43903640</v>
      </c>
      <c r="K373" s="4">
        <v>95453569</v>
      </c>
      <c r="L373" s="4">
        <v>69.7</v>
      </c>
      <c r="M373" s="4">
        <v>13.8</v>
      </c>
      <c r="N373">
        <v>1.52</v>
      </c>
    </row>
    <row r="374" spans="2:14" x14ac:dyDescent="0.2">
      <c r="B374" s="696">
        <v>42605.161192129628</v>
      </c>
      <c r="C374" s="1" t="s">
        <v>408</v>
      </c>
      <c r="D374" t="s">
        <v>144</v>
      </c>
      <c r="E374" t="s">
        <v>225</v>
      </c>
      <c r="F374" t="s">
        <v>305</v>
      </c>
      <c r="G374" s="1" t="s">
        <v>3</v>
      </c>
      <c r="H374" s="1">
        <v>553754</v>
      </c>
      <c r="I374" t="s">
        <v>469</v>
      </c>
      <c r="J374" s="110">
        <v>354595</v>
      </c>
      <c r="K374" s="4" t="s">
        <v>636</v>
      </c>
      <c r="L374" s="4">
        <v>19.72</v>
      </c>
      <c r="M374" s="4">
        <v>12.4</v>
      </c>
      <c r="N374">
        <v>1.8</v>
      </c>
    </row>
    <row r="375" spans="2:14" x14ac:dyDescent="0.2">
      <c r="B375" s="696">
        <v>42605.17690972222</v>
      </c>
      <c r="C375" s="1" t="s">
        <v>408</v>
      </c>
      <c r="D375" t="s">
        <v>144</v>
      </c>
      <c r="E375" t="s">
        <v>225</v>
      </c>
      <c r="F375" t="s">
        <v>305</v>
      </c>
      <c r="G375" s="1" t="s">
        <v>3</v>
      </c>
      <c r="H375" s="1">
        <v>553754</v>
      </c>
      <c r="I375" t="s">
        <v>469</v>
      </c>
      <c r="J375" s="110">
        <v>327268</v>
      </c>
      <c r="K375" s="4" t="s">
        <v>611</v>
      </c>
      <c r="L375" s="4">
        <v>23.86</v>
      </c>
      <c r="M375" s="4">
        <v>12.6</v>
      </c>
      <c r="N375">
        <v>1.94</v>
      </c>
    </row>
    <row r="376" spans="2:14" x14ac:dyDescent="0.2">
      <c r="B376" s="696">
        <v>42605.184606481482</v>
      </c>
      <c r="C376" s="1" t="s">
        <v>408</v>
      </c>
      <c r="D376" t="s">
        <v>144</v>
      </c>
      <c r="E376" t="s">
        <v>225</v>
      </c>
      <c r="F376" t="s">
        <v>305</v>
      </c>
      <c r="G376" s="1" t="s">
        <v>3</v>
      </c>
      <c r="H376" s="1">
        <v>553754</v>
      </c>
      <c r="I376" t="s">
        <v>469</v>
      </c>
      <c r="J376" s="110">
        <v>327270</v>
      </c>
      <c r="K376" s="4" t="s">
        <v>584</v>
      </c>
      <c r="L376" s="4">
        <v>11.94</v>
      </c>
      <c r="M376" s="4">
        <v>12.5</v>
      </c>
      <c r="N376">
        <v>1.94</v>
      </c>
    </row>
    <row r="377" spans="2:14" x14ac:dyDescent="0.2">
      <c r="B377" s="696">
        <v>42605.194664351853</v>
      </c>
      <c r="C377" s="1" t="s">
        <v>408</v>
      </c>
      <c r="D377" t="s">
        <v>144</v>
      </c>
      <c r="E377" t="s">
        <v>225</v>
      </c>
      <c r="F377" t="s">
        <v>305</v>
      </c>
      <c r="G377" s="1" t="s">
        <v>3</v>
      </c>
      <c r="H377" s="1">
        <v>553754</v>
      </c>
      <c r="I377" t="s">
        <v>469</v>
      </c>
      <c r="J377" s="110">
        <v>354706</v>
      </c>
      <c r="K377" s="4" t="s">
        <v>637</v>
      </c>
      <c r="L377" s="4">
        <v>25.52</v>
      </c>
      <c r="M377" s="4">
        <v>10.8</v>
      </c>
      <c r="N377">
        <v>1.9</v>
      </c>
    </row>
    <row r="378" spans="2:14" x14ac:dyDescent="0.2">
      <c r="B378" s="696">
        <v>42605.200914351852</v>
      </c>
      <c r="C378" s="1" t="s">
        <v>408</v>
      </c>
      <c r="D378" t="s">
        <v>144</v>
      </c>
      <c r="E378" t="s">
        <v>225</v>
      </c>
      <c r="F378" t="s">
        <v>305</v>
      </c>
      <c r="G378" s="1" t="s">
        <v>3</v>
      </c>
      <c r="H378" s="1">
        <v>553754</v>
      </c>
      <c r="I378" t="s">
        <v>469</v>
      </c>
      <c r="J378" s="110">
        <v>327269</v>
      </c>
      <c r="K378" s="4" t="s">
        <v>638</v>
      </c>
      <c r="L378" s="4">
        <v>20.62</v>
      </c>
      <c r="M378" s="4">
        <v>11.3</v>
      </c>
      <c r="N378">
        <v>1.98</v>
      </c>
    </row>
    <row r="379" spans="2:14" x14ac:dyDescent="0.2">
      <c r="B379" s="696">
        <v>42604.516250000001</v>
      </c>
      <c r="C379" s="1" t="s">
        <v>623</v>
      </c>
      <c r="D379" t="s">
        <v>144</v>
      </c>
      <c r="E379" t="s">
        <v>225</v>
      </c>
      <c r="F379" t="s">
        <v>305</v>
      </c>
      <c r="G379" s="1" t="s">
        <v>3</v>
      </c>
      <c r="H379" s="1">
        <v>553278</v>
      </c>
      <c r="I379" t="s">
        <v>470</v>
      </c>
      <c r="J379" s="110">
        <v>47107222</v>
      </c>
      <c r="K379" s="4">
        <v>95121349</v>
      </c>
      <c r="L379" s="4">
        <v>66.2</v>
      </c>
      <c r="M379" s="4">
        <v>6.4</v>
      </c>
      <c r="N379">
        <v>1.96</v>
      </c>
    </row>
    <row r="380" spans="2:14" x14ac:dyDescent="0.2">
      <c r="B380" s="696">
        <v>42604.518750000003</v>
      </c>
      <c r="C380" s="1" t="s">
        <v>623</v>
      </c>
      <c r="D380" t="s">
        <v>144</v>
      </c>
      <c r="E380" t="s">
        <v>225</v>
      </c>
      <c r="F380" t="s">
        <v>305</v>
      </c>
      <c r="G380" s="1" t="s">
        <v>3</v>
      </c>
      <c r="H380" s="1">
        <v>553278</v>
      </c>
      <c r="I380" t="s">
        <v>470</v>
      </c>
      <c r="J380" s="110">
        <v>47107222</v>
      </c>
      <c r="K380" s="4">
        <v>95103511</v>
      </c>
      <c r="L380" s="4">
        <v>65.45</v>
      </c>
      <c r="M380" s="4">
        <v>6.4</v>
      </c>
      <c r="N380">
        <v>2</v>
      </c>
    </row>
    <row r="381" spans="2:14" x14ac:dyDescent="0.2">
      <c r="B381" s="696">
        <v>42604.520995370367</v>
      </c>
      <c r="C381" s="1" t="s">
        <v>623</v>
      </c>
      <c r="D381" t="s">
        <v>144</v>
      </c>
      <c r="E381" t="s">
        <v>225</v>
      </c>
      <c r="F381" t="s">
        <v>305</v>
      </c>
      <c r="G381" s="1" t="s">
        <v>3</v>
      </c>
      <c r="H381" s="1">
        <v>553278</v>
      </c>
      <c r="I381" t="s">
        <v>470</v>
      </c>
      <c r="J381" s="110">
        <v>47107222</v>
      </c>
      <c r="K381" s="4">
        <v>95153268</v>
      </c>
      <c r="L381" s="4">
        <v>65</v>
      </c>
      <c r="M381" s="4">
        <v>6.5</v>
      </c>
      <c r="N381">
        <v>1.96</v>
      </c>
    </row>
    <row r="382" spans="2:14" x14ac:dyDescent="0.2">
      <c r="B382" s="696">
        <v>42604.521608796298</v>
      </c>
      <c r="C382" s="1" t="s">
        <v>623</v>
      </c>
      <c r="D382" t="s">
        <v>144</v>
      </c>
      <c r="E382" t="s">
        <v>225</v>
      </c>
      <c r="F382" t="s">
        <v>305</v>
      </c>
      <c r="G382" s="1" t="s">
        <v>3</v>
      </c>
      <c r="H382" s="1">
        <v>553278</v>
      </c>
      <c r="I382" t="s">
        <v>470</v>
      </c>
      <c r="J382" s="110">
        <v>47107222</v>
      </c>
      <c r="K382" s="4">
        <v>95186904</v>
      </c>
      <c r="L382" s="4">
        <v>65.95</v>
      </c>
      <c r="M382" s="4">
        <v>6.4</v>
      </c>
      <c r="N382">
        <v>2</v>
      </c>
    </row>
    <row r="383" spans="2:14" x14ac:dyDescent="0.2">
      <c r="B383" s="696">
        <v>42604.522129629629</v>
      </c>
      <c r="C383" s="1" t="s">
        <v>623</v>
      </c>
      <c r="D383" t="s">
        <v>144</v>
      </c>
      <c r="E383" t="s">
        <v>225</v>
      </c>
      <c r="F383" t="s">
        <v>305</v>
      </c>
      <c r="G383" s="1" t="s">
        <v>3</v>
      </c>
      <c r="H383" s="1">
        <v>553278</v>
      </c>
      <c r="I383" t="s">
        <v>470</v>
      </c>
      <c r="J383" s="110">
        <v>47107222</v>
      </c>
      <c r="K383" s="4">
        <v>95191383</v>
      </c>
      <c r="L383" s="4">
        <v>65</v>
      </c>
      <c r="M383" s="4">
        <v>6.4</v>
      </c>
      <c r="N383">
        <v>1.92</v>
      </c>
    </row>
    <row r="384" spans="2:14" x14ac:dyDescent="0.2">
      <c r="B384" s="696">
        <v>42604.522766203707</v>
      </c>
      <c r="C384" s="1" t="s">
        <v>623</v>
      </c>
      <c r="D384" t="s">
        <v>144</v>
      </c>
      <c r="E384" t="s">
        <v>225</v>
      </c>
      <c r="F384" t="s">
        <v>305</v>
      </c>
      <c r="G384" s="1" t="s">
        <v>3</v>
      </c>
      <c r="H384" s="1">
        <v>553278</v>
      </c>
      <c r="I384" t="s">
        <v>470</v>
      </c>
      <c r="J384" s="110">
        <v>47107222</v>
      </c>
      <c r="K384" s="4">
        <v>95101812</v>
      </c>
      <c r="L384" s="4">
        <v>66</v>
      </c>
      <c r="M384" s="4">
        <v>6.6</v>
      </c>
      <c r="N384">
        <v>2</v>
      </c>
    </row>
    <row r="385" spans="2:14" x14ac:dyDescent="0.2">
      <c r="B385" s="696">
        <v>42601.359652777777</v>
      </c>
      <c r="C385" s="1" t="s">
        <v>408</v>
      </c>
      <c r="E385" t="s">
        <v>225</v>
      </c>
      <c r="F385" t="s">
        <v>305</v>
      </c>
      <c r="G385" s="1" t="s">
        <v>3</v>
      </c>
      <c r="H385" s="1">
        <v>553755</v>
      </c>
      <c r="I385" t="s">
        <v>467</v>
      </c>
      <c r="J385" s="110">
        <v>327331</v>
      </c>
      <c r="K385" s="4" t="s">
        <v>542</v>
      </c>
      <c r="L385" s="4">
        <v>20.64</v>
      </c>
      <c r="M385" s="4">
        <v>12.9</v>
      </c>
      <c r="N385">
        <v>1.1399999999999999</v>
      </c>
    </row>
    <row r="386" spans="2:14" x14ac:dyDescent="0.2">
      <c r="B386" s="696">
        <v>42601.366851851853</v>
      </c>
      <c r="C386" s="1" t="s">
        <v>408</v>
      </c>
      <c r="E386" t="s">
        <v>225</v>
      </c>
      <c r="F386" t="s">
        <v>305</v>
      </c>
      <c r="G386" s="1" t="s">
        <v>3</v>
      </c>
      <c r="H386" s="1">
        <v>553755</v>
      </c>
      <c r="I386" t="s">
        <v>467</v>
      </c>
      <c r="J386" s="110">
        <v>327330</v>
      </c>
      <c r="K386" s="4" t="s">
        <v>543</v>
      </c>
      <c r="L386" s="4">
        <v>20.82</v>
      </c>
      <c r="M386" s="4">
        <v>12.8</v>
      </c>
      <c r="N386">
        <v>1.1399999999999999</v>
      </c>
    </row>
    <row r="387" spans="2:14" x14ac:dyDescent="0.2">
      <c r="B387" s="696">
        <v>42601.385972222219</v>
      </c>
      <c r="C387" s="1" t="s">
        <v>408</v>
      </c>
      <c r="E387" t="s">
        <v>225</v>
      </c>
      <c r="F387" t="s">
        <v>305</v>
      </c>
      <c r="G387" s="1" t="s">
        <v>3</v>
      </c>
      <c r="H387" s="1">
        <v>553755</v>
      </c>
      <c r="I387" t="s">
        <v>467</v>
      </c>
      <c r="J387" s="110">
        <v>327328</v>
      </c>
      <c r="K387" s="4" t="s">
        <v>544</v>
      </c>
      <c r="L387" s="4">
        <v>20.32</v>
      </c>
      <c r="M387" s="4">
        <v>12.9</v>
      </c>
      <c r="N387">
        <v>0.94</v>
      </c>
    </row>
    <row r="388" spans="2:14" x14ac:dyDescent="0.2">
      <c r="B388" s="696">
        <v>42601.396747685183</v>
      </c>
      <c r="C388" s="1" t="s">
        <v>408</v>
      </c>
      <c r="E388" t="s">
        <v>225</v>
      </c>
      <c r="F388" t="s">
        <v>305</v>
      </c>
      <c r="G388" s="1" t="s">
        <v>3</v>
      </c>
      <c r="H388" s="1">
        <v>553755</v>
      </c>
      <c r="I388" t="s">
        <v>467</v>
      </c>
      <c r="J388" s="110">
        <v>327332</v>
      </c>
      <c r="K388" s="4" t="s">
        <v>545</v>
      </c>
      <c r="L388" s="4">
        <v>22.18</v>
      </c>
      <c r="M388" s="4">
        <v>12.8</v>
      </c>
      <c r="N388">
        <v>0.88</v>
      </c>
    </row>
    <row r="389" spans="2:14" x14ac:dyDescent="0.2">
      <c r="B389" s="696">
        <v>42601.404386574075</v>
      </c>
      <c r="C389" s="1" t="s">
        <v>408</v>
      </c>
      <c r="E389" t="s">
        <v>225</v>
      </c>
      <c r="F389" t="s">
        <v>305</v>
      </c>
      <c r="G389" s="1" t="s">
        <v>3</v>
      </c>
      <c r="H389" s="1">
        <v>553755</v>
      </c>
      <c r="I389" t="s">
        <v>467</v>
      </c>
      <c r="J389" s="110">
        <v>327329</v>
      </c>
      <c r="K389" s="4" t="s">
        <v>546</v>
      </c>
      <c r="L389" s="4">
        <v>21.34</v>
      </c>
      <c r="M389" s="4">
        <v>13.7</v>
      </c>
      <c r="N389">
        <v>0.86</v>
      </c>
    </row>
    <row r="390" spans="2:14" x14ac:dyDescent="0.2">
      <c r="B390" s="696">
        <v>42601.464768518519</v>
      </c>
      <c r="C390" s="1" t="s">
        <v>408</v>
      </c>
      <c r="E390" t="s">
        <v>225</v>
      </c>
      <c r="F390" t="s">
        <v>305</v>
      </c>
      <c r="G390" s="1" t="s">
        <v>3</v>
      </c>
      <c r="H390" s="1">
        <v>553755</v>
      </c>
      <c r="I390" t="s">
        <v>467</v>
      </c>
      <c r="J390" s="110">
        <v>309860</v>
      </c>
      <c r="K390" s="4" t="s">
        <v>549</v>
      </c>
      <c r="L390" s="4">
        <v>23.64</v>
      </c>
      <c r="M390" s="4">
        <v>13.4</v>
      </c>
      <c r="N390">
        <v>0.8</v>
      </c>
    </row>
    <row r="391" spans="2:14" x14ac:dyDescent="0.2">
      <c r="B391" s="696">
        <v>42601.473668981482</v>
      </c>
      <c r="C391" s="1" t="s">
        <v>408</v>
      </c>
      <c r="E391" t="s">
        <v>225</v>
      </c>
      <c r="F391" t="s">
        <v>305</v>
      </c>
      <c r="G391" s="1" t="s">
        <v>3</v>
      </c>
      <c r="H391" s="1">
        <v>553755</v>
      </c>
      <c r="I391" t="s">
        <v>467</v>
      </c>
      <c r="J391" s="110">
        <v>309861</v>
      </c>
      <c r="K391" s="4" t="s">
        <v>550</v>
      </c>
      <c r="L391" s="4">
        <v>23.12</v>
      </c>
      <c r="M391" s="4">
        <v>13.4</v>
      </c>
      <c r="N391">
        <v>1.18</v>
      </c>
    </row>
    <row r="392" spans="2:14" x14ac:dyDescent="0.2">
      <c r="B392" s="696">
        <v>42601.727731481478</v>
      </c>
      <c r="C392" s="1" t="s">
        <v>408</v>
      </c>
      <c r="E392" t="s">
        <v>225</v>
      </c>
      <c r="F392" t="s">
        <v>305</v>
      </c>
      <c r="G392" s="1" t="s">
        <v>3</v>
      </c>
      <c r="H392" s="1">
        <v>553755</v>
      </c>
      <c r="I392" t="s">
        <v>467</v>
      </c>
      <c r="J392" s="110">
        <v>354879</v>
      </c>
      <c r="K392" s="4" t="s">
        <v>473</v>
      </c>
      <c r="L392" s="4">
        <v>25.3</v>
      </c>
      <c r="M392" s="4">
        <v>12.7</v>
      </c>
      <c r="N392">
        <v>0.8</v>
      </c>
    </row>
    <row r="393" spans="2:14" x14ac:dyDescent="0.2">
      <c r="B393" s="696">
        <v>42601.740486111114</v>
      </c>
      <c r="C393" s="1" t="s">
        <v>408</v>
      </c>
      <c r="E393" t="s">
        <v>225</v>
      </c>
      <c r="F393" t="s">
        <v>305</v>
      </c>
      <c r="G393" s="1" t="s">
        <v>3</v>
      </c>
      <c r="H393" s="1">
        <v>553755</v>
      </c>
      <c r="I393" t="s">
        <v>467</v>
      </c>
      <c r="J393" s="110">
        <v>355313</v>
      </c>
      <c r="K393" s="4" t="s">
        <v>554</v>
      </c>
      <c r="L393" s="4">
        <v>22.02</v>
      </c>
      <c r="M393" s="4">
        <v>10.9</v>
      </c>
      <c r="N393">
        <v>0.86</v>
      </c>
    </row>
    <row r="394" spans="2:14" x14ac:dyDescent="0.2">
      <c r="B394" s="696">
        <v>42601.746527777781</v>
      </c>
      <c r="C394" s="1" t="s">
        <v>408</v>
      </c>
      <c r="E394" t="s">
        <v>225</v>
      </c>
      <c r="F394" t="s">
        <v>305</v>
      </c>
      <c r="G394" s="1" t="s">
        <v>3</v>
      </c>
      <c r="H394" s="1">
        <v>553755</v>
      </c>
      <c r="I394" t="s">
        <v>467</v>
      </c>
      <c r="J394" s="110">
        <v>354880</v>
      </c>
      <c r="K394" s="4" t="s">
        <v>555</v>
      </c>
      <c r="L394" s="4">
        <v>21</v>
      </c>
      <c r="M394" s="4">
        <v>12.5</v>
      </c>
      <c r="N394">
        <v>0.8</v>
      </c>
    </row>
    <row r="395" spans="2:14" x14ac:dyDescent="0.2">
      <c r="B395" s="696">
        <v>42601.753657407404</v>
      </c>
      <c r="C395" s="1" t="s">
        <v>408</v>
      </c>
      <c r="E395" t="s">
        <v>225</v>
      </c>
      <c r="F395" t="s">
        <v>305</v>
      </c>
      <c r="G395" s="1" t="s">
        <v>3</v>
      </c>
      <c r="H395" s="1">
        <v>553755</v>
      </c>
      <c r="I395" t="s">
        <v>467</v>
      </c>
      <c r="J395" s="110">
        <v>354877</v>
      </c>
      <c r="K395" s="4" t="s">
        <v>556</v>
      </c>
      <c r="L395" s="4">
        <v>23.9</v>
      </c>
      <c r="M395" s="4">
        <v>12.5</v>
      </c>
      <c r="N395">
        <v>0.9</v>
      </c>
    </row>
    <row r="396" spans="2:14" x14ac:dyDescent="0.2">
      <c r="B396" s="696">
        <v>42601.759745370371</v>
      </c>
      <c r="C396" s="1" t="s">
        <v>408</v>
      </c>
      <c r="E396" t="s">
        <v>225</v>
      </c>
      <c r="F396" t="s">
        <v>305</v>
      </c>
      <c r="G396" s="1" t="s">
        <v>3</v>
      </c>
      <c r="H396" s="1">
        <v>553755</v>
      </c>
      <c r="I396" t="s">
        <v>467</v>
      </c>
      <c r="J396" s="110">
        <v>354878</v>
      </c>
      <c r="K396" s="4" t="s">
        <v>557</v>
      </c>
      <c r="L396" s="4">
        <v>24.2</v>
      </c>
      <c r="M396" s="4">
        <v>12.5</v>
      </c>
      <c r="N396">
        <v>0.78</v>
      </c>
    </row>
    <row r="397" spans="2:14" x14ac:dyDescent="0.2">
      <c r="B397" s="696">
        <v>42601.775439814817</v>
      </c>
      <c r="C397" s="1" t="s">
        <v>408</v>
      </c>
      <c r="E397" t="s">
        <v>225</v>
      </c>
      <c r="F397" t="s">
        <v>305</v>
      </c>
      <c r="G397" s="1" t="s">
        <v>3</v>
      </c>
      <c r="H397" s="1">
        <v>553755</v>
      </c>
      <c r="I397" t="s">
        <v>467</v>
      </c>
      <c r="J397" s="110">
        <v>354927</v>
      </c>
      <c r="K397" s="4" t="s">
        <v>558</v>
      </c>
      <c r="L397" s="4">
        <v>23.76</v>
      </c>
      <c r="M397" s="4">
        <v>13.1</v>
      </c>
      <c r="N397">
        <v>0.92</v>
      </c>
    </row>
    <row r="398" spans="2:14" x14ac:dyDescent="0.2">
      <c r="B398" s="696">
        <v>42601.782986111109</v>
      </c>
      <c r="C398" s="1" t="s">
        <v>408</v>
      </c>
      <c r="E398" t="s">
        <v>225</v>
      </c>
      <c r="F398" t="s">
        <v>305</v>
      </c>
      <c r="G398" s="1" t="s">
        <v>3</v>
      </c>
      <c r="H398" s="1">
        <v>553755</v>
      </c>
      <c r="I398" t="s">
        <v>467</v>
      </c>
      <c r="J398" s="110">
        <v>354926</v>
      </c>
      <c r="K398" s="4" t="s">
        <v>559</v>
      </c>
      <c r="L398" s="4">
        <v>24.1</v>
      </c>
      <c r="M398" s="4">
        <v>13.2</v>
      </c>
      <c r="N398">
        <v>1.3</v>
      </c>
    </row>
    <row r="399" spans="2:14" x14ac:dyDescent="0.2">
      <c r="B399" s="696">
        <v>42601.799803240741</v>
      </c>
      <c r="C399" s="1" t="s">
        <v>408</v>
      </c>
      <c r="E399" t="s">
        <v>225</v>
      </c>
      <c r="F399" t="s">
        <v>305</v>
      </c>
      <c r="G399" s="1" t="s">
        <v>3</v>
      </c>
      <c r="H399" s="1">
        <v>553755</v>
      </c>
      <c r="I399" t="s">
        <v>467</v>
      </c>
      <c r="J399" s="110">
        <v>354928</v>
      </c>
      <c r="K399" s="4" t="s">
        <v>560</v>
      </c>
      <c r="L399" s="4">
        <v>25.08</v>
      </c>
      <c r="M399" s="4">
        <v>13</v>
      </c>
      <c r="N399">
        <v>1.08</v>
      </c>
    </row>
    <row r="400" spans="2:14" x14ac:dyDescent="0.2">
      <c r="B400" s="696">
        <v>42601.871874999997</v>
      </c>
      <c r="C400" s="1" t="s">
        <v>408</v>
      </c>
      <c r="E400" t="s">
        <v>225</v>
      </c>
      <c r="F400" t="s">
        <v>305</v>
      </c>
      <c r="G400" s="1" t="s">
        <v>3</v>
      </c>
      <c r="H400" s="1">
        <v>553755</v>
      </c>
      <c r="I400" t="s">
        <v>467</v>
      </c>
      <c r="J400" s="110">
        <v>354779</v>
      </c>
      <c r="K400" s="4" t="s">
        <v>561</v>
      </c>
      <c r="L400" s="4">
        <v>21.42</v>
      </c>
      <c r="M400" s="4">
        <v>13.3</v>
      </c>
      <c r="N400">
        <v>1.42</v>
      </c>
    </row>
    <row r="401" spans="2:14" x14ac:dyDescent="0.2">
      <c r="B401" s="696">
        <v>42601.880509259259</v>
      </c>
      <c r="C401" s="1" t="s">
        <v>408</v>
      </c>
      <c r="E401" t="s">
        <v>225</v>
      </c>
      <c r="F401" t="s">
        <v>305</v>
      </c>
      <c r="G401" s="1" t="s">
        <v>3</v>
      </c>
      <c r="H401" s="1">
        <v>553755</v>
      </c>
      <c r="I401" t="s">
        <v>467</v>
      </c>
      <c r="J401" s="110">
        <v>354968</v>
      </c>
      <c r="K401" s="4" t="s">
        <v>562</v>
      </c>
      <c r="L401" s="4">
        <v>24.7</v>
      </c>
      <c r="M401" s="4">
        <v>11.6</v>
      </c>
      <c r="N401">
        <v>0.8</v>
      </c>
    </row>
    <row r="402" spans="2:14" x14ac:dyDescent="0.2">
      <c r="B402" s="696">
        <v>42601.897905092592</v>
      </c>
      <c r="C402" s="1" t="s">
        <v>408</v>
      </c>
      <c r="E402" t="s">
        <v>225</v>
      </c>
      <c r="F402" t="s">
        <v>305</v>
      </c>
      <c r="G402" s="1" t="s">
        <v>3</v>
      </c>
      <c r="H402" s="1">
        <v>553755</v>
      </c>
      <c r="I402" t="s">
        <v>467</v>
      </c>
      <c r="J402" s="110">
        <v>354888</v>
      </c>
      <c r="K402" s="4" t="s">
        <v>417</v>
      </c>
      <c r="L402" s="4">
        <v>24.44</v>
      </c>
      <c r="M402" s="4">
        <v>12.4</v>
      </c>
      <c r="N402">
        <v>0.78</v>
      </c>
    </row>
    <row r="403" spans="2:14" x14ac:dyDescent="0.2">
      <c r="B403" s="696">
        <v>42601.972858796296</v>
      </c>
      <c r="C403" s="1" t="s">
        <v>408</v>
      </c>
      <c r="E403" t="s">
        <v>225</v>
      </c>
      <c r="F403" t="s">
        <v>305</v>
      </c>
      <c r="G403" s="1" t="s">
        <v>3</v>
      </c>
      <c r="H403" s="1">
        <v>553755</v>
      </c>
      <c r="I403" t="s">
        <v>467</v>
      </c>
      <c r="J403" s="110">
        <v>354887</v>
      </c>
      <c r="K403" s="4" t="s">
        <v>484</v>
      </c>
      <c r="L403" s="4">
        <v>25.76</v>
      </c>
      <c r="M403" s="4">
        <v>12.9</v>
      </c>
      <c r="N403">
        <v>0.96</v>
      </c>
    </row>
    <row r="404" spans="2:14" x14ac:dyDescent="0.2">
      <c r="B404" s="696">
        <v>42602.161400462966</v>
      </c>
      <c r="C404" s="1" t="s">
        <v>408</v>
      </c>
      <c r="E404" t="s">
        <v>225</v>
      </c>
      <c r="F404" t="s">
        <v>305</v>
      </c>
      <c r="G404" s="1" t="s">
        <v>3</v>
      </c>
      <c r="H404" s="1">
        <v>553755</v>
      </c>
      <c r="I404" t="s">
        <v>467</v>
      </c>
      <c r="J404" s="110">
        <v>354605</v>
      </c>
      <c r="K404" s="4" t="s">
        <v>563</v>
      </c>
      <c r="L404" s="4">
        <v>23.54</v>
      </c>
      <c r="M404" s="4">
        <v>11.3</v>
      </c>
      <c r="N404">
        <v>0.98</v>
      </c>
    </row>
    <row r="405" spans="2:14" x14ac:dyDescent="0.2">
      <c r="B405" s="696">
        <v>42602.306122685186</v>
      </c>
      <c r="C405" s="1" t="s">
        <v>408</v>
      </c>
      <c r="E405" t="s">
        <v>225</v>
      </c>
      <c r="F405" t="s">
        <v>305</v>
      </c>
      <c r="G405" s="1" t="s">
        <v>3</v>
      </c>
      <c r="H405" s="1">
        <v>553755</v>
      </c>
      <c r="I405" t="s">
        <v>467</v>
      </c>
      <c r="J405" s="110">
        <v>354611</v>
      </c>
      <c r="K405" s="4" t="s">
        <v>569</v>
      </c>
      <c r="L405" s="4">
        <v>20.92</v>
      </c>
      <c r="M405" s="4">
        <v>11.6</v>
      </c>
      <c r="N405">
        <v>1.66</v>
      </c>
    </row>
    <row r="406" spans="2:14" x14ac:dyDescent="0.2">
      <c r="B406" s="696">
        <v>42602.452557870369</v>
      </c>
      <c r="C406" s="1" t="s">
        <v>408</v>
      </c>
      <c r="E406" t="s">
        <v>225</v>
      </c>
      <c r="F406" t="s">
        <v>305</v>
      </c>
      <c r="G406" s="1" t="s">
        <v>3</v>
      </c>
      <c r="H406" s="1">
        <v>553755</v>
      </c>
      <c r="I406" t="s">
        <v>467</v>
      </c>
      <c r="J406" s="110">
        <v>354972</v>
      </c>
      <c r="K406" s="4" t="s">
        <v>570</v>
      </c>
      <c r="L406" s="4">
        <v>24.86</v>
      </c>
      <c r="M406" s="4">
        <v>13.6</v>
      </c>
      <c r="N406">
        <v>1.7</v>
      </c>
    </row>
    <row r="407" spans="2:14" x14ac:dyDescent="0.2">
      <c r="B407" s="696">
        <v>42602.457696759258</v>
      </c>
      <c r="C407" s="1" t="s">
        <v>408</v>
      </c>
      <c r="E407" t="s">
        <v>225</v>
      </c>
      <c r="F407" t="s">
        <v>305</v>
      </c>
      <c r="G407" s="1" t="s">
        <v>3</v>
      </c>
      <c r="H407" s="1">
        <v>553755</v>
      </c>
      <c r="I407" t="s">
        <v>467</v>
      </c>
      <c r="J407" s="110">
        <v>354971</v>
      </c>
      <c r="K407" s="4" t="s">
        <v>571</v>
      </c>
      <c r="L407" s="4">
        <v>24.6</v>
      </c>
      <c r="M407" s="4">
        <v>13.6</v>
      </c>
      <c r="N407">
        <v>1.8</v>
      </c>
    </row>
    <row r="408" spans="2:14" x14ac:dyDescent="0.2">
      <c r="B408" s="696">
        <v>42602.764652777776</v>
      </c>
      <c r="C408" s="1" t="s">
        <v>408</v>
      </c>
      <c r="E408" t="s">
        <v>225</v>
      </c>
      <c r="F408" t="s">
        <v>305</v>
      </c>
      <c r="G408" s="1" t="s">
        <v>3</v>
      </c>
      <c r="H408" s="1">
        <v>553755</v>
      </c>
      <c r="I408" t="s">
        <v>467</v>
      </c>
      <c r="J408" s="110">
        <v>354885</v>
      </c>
      <c r="K408" s="4" t="s">
        <v>574</v>
      </c>
      <c r="L408" s="4">
        <v>25.16</v>
      </c>
      <c r="M408" s="4">
        <v>12.8</v>
      </c>
      <c r="N408">
        <v>1.3</v>
      </c>
    </row>
    <row r="409" spans="2:14" x14ac:dyDescent="0.2">
      <c r="B409" s="696">
        <v>42603.153657407405</v>
      </c>
      <c r="C409" s="1" t="s">
        <v>408</v>
      </c>
      <c r="E409" t="s">
        <v>225</v>
      </c>
      <c r="F409" t="s">
        <v>305</v>
      </c>
      <c r="G409" s="1" t="s">
        <v>3</v>
      </c>
      <c r="H409" s="1">
        <v>553755</v>
      </c>
      <c r="I409" t="s">
        <v>467</v>
      </c>
      <c r="J409" s="110">
        <v>354798</v>
      </c>
      <c r="K409" s="4" t="s">
        <v>554</v>
      </c>
      <c r="L409" s="4">
        <v>25.3</v>
      </c>
      <c r="M409" s="4">
        <v>11.7</v>
      </c>
      <c r="N409">
        <v>0.78</v>
      </c>
    </row>
    <row r="410" spans="2:14" x14ac:dyDescent="0.2">
      <c r="B410" s="696">
        <v>42603.160162037035</v>
      </c>
      <c r="C410" s="1" t="s">
        <v>408</v>
      </c>
      <c r="E410" t="s">
        <v>225</v>
      </c>
      <c r="F410" t="s">
        <v>305</v>
      </c>
      <c r="G410" s="1" t="s">
        <v>3</v>
      </c>
      <c r="H410" s="1">
        <v>553755</v>
      </c>
      <c r="I410" t="s">
        <v>467</v>
      </c>
      <c r="J410" s="110">
        <v>354800</v>
      </c>
      <c r="K410" s="4" t="s">
        <v>575</v>
      </c>
      <c r="L410" s="4">
        <v>25.5</v>
      </c>
      <c r="M410" s="4">
        <v>12.1</v>
      </c>
      <c r="N410">
        <v>0.94</v>
      </c>
    </row>
    <row r="411" spans="2:14" x14ac:dyDescent="0.2">
      <c r="B411" s="696">
        <v>42603.167222222219</v>
      </c>
      <c r="C411" s="1" t="s">
        <v>408</v>
      </c>
      <c r="E411" t="s">
        <v>225</v>
      </c>
      <c r="F411" t="s">
        <v>305</v>
      </c>
      <c r="G411" s="1" t="s">
        <v>3</v>
      </c>
      <c r="H411" s="1">
        <v>553755</v>
      </c>
      <c r="I411" t="s">
        <v>467</v>
      </c>
      <c r="J411" s="110">
        <v>354625</v>
      </c>
      <c r="K411" s="4" t="s">
        <v>576</v>
      </c>
      <c r="L411" s="4">
        <v>22.88</v>
      </c>
      <c r="M411" s="4">
        <v>13.3</v>
      </c>
      <c r="N411">
        <v>1.02</v>
      </c>
    </row>
    <row r="412" spans="2:14" x14ac:dyDescent="0.2">
      <c r="B412" s="696">
        <v>42603.177858796298</v>
      </c>
      <c r="C412" s="1" t="s">
        <v>408</v>
      </c>
      <c r="E412" t="s">
        <v>225</v>
      </c>
      <c r="F412" t="s">
        <v>305</v>
      </c>
      <c r="G412" s="1" t="s">
        <v>3</v>
      </c>
      <c r="H412" s="1">
        <v>553755</v>
      </c>
      <c r="I412" t="s">
        <v>467</v>
      </c>
      <c r="J412" s="110">
        <v>354884</v>
      </c>
      <c r="K412" s="4" t="s">
        <v>415</v>
      </c>
      <c r="L412" s="4">
        <v>26.2</v>
      </c>
      <c r="M412" s="4">
        <v>12.8</v>
      </c>
      <c r="N412">
        <v>0.9</v>
      </c>
    </row>
    <row r="413" spans="2:14" x14ac:dyDescent="0.2">
      <c r="B413" s="696">
        <v>42603.49726851852</v>
      </c>
      <c r="C413" s="1" t="s">
        <v>408</v>
      </c>
      <c r="E413" t="s">
        <v>225</v>
      </c>
      <c r="F413" t="s">
        <v>305</v>
      </c>
      <c r="G413" s="1" t="s">
        <v>3</v>
      </c>
      <c r="H413" s="1">
        <v>553755</v>
      </c>
      <c r="I413" t="s">
        <v>467</v>
      </c>
      <c r="J413" s="110">
        <v>354501</v>
      </c>
      <c r="K413" s="4" t="s">
        <v>474</v>
      </c>
      <c r="L413" s="4">
        <v>22.82</v>
      </c>
      <c r="M413" s="4">
        <v>12.6</v>
      </c>
      <c r="N413">
        <v>1.56</v>
      </c>
    </row>
    <row r="414" spans="2:14" x14ac:dyDescent="0.2">
      <c r="B414" s="696">
        <v>42604.176018518519</v>
      </c>
      <c r="C414" s="1" t="s">
        <v>408</v>
      </c>
      <c r="E414" t="s">
        <v>225</v>
      </c>
      <c r="F414" t="s">
        <v>305</v>
      </c>
      <c r="G414" s="1" t="s">
        <v>3</v>
      </c>
      <c r="H414" s="1">
        <v>553755</v>
      </c>
      <c r="I414" t="s">
        <v>467</v>
      </c>
      <c r="J414" s="110">
        <v>354911</v>
      </c>
      <c r="K414" s="4" t="s">
        <v>581</v>
      </c>
      <c r="L414" s="4">
        <v>24.1</v>
      </c>
      <c r="M414" s="4">
        <v>12.6</v>
      </c>
      <c r="N414">
        <v>2</v>
      </c>
    </row>
    <row r="415" spans="2:14" x14ac:dyDescent="0.2">
      <c r="B415" s="749">
        <v>42605</v>
      </c>
      <c r="C415" s="1" t="s">
        <v>644</v>
      </c>
      <c r="D415" t="s">
        <v>144</v>
      </c>
      <c r="E415" t="s">
        <v>225</v>
      </c>
      <c r="F415" s="750" t="s">
        <v>705</v>
      </c>
      <c r="G415" s="1" t="s">
        <v>3</v>
      </c>
      <c r="H415" s="1">
        <v>552518</v>
      </c>
      <c r="I415" t="s">
        <v>643</v>
      </c>
      <c r="J415" s="110">
        <v>47220462</v>
      </c>
      <c r="K415" s="4">
        <v>95713301</v>
      </c>
      <c r="L415" s="4">
        <v>69.400000000000006</v>
      </c>
    </row>
    <row r="416" spans="2:14" x14ac:dyDescent="0.2">
      <c r="B416" s="749">
        <v>42605</v>
      </c>
      <c r="C416" s="1" t="s">
        <v>644</v>
      </c>
      <c r="D416" t="s">
        <v>144</v>
      </c>
      <c r="E416" t="s">
        <v>225</v>
      </c>
      <c r="F416" s="750" t="s">
        <v>705</v>
      </c>
      <c r="G416" s="1" t="s">
        <v>3</v>
      </c>
      <c r="H416" s="1">
        <v>552518</v>
      </c>
      <c r="I416" t="s">
        <v>643</v>
      </c>
      <c r="J416" s="110">
        <v>47220413</v>
      </c>
      <c r="K416" s="4">
        <v>95130126</v>
      </c>
      <c r="L416" s="4">
        <v>69</v>
      </c>
    </row>
    <row r="417" spans="2:14" x14ac:dyDescent="0.2">
      <c r="B417" s="749">
        <v>42605</v>
      </c>
      <c r="C417" s="1" t="s">
        <v>644</v>
      </c>
      <c r="D417" t="s">
        <v>144</v>
      </c>
      <c r="E417" t="s">
        <v>225</v>
      </c>
      <c r="F417" s="750" t="s">
        <v>705</v>
      </c>
      <c r="G417" s="1" t="s">
        <v>3</v>
      </c>
      <c r="H417" s="1">
        <v>552518</v>
      </c>
      <c r="I417" t="s">
        <v>643</v>
      </c>
      <c r="J417" s="110">
        <v>47220413</v>
      </c>
      <c r="K417" s="4">
        <v>95107868</v>
      </c>
      <c r="L417" s="4">
        <v>69.2</v>
      </c>
    </row>
    <row r="418" spans="2:14" x14ac:dyDescent="0.2">
      <c r="B418" s="749">
        <v>42605</v>
      </c>
      <c r="C418" s="1" t="s">
        <v>644</v>
      </c>
      <c r="D418" t="s">
        <v>144</v>
      </c>
      <c r="E418" t="s">
        <v>225</v>
      </c>
      <c r="F418" s="750" t="s">
        <v>705</v>
      </c>
      <c r="G418" s="1" t="s">
        <v>3</v>
      </c>
      <c r="H418" s="1">
        <v>552518</v>
      </c>
      <c r="I418" t="s">
        <v>643</v>
      </c>
      <c r="J418" s="110">
        <v>47220413</v>
      </c>
      <c r="K418" s="4">
        <v>95191177</v>
      </c>
      <c r="L418" s="4">
        <v>70</v>
      </c>
    </row>
    <row r="419" spans="2:14" x14ac:dyDescent="0.2">
      <c r="B419" s="749">
        <v>42605</v>
      </c>
      <c r="C419" s="1" t="s">
        <v>644</v>
      </c>
      <c r="D419" t="s">
        <v>144</v>
      </c>
      <c r="E419" t="s">
        <v>225</v>
      </c>
      <c r="F419" s="750" t="s">
        <v>705</v>
      </c>
      <c r="G419" s="1" t="s">
        <v>3</v>
      </c>
      <c r="H419" s="1">
        <v>552518</v>
      </c>
      <c r="I419" t="s">
        <v>643</v>
      </c>
      <c r="J419" s="110">
        <v>47213053</v>
      </c>
      <c r="K419" s="4">
        <v>95798633</v>
      </c>
      <c r="L419" s="4">
        <v>68.849999999999994</v>
      </c>
    </row>
    <row r="420" spans="2:14" x14ac:dyDescent="0.2">
      <c r="B420" s="749">
        <v>42605</v>
      </c>
      <c r="C420" s="1" t="s">
        <v>644</v>
      </c>
      <c r="D420" t="s">
        <v>144</v>
      </c>
      <c r="E420" t="s">
        <v>225</v>
      </c>
      <c r="F420" s="750" t="s">
        <v>705</v>
      </c>
      <c r="G420" s="1" t="s">
        <v>3</v>
      </c>
      <c r="H420" s="1">
        <v>552518</v>
      </c>
      <c r="I420" t="s">
        <v>643</v>
      </c>
      <c r="J420" s="110">
        <v>47213053</v>
      </c>
      <c r="K420" s="4">
        <v>95642435</v>
      </c>
      <c r="L420" s="4">
        <v>67.95</v>
      </c>
    </row>
    <row r="421" spans="2:14" x14ac:dyDescent="0.2">
      <c r="B421" s="749">
        <v>42605</v>
      </c>
      <c r="C421" s="1" t="s">
        <v>644</v>
      </c>
      <c r="D421" t="s">
        <v>144</v>
      </c>
      <c r="E421" t="s">
        <v>225</v>
      </c>
      <c r="F421" s="750" t="s">
        <v>705</v>
      </c>
      <c r="G421" s="1" t="s">
        <v>3</v>
      </c>
      <c r="H421" s="1">
        <v>552518</v>
      </c>
      <c r="I421" t="s">
        <v>643</v>
      </c>
      <c r="J421" s="110">
        <v>47213053</v>
      </c>
      <c r="K421" s="4">
        <v>95681987</v>
      </c>
      <c r="L421" s="4">
        <v>67.75</v>
      </c>
    </row>
    <row r="422" spans="2:14" x14ac:dyDescent="0.2">
      <c r="B422" s="749">
        <v>42605</v>
      </c>
      <c r="C422" s="1" t="s">
        <v>644</v>
      </c>
      <c r="D422" t="s">
        <v>144</v>
      </c>
      <c r="E422" t="s">
        <v>225</v>
      </c>
      <c r="F422" s="750" t="s">
        <v>705</v>
      </c>
      <c r="G422" s="1" t="s">
        <v>3</v>
      </c>
      <c r="H422" s="1">
        <v>552518</v>
      </c>
      <c r="I422" t="s">
        <v>643</v>
      </c>
      <c r="J422" s="110">
        <v>47213053</v>
      </c>
      <c r="K422" s="4">
        <v>95811253</v>
      </c>
      <c r="L422" s="4">
        <v>68.8</v>
      </c>
    </row>
    <row r="423" spans="2:14" x14ac:dyDescent="0.2">
      <c r="B423" s="696">
        <v>42605.517199074071</v>
      </c>
      <c r="C423" s="1" t="s">
        <v>625</v>
      </c>
      <c r="E423" t="s">
        <v>225</v>
      </c>
      <c r="F423" t="s">
        <v>305</v>
      </c>
      <c r="G423" s="1" t="s">
        <v>3</v>
      </c>
      <c r="H423" s="1">
        <v>553620</v>
      </c>
      <c r="I423" t="s">
        <v>467</v>
      </c>
      <c r="J423" s="110">
        <v>47189444</v>
      </c>
      <c r="K423" s="4">
        <v>95350369</v>
      </c>
      <c r="L423" s="4">
        <v>64.75</v>
      </c>
      <c r="M423" s="4">
        <v>11.5</v>
      </c>
      <c r="N423">
        <v>1.1000000000000001</v>
      </c>
    </row>
    <row r="424" spans="2:14" x14ac:dyDescent="0.2">
      <c r="B424" s="696">
        <v>42605.518206018518</v>
      </c>
      <c r="C424" s="1" t="s">
        <v>625</v>
      </c>
      <c r="E424" t="s">
        <v>225</v>
      </c>
      <c r="F424" t="s">
        <v>305</v>
      </c>
      <c r="G424" s="1" t="s">
        <v>3</v>
      </c>
      <c r="H424" s="1">
        <v>553620</v>
      </c>
      <c r="I424" t="s">
        <v>467</v>
      </c>
      <c r="J424" s="110">
        <v>47189444</v>
      </c>
      <c r="K424" s="4">
        <v>95620704</v>
      </c>
      <c r="L424" s="4">
        <v>69.8</v>
      </c>
      <c r="M424" s="4">
        <v>11.6</v>
      </c>
      <c r="N424">
        <v>1.1599999999999999</v>
      </c>
    </row>
    <row r="425" spans="2:14" x14ac:dyDescent="0.2">
      <c r="B425" s="696">
        <v>42605.518645833334</v>
      </c>
      <c r="C425" s="1" t="s">
        <v>625</v>
      </c>
      <c r="E425" t="s">
        <v>225</v>
      </c>
      <c r="F425" t="s">
        <v>305</v>
      </c>
      <c r="G425" s="1" t="s">
        <v>3</v>
      </c>
      <c r="H425" s="1">
        <v>553620</v>
      </c>
      <c r="I425" t="s">
        <v>467</v>
      </c>
      <c r="J425" s="110">
        <v>47189444</v>
      </c>
      <c r="K425" s="4">
        <v>95352886</v>
      </c>
      <c r="L425" s="4">
        <v>69.150000000000006</v>
      </c>
      <c r="M425" s="4">
        <v>11.5</v>
      </c>
      <c r="N425">
        <v>1.08</v>
      </c>
    </row>
    <row r="426" spans="2:14" x14ac:dyDescent="0.2">
      <c r="B426" s="696">
        <v>42605.519525462965</v>
      </c>
      <c r="C426" s="1" t="s">
        <v>625</v>
      </c>
      <c r="E426" t="s">
        <v>225</v>
      </c>
      <c r="F426" t="s">
        <v>305</v>
      </c>
      <c r="G426" s="1" t="s">
        <v>3</v>
      </c>
      <c r="H426" s="1">
        <v>553620</v>
      </c>
      <c r="I426" t="s">
        <v>467</v>
      </c>
      <c r="J426" s="110">
        <v>47184056</v>
      </c>
      <c r="K426" s="4">
        <v>95648952</v>
      </c>
      <c r="L426" s="4">
        <v>68.8</v>
      </c>
      <c r="M426" s="4">
        <v>11.5</v>
      </c>
      <c r="N426">
        <v>1.1399999999999999</v>
      </c>
    </row>
    <row r="427" spans="2:14" x14ac:dyDescent="0.2">
      <c r="B427" s="696">
        <v>42605.519942129627</v>
      </c>
      <c r="C427" s="1" t="s">
        <v>625</v>
      </c>
      <c r="E427" t="s">
        <v>225</v>
      </c>
      <c r="F427" t="s">
        <v>305</v>
      </c>
      <c r="G427" s="1" t="s">
        <v>3</v>
      </c>
      <c r="H427" s="1">
        <v>553620</v>
      </c>
      <c r="I427" t="s">
        <v>467</v>
      </c>
      <c r="J427" s="110">
        <v>47184056</v>
      </c>
      <c r="K427" s="4">
        <v>95391413</v>
      </c>
      <c r="L427" s="4">
        <v>70.349999999999994</v>
      </c>
      <c r="M427" s="4">
        <v>11.6</v>
      </c>
      <c r="N427">
        <v>1.1399999999999999</v>
      </c>
    </row>
    <row r="428" spans="2:14" x14ac:dyDescent="0.2">
      <c r="B428" s="696">
        <v>42605.520578703705</v>
      </c>
      <c r="C428" s="1" t="s">
        <v>625</v>
      </c>
      <c r="E428" t="s">
        <v>225</v>
      </c>
      <c r="F428" t="s">
        <v>305</v>
      </c>
      <c r="G428" s="1" t="s">
        <v>3</v>
      </c>
      <c r="H428" s="1">
        <v>553620</v>
      </c>
      <c r="I428" t="s">
        <v>467</v>
      </c>
      <c r="J428" s="110">
        <v>47184056</v>
      </c>
      <c r="K428" s="4">
        <v>95388856</v>
      </c>
      <c r="L428" s="4">
        <v>69.75</v>
      </c>
      <c r="M428" s="4">
        <v>11.5</v>
      </c>
      <c r="N428">
        <v>1.08</v>
      </c>
    </row>
    <row r="429" spans="2:14" x14ac:dyDescent="0.2">
      <c r="B429" s="696">
        <v>42605.521180555559</v>
      </c>
      <c r="C429" s="1" t="s">
        <v>625</v>
      </c>
      <c r="E429" t="s">
        <v>225</v>
      </c>
      <c r="F429" t="s">
        <v>305</v>
      </c>
      <c r="G429" s="1" t="s">
        <v>3</v>
      </c>
      <c r="H429" s="1">
        <v>553620</v>
      </c>
      <c r="I429" t="s">
        <v>467</v>
      </c>
      <c r="J429" s="110">
        <v>47184056</v>
      </c>
      <c r="K429" s="4">
        <v>95332268</v>
      </c>
      <c r="L429" s="4">
        <v>70.25</v>
      </c>
      <c r="M429" s="4">
        <v>11.6</v>
      </c>
      <c r="N429">
        <v>1.1399999999999999</v>
      </c>
    </row>
    <row r="430" spans="2:14" x14ac:dyDescent="0.2">
      <c r="B430" s="696">
        <v>42605.522476851853</v>
      </c>
      <c r="C430" s="1" t="s">
        <v>625</v>
      </c>
      <c r="E430" t="s">
        <v>225</v>
      </c>
      <c r="F430" t="s">
        <v>305</v>
      </c>
      <c r="G430" s="1" t="s">
        <v>3</v>
      </c>
      <c r="H430" s="1">
        <v>553620</v>
      </c>
      <c r="I430" t="s">
        <v>467</v>
      </c>
      <c r="J430" s="110">
        <v>47184056</v>
      </c>
      <c r="K430" s="4">
        <v>95799359</v>
      </c>
      <c r="L430" s="4">
        <v>69.05</v>
      </c>
      <c r="M430" s="4">
        <v>11.5</v>
      </c>
      <c r="N430">
        <v>1.1200000000000001</v>
      </c>
    </row>
    <row r="431" spans="2:14" x14ac:dyDescent="0.2">
      <c r="B431" s="696">
        <v>42605.724050925928</v>
      </c>
      <c r="C431" s="1" t="s">
        <v>408</v>
      </c>
      <c r="E431" t="s">
        <v>225</v>
      </c>
      <c r="F431" t="s">
        <v>305</v>
      </c>
      <c r="G431" s="1" t="s">
        <v>3</v>
      </c>
      <c r="H431" s="1">
        <v>553759</v>
      </c>
      <c r="I431" t="s">
        <v>467</v>
      </c>
      <c r="J431" s="110">
        <v>333201</v>
      </c>
      <c r="K431" s="4" t="s">
        <v>646</v>
      </c>
      <c r="L431" s="4">
        <v>22.9</v>
      </c>
      <c r="M431" s="4">
        <v>12.2</v>
      </c>
      <c r="N431">
        <v>0.74</v>
      </c>
    </row>
    <row r="432" spans="2:14" x14ac:dyDescent="0.2">
      <c r="B432" s="696">
        <v>42605.867083333331</v>
      </c>
      <c r="C432" s="1" t="s">
        <v>641</v>
      </c>
      <c r="E432" t="s">
        <v>225</v>
      </c>
      <c r="F432" t="s">
        <v>305</v>
      </c>
      <c r="G432" s="1" t="s">
        <v>3</v>
      </c>
      <c r="H432" s="1">
        <v>551438</v>
      </c>
      <c r="I432" t="s">
        <v>467</v>
      </c>
      <c r="J432" s="110">
        <v>43958636</v>
      </c>
      <c r="K432" s="4">
        <v>95693065</v>
      </c>
      <c r="L432" s="4">
        <v>61.45</v>
      </c>
      <c r="M432" s="4">
        <v>14</v>
      </c>
      <c r="N432">
        <v>1.38</v>
      </c>
    </row>
    <row r="433" spans="2:14" x14ac:dyDescent="0.2">
      <c r="B433" s="696">
        <v>42605.888321759259</v>
      </c>
      <c r="C433" s="1" t="s">
        <v>641</v>
      </c>
      <c r="E433" t="s">
        <v>225</v>
      </c>
      <c r="F433" t="s">
        <v>305</v>
      </c>
      <c r="G433" s="1" t="s">
        <v>3</v>
      </c>
      <c r="H433" s="1">
        <v>551438</v>
      </c>
      <c r="I433" t="s">
        <v>467</v>
      </c>
      <c r="J433" s="110">
        <v>43958636</v>
      </c>
      <c r="K433" s="4">
        <v>95523445</v>
      </c>
      <c r="L433" s="4">
        <v>62.15</v>
      </c>
      <c r="M433" s="4">
        <v>14</v>
      </c>
      <c r="N433">
        <v>1.8</v>
      </c>
    </row>
    <row r="434" spans="2:14" x14ac:dyDescent="0.2">
      <c r="B434" s="696">
        <v>42605.889131944445</v>
      </c>
      <c r="C434" s="1" t="s">
        <v>641</v>
      </c>
      <c r="E434" t="s">
        <v>225</v>
      </c>
      <c r="F434" t="s">
        <v>305</v>
      </c>
      <c r="G434" s="1" t="s">
        <v>3</v>
      </c>
      <c r="H434" s="1">
        <v>551438</v>
      </c>
      <c r="I434" t="s">
        <v>467</v>
      </c>
      <c r="J434" s="110">
        <v>43958636</v>
      </c>
      <c r="K434" s="4">
        <v>95523361</v>
      </c>
      <c r="L434" s="4">
        <v>62.2</v>
      </c>
      <c r="M434" s="4">
        <v>14</v>
      </c>
      <c r="N434">
        <v>1.86</v>
      </c>
    </row>
    <row r="435" spans="2:14" x14ac:dyDescent="0.2">
      <c r="B435" s="696">
        <v>42606.244340277779</v>
      </c>
      <c r="C435" s="1" t="s">
        <v>495</v>
      </c>
      <c r="E435" t="s">
        <v>225</v>
      </c>
      <c r="F435" t="s">
        <v>305</v>
      </c>
      <c r="G435" s="1" t="s">
        <v>3</v>
      </c>
      <c r="H435" s="1">
        <v>552936</v>
      </c>
      <c r="I435" t="s">
        <v>467</v>
      </c>
      <c r="J435" s="110">
        <v>600490</v>
      </c>
      <c r="K435" s="4" t="s">
        <v>647</v>
      </c>
      <c r="L435" s="4">
        <v>25.28</v>
      </c>
      <c r="M435" s="4">
        <v>11.5</v>
      </c>
      <c r="N435">
        <v>1.1200000000000001</v>
      </c>
    </row>
    <row r="436" spans="2:14" x14ac:dyDescent="0.2">
      <c r="B436" s="696">
        <v>42606.249618055554</v>
      </c>
      <c r="C436" s="1" t="s">
        <v>408</v>
      </c>
      <c r="E436" t="s">
        <v>225</v>
      </c>
      <c r="F436" t="s">
        <v>305</v>
      </c>
      <c r="G436" s="1" t="s">
        <v>3</v>
      </c>
      <c r="H436" s="1">
        <v>553759</v>
      </c>
      <c r="I436" t="s">
        <v>467</v>
      </c>
      <c r="J436" s="110">
        <v>350773</v>
      </c>
      <c r="K436" s="4" t="s">
        <v>648</v>
      </c>
      <c r="L436" s="4">
        <v>24.82</v>
      </c>
      <c r="M436" s="4">
        <v>12.3</v>
      </c>
      <c r="N436">
        <v>1.26</v>
      </c>
    </row>
    <row r="437" spans="2:14" x14ac:dyDescent="0.2">
      <c r="B437" s="696">
        <v>42606.257071759261</v>
      </c>
      <c r="C437" s="1" t="s">
        <v>408</v>
      </c>
      <c r="E437" t="s">
        <v>225</v>
      </c>
      <c r="F437" t="s">
        <v>305</v>
      </c>
      <c r="G437" s="1" t="s">
        <v>3</v>
      </c>
      <c r="H437" s="1">
        <v>553759</v>
      </c>
      <c r="I437" t="s">
        <v>467</v>
      </c>
      <c r="J437" s="110">
        <v>350775</v>
      </c>
      <c r="K437" s="4" t="s">
        <v>649</v>
      </c>
      <c r="L437" s="4">
        <v>25.04</v>
      </c>
      <c r="M437" s="4">
        <v>11.9</v>
      </c>
      <c r="N437">
        <v>1.32</v>
      </c>
    </row>
    <row r="438" spans="2:14" x14ac:dyDescent="0.2">
      <c r="B438" s="696">
        <v>42606.364490740743</v>
      </c>
      <c r="C438" s="1" t="s">
        <v>495</v>
      </c>
      <c r="E438" t="s">
        <v>225</v>
      </c>
      <c r="F438" t="s">
        <v>305</v>
      </c>
      <c r="G438" s="1" t="s">
        <v>3</v>
      </c>
      <c r="H438" s="1">
        <v>552936</v>
      </c>
      <c r="I438" t="s">
        <v>467</v>
      </c>
      <c r="J438" s="110">
        <v>43936434</v>
      </c>
      <c r="K438" s="4">
        <v>95101416</v>
      </c>
      <c r="L438" s="4">
        <v>70.900000000000006</v>
      </c>
      <c r="M438" s="4">
        <v>11.5</v>
      </c>
      <c r="N438">
        <v>1.02</v>
      </c>
    </row>
    <row r="439" spans="2:14" x14ac:dyDescent="0.2">
      <c r="B439" s="696">
        <v>42606.497847222221</v>
      </c>
      <c r="C439" s="1" t="s">
        <v>640</v>
      </c>
      <c r="E439" t="s">
        <v>225</v>
      </c>
      <c r="F439" t="s">
        <v>305</v>
      </c>
      <c r="G439" s="1" t="s">
        <v>3</v>
      </c>
      <c r="H439" s="1">
        <v>553450</v>
      </c>
      <c r="I439" t="s">
        <v>467</v>
      </c>
      <c r="J439" s="110">
        <v>40217879</v>
      </c>
      <c r="K439" s="4">
        <v>95357356</v>
      </c>
      <c r="L439" s="4">
        <v>64.45</v>
      </c>
      <c r="M439" s="4">
        <v>12.2</v>
      </c>
      <c r="N439">
        <v>1.4</v>
      </c>
    </row>
    <row r="440" spans="2:14" x14ac:dyDescent="0.2">
      <c r="B440" s="696">
        <v>42606.498680555553</v>
      </c>
      <c r="C440" s="1" t="s">
        <v>640</v>
      </c>
      <c r="E440" t="s">
        <v>225</v>
      </c>
      <c r="F440" t="s">
        <v>305</v>
      </c>
      <c r="G440" s="1" t="s">
        <v>3</v>
      </c>
      <c r="H440" s="1">
        <v>553450</v>
      </c>
      <c r="I440" t="s">
        <v>467</v>
      </c>
      <c r="J440" s="110">
        <v>40217879</v>
      </c>
      <c r="K440" s="4">
        <v>95525051</v>
      </c>
      <c r="L440" s="4">
        <v>68.400000000000006</v>
      </c>
      <c r="M440" s="4">
        <v>12.4</v>
      </c>
      <c r="N440">
        <v>1.64</v>
      </c>
    </row>
    <row r="441" spans="2:14" x14ac:dyDescent="0.2">
      <c r="B441" s="696">
        <v>42606.499328703707</v>
      </c>
      <c r="C441" s="1" t="s">
        <v>640</v>
      </c>
      <c r="E441" t="s">
        <v>225</v>
      </c>
      <c r="F441" t="s">
        <v>305</v>
      </c>
      <c r="G441" s="1" t="s">
        <v>3</v>
      </c>
      <c r="H441" s="1">
        <v>553450</v>
      </c>
      <c r="I441" t="s">
        <v>467</v>
      </c>
      <c r="J441" s="110">
        <v>40217879</v>
      </c>
      <c r="K441" s="4">
        <v>95750956</v>
      </c>
      <c r="L441" s="4">
        <v>67.8</v>
      </c>
      <c r="M441" s="4">
        <v>12.3</v>
      </c>
      <c r="N441">
        <v>1.52</v>
      </c>
    </row>
    <row r="442" spans="2:14" x14ac:dyDescent="0.2">
      <c r="B442" s="696">
        <v>42606.500034722223</v>
      </c>
      <c r="C442" s="1" t="s">
        <v>640</v>
      </c>
      <c r="E442" t="s">
        <v>225</v>
      </c>
      <c r="F442" t="s">
        <v>305</v>
      </c>
      <c r="G442" s="1" t="s">
        <v>3</v>
      </c>
      <c r="H442" s="1">
        <v>553450</v>
      </c>
      <c r="I442" t="s">
        <v>467</v>
      </c>
      <c r="J442" s="110">
        <v>40217879</v>
      </c>
      <c r="K442" s="4">
        <v>95344636</v>
      </c>
      <c r="L442" s="4">
        <v>64.349999999999994</v>
      </c>
      <c r="M442" s="4">
        <v>12</v>
      </c>
      <c r="N442">
        <v>1.36</v>
      </c>
    </row>
    <row r="443" spans="2:14" x14ac:dyDescent="0.2">
      <c r="B443" s="696">
        <v>42606.50072916667</v>
      </c>
      <c r="C443" s="1" t="s">
        <v>640</v>
      </c>
      <c r="E443" t="s">
        <v>225</v>
      </c>
      <c r="F443" t="s">
        <v>305</v>
      </c>
      <c r="G443" s="1" t="s">
        <v>3</v>
      </c>
      <c r="H443" s="1">
        <v>553450</v>
      </c>
      <c r="I443" t="s">
        <v>467</v>
      </c>
      <c r="J443" s="110">
        <v>40217879</v>
      </c>
      <c r="K443" s="4">
        <v>95681730</v>
      </c>
      <c r="L443" s="4">
        <v>69.05</v>
      </c>
      <c r="M443" s="4">
        <v>12.2</v>
      </c>
      <c r="N443">
        <v>1.4</v>
      </c>
    </row>
    <row r="444" spans="2:14" x14ac:dyDescent="0.2">
      <c r="B444" s="696">
        <v>42606.501493055555</v>
      </c>
      <c r="C444" s="1" t="s">
        <v>640</v>
      </c>
      <c r="E444" t="s">
        <v>225</v>
      </c>
      <c r="F444" t="s">
        <v>305</v>
      </c>
      <c r="G444" s="1" t="s">
        <v>3</v>
      </c>
      <c r="H444" s="1">
        <v>553450</v>
      </c>
      <c r="I444" t="s">
        <v>467</v>
      </c>
      <c r="J444" s="110">
        <v>40217879</v>
      </c>
      <c r="K444" s="4">
        <v>95311163</v>
      </c>
      <c r="L444" s="4">
        <v>63.9</v>
      </c>
      <c r="M444" s="4">
        <v>12.3</v>
      </c>
      <c r="N444">
        <v>1.44</v>
      </c>
    </row>
    <row r="445" spans="2:14" x14ac:dyDescent="0.2">
      <c r="B445" s="696">
        <v>42606.502233796295</v>
      </c>
      <c r="C445" s="1" t="s">
        <v>640</v>
      </c>
      <c r="E445" t="s">
        <v>225</v>
      </c>
      <c r="F445" t="s">
        <v>305</v>
      </c>
      <c r="G445" s="1" t="s">
        <v>3</v>
      </c>
      <c r="H445" s="1">
        <v>553450</v>
      </c>
      <c r="I445" t="s">
        <v>467</v>
      </c>
      <c r="J445" s="110">
        <v>40217879</v>
      </c>
      <c r="K445" s="4">
        <v>95834479</v>
      </c>
      <c r="L445" s="4">
        <v>70.2</v>
      </c>
      <c r="M445" s="4">
        <v>12.2</v>
      </c>
      <c r="N445">
        <v>1.5</v>
      </c>
    </row>
    <row r="446" spans="2:14" x14ac:dyDescent="0.2">
      <c r="B446" s="696">
        <v>42606.677164351851</v>
      </c>
      <c r="C446" s="1" t="s">
        <v>703</v>
      </c>
      <c r="E446" t="s">
        <v>225</v>
      </c>
      <c r="F446" t="s">
        <v>305</v>
      </c>
      <c r="G446" s="1" t="s">
        <v>3</v>
      </c>
      <c r="H446" s="1">
        <v>550377</v>
      </c>
      <c r="I446" t="s">
        <v>467</v>
      </c>
      <c r="J446" s="110">
        <v>43966886</v>
      </c>
      <c r="K446" s="4">
        <v>95525945</v>
      </c>
      <c r="L446" s="4">
        <v>69.5</v>
      </c>
      <c r="M446" s="4">
        <v>13.2</v>
      </c>
      <c r="N446">
        <v>1.94</v>
      </c>
    </row>
    <row r="447" spans="2:14" x14ac:dyDescent="0.2">
      <c r="B447" s="696">
        <v>42606.678310185183</v>
      </c>
      <c r="C447" s="1" t="s">
        <v>703</v>
      </c>
      <c r="E447" t="s">
        <v>225</v>
      </c>
      <c r="F447" t="s">
        <v>305</v>
      </c>
      <c r="G447" s="1" t="s">
        <v>3</v>
      </c>
      <c r="H447" s="1">
        <v>550377</v>
      </c>
      <c r="I447" t="s">
        <v>467</v>
      </c>
      <c r="J447" s="110">
        <v>43966886</v>
      </c>
      <c r="K447" s="4">
        <v>95348744</v>
      </c>
      <c r="L447" s="4">
        <v>69.650000000000006</v>
      </c>
      <c r="M447" s="4">
        <v>13.2</v>
      </c>
      <c r="N447">
        <v>1.92</v>
      </c>
    </row>
    <row r="448" spans="2:14" x14ac:dyDescent="0.2">
      <c r="B448" s="696">
        <v>42606.679212962961</v>
      </c>
      <c r="C448" s="1" t="s">
        <v>703</v>
      </c>
      <c r="E448" t="s">
        <v>225</v>
      </c>
      <c r="F448" t="s">
        <v>305</v>
      </c>
      <c r="G448" s="1" t="s">
        <v>3</v>
      </c>
      <c r="H448" s="1">
        <v>550377</v>
      </c>
      <c r="I448" t="s">
        <v>467</v>
      </c>
      <c r="J448" s="110">
        <v>43966886</v>
      </c>
      <c r="K448" s="4">
        <v>95383204</v>
      </c>
      <c r="L448" s="4">
        <v>65.2</v>
      </c>
      <c r="M448" s="4">
        <v>13.2</v>
      </c>
      <c r="N448">
        <v>1.9</v>
      </c>
    </row>
    <row r="449" spans="2:14" x14ac:dyDescent="0.2">
      <c r="B449" s="696">
        <v>42606.680185185185</v>
      </c>
      <c r="C449" s="1" t="s">
        <v>703</v>
      </c>
      <c r="E449" t="s">
        <v>225</v>
      </c>
      <c r="F449" t="s">
        <v>305</v>
      </c>
      <c r="G449" s="1" t="s">
        <v>3</v>
      </c>
      <c r="H449" s="1">
        <v>550377</v>
      </c>
      <c r="I449" t="s">
        <v>467</v>
      </c>
      <c r="J449" s="110">
        <v>43966886</v>
      </c>
      <c r="K449" s="4">
        <v>95357224</v>
      </c>
      <c r="L449" s="4">
        <v>64.7</v>
      </c>
      <c r="M449" s="4">
        <v>13.2</v>
      </c>
      <c r="N449">
        <v>1.98</v>
      </c>
    </row>
    <row r="450" spans="2:14" x14ac:dyDescent="0.2">
      <c r="B450" s="696">
        <v>42606.681168981479</v>
      </c>
      <c r="C450" s="1" t="s">
        <v>703</v>
      </c>
      <c r="E450" t="s">
        <v>225</v>
      </c>
      <c r="F450" t="s">
        <v>305</v>
      </c>
      <c r="G450" s="1" t="s">
        <v>3</v>
      </c>
      <c r="H450" s="1">
        <v>550377</v>
      </c>
      <c r="I450" t="s">
        <v>467</v>
      </c>
      <c r="J450" s="110">
        <v>43966886</v>
      </c>
      <c r="K450" s="4">
        <v>95831830</v>
      </c>
      <c r="L450" s="4">
        <v>69.849999999999994</v>
      </c>
      <c r="M450" s="4">
        <v>13.2</v>
      </c>
      <c r="N450">
        <v>1.96</v>
      </c>
    </row>
    <row r="451" spans="2:14" x14ac:dyDescent="0.2">
      <c r="B451" s="696">
        <v>42606.884814814817</v>
      </c>
      <c r="C451" s="1" t="s">
        <v>464</v>
      </c>
      <c r="E451" t="s">
        <v>225</v>
      </c>
      <c r="F451" t="s">
        <v>305</v>
      </c>
      <c r="G451" s="1" t="s">
        <v>3</v>
      </c>
      <c r="H451" s="1">
        <v>553409</v>
      </c>
      <c r="I451" t="s">
        <v>467</v>
      </c>
      <c r="J451" s="110">
        <v>208</v>
      </c>
      <c r="K451" s="4" t="s">
        <v>531</v>
      </c>
      <c r="L451" s="4">
        <v>24.5</v>
      </c>
      <c r="M451" s="4">
        <v>11.9</v>
      </c>
      <c r="N451">
        <v>1</v>
      </c>
    </row>
    <row r="452" spans="2:14" x14ac:dyDescent="0.2">
      <c r="B452" s="696">
        <v>42605.443414351852</v>
      </c>
      <c r="C452" s="1" t="s">
        <v>703</v>
      </c>
      <c r="E452" t="s">
        <v>225</v>
      </c>
      <c r="F452" t="s">
        <v>305</v>
      </c>
      <c r="G452" s="1" t="s">
        <v>3</v>
      </c>
      <c r="H452" s="1">
        <v>550377</v>
      </c>
      <c r="I452" t="s">
        <v>643</v>
      </c>
      <c r="J452" s="110">
        <v>34808238</v>
      </c>
      <c r="K452" s="4">
        <v>95668273</v>
      </c>
      <c r="L452" s="4">
        <v>70.25</v>
      </c>
      <c r="M452" s="4">
        <v>13.4</v>
      </c>
      <c r="N452">
        <v>1.58</v>
      </c>
    </row>
    <row r="453" spans="2:14" x14ac:dyDescent="0.2">
      <c r="B453" s="696">
        <v>42605.444074074076</v>
      </c>
      <c r="C453" s="1" t="s">
        <v>703</v>
      </c>
      <c r="E453" t="s">
        <v>225</v>
      </c>
      <c r="F453" t="s">
        <v>305</v>
      </c>
      <c r="G453" s="1" t="s">
        <v>3</v>
      </c>
      <c r="H453" s="1">
        <v>550377</v>
      </c>
      <c r="I453" t="s">
        <v>643</v>
      </c>
      <c r="J453" s="110">
        <v>34808238</v>
      </c>
      <c r="K453" s="4">
        <v>95617221</v>
      </c>
      <c r="L453" s="4">
        <v>69.900000000000006</v>
      </c>
      <c r="M453" s="4">
        <v>13.3</v>
      </c>
      <c r="N453">
        <v>1.6</v>
      </c>
    </row>
    <row r="454" spans="2:14" x14ac:dyDescent="0.2">
      <c r="B454" s="696">
        <v>42605.444861111115</v>
      </c>
      <c r="C454" s="1" t="s">
        <v>703</v>
      </c>
      <c r="E454" t="s">
        <v>225</v>
      </c>
      <c r="F454" t="s">
        <v>305</v>
      </c>
      <c r="G454" s="1" t="s">
        <v>3</v>
      </c>
      <c r="H454" s="1">
        <v>550377</v>
      </c>
      <c r="I454" t="s">
        <v>643</v>
      </c>
      <c r="J454" s="110">
        <v>34808238</v>
      </c>
      <c r="K454" s="4">
        <v>95382727</v>
      </c>
      <c r="L454" s="4">
        <v>70.599999999999994</v>
      </c>
      <c r="M454" s="4">
        <v>13.4</v>
      </c>
      <c r="N454">
        <v>1.62</v>
      </c>
    </row>
    <row r="455" spans="2:14" x14ac:dyDescent="0.2">
      <c r="B455" s="696">
        <v>42605.445729166669</v>
      </c>
      <c r="C455" s="1" t="s">
        <v>701</v>
      </c>
      <c r="E455" t="s">
        <v>225</v>
      </c>
      <c r="F455" t="s">
        <v>305</v>
      </c>
      <c r="G455" s="1" t="s">
        <v>3</v>
      </c>
      <c r="H455" s="1">
        <v>552928</v>
      </c>
      <c r="I455" t="s">
        <v>643</v>
      </c>
      <c r="J455" s="110">
        <v>38027140</v>
      </c>
      <c r="K455" s="4">
        <v>95538823</v>
      </c>
      <c r="L455" s="4">
        <v>66.05</v>
      </c>
      <c r="M455" s="4">
        <v>13.8</v>
      </c>
      <c r="N455">
        <v>1.46</v>
      </c>
    </row>
    <row r="456" spans="2:14" x14ac:dyDescent="0.2">
      <c r="B456" s="696">
        <v>42605.446539351855</v>
      </c>
      <c r="C456" s="1" t="s">
        <v>701</v>
      </c>
      <c r="E456" t="s">
        <v>225</v>
      </c>
      <c r="F456" t="s">
        <v>305</v>
      </c>
      <c r="G456" s="1" t="s">
        <v>3</v>
      </c>
      <c r="H456" s="1">
        <v>552928</v>
      </c>
      <c r="I456" t="s">
        <v>643</v>
      </c>
      <c r="J456" s="110">
        <v>38027140</v>
      </c>
      <c r="K456" s="4">
        <v>95517173</v>
      </c>
      <c r="L456" s="4">
        <v>65.900000000000006</v>
      </c>
      <c r="M456" s="4">
        <v>13.8</v>
      </c>
      <c r="N456">
        <v>1.46</v>
      </c>
    </row>
    <row r="457" spans="2:14" x14ac:dyDescent="0.2">
      <c r="B457" s="696">
        <v>42605.447384259256</v>
      </c>
      <c r="C457" s="1" t="s">
        <v>701</v>
      </c>
      <c r="E457" t="s">
        <v>225</v>
      </c>
      <c r="F457" t="s">
        <v>305</v>
      </c>
      <c r="G457" s="1" t="s">
        <v>3</v>
      </c>
      <c r="H457" s="1">
        <v>552928</v>
      </c>
      <c r="I457" t="s">
        <v>643</v>
      </c>
      <c r="J457" s="110">
        <v>38027140</v>
      </c>
      <c r="K457" s="4">
        <v>95531935</v>
      </c>
      <c r="L457" s="4">
        <v>66.3</v>
      </c>
      <c r="M457" s="4">
        <v>13.8</v>
      </c>
      <c r="N457">
        <v>1.44</v>
      </c>
    </row>
    <row r="458" spans="2:14" x14ac:dyDescent="0.2">
      <c r="B458" s="696">
        <v>42605.448275462964</v>
      </c>
      <c r="C458" s="1" t="s">
        <v>701</v>
      </c>
      <c r="E458" t="s">
        <v>225</v>
      </c>
      <c r="F458" t="s">
        <v>305</v>
      </c>
      <c r="G458" s="1" t="s">
        <v>3</v>
      </c>
      <c r="H458" s="1">
        <v>552928</v>
      </c>
      <c r="I458" t="s">
        <v>643</v>
      </c>
      <c r="J458" s="110">
        <v>38027140</v>
      </c>
      <c r="K458" s="4">
        <v>95924650</v>
      </c>
      <c r="L458" s="4">
        <v>66.5</v>
      </c>
      <c r="M458" s="4">
        <v>13.8</v>
      </c>
      <c r="N458">
        <v>1.5</v>
      </c>
    </row>
    <row r="459" spans="2:14" x14ac:dyDescent="0.2">
      <c r="B459" s="696">
        <v>42605.451979166668</v>
      </c>
      <c r="C459" s="1" t="s">
        <v>701</v>
      </c>
      <c r="E459" t="s">
        <v>225</v>
      </c>
      <c r="F459" t="s">
        <v>305</v>
      </c>
      <c r="G459" s="1" t="s">
        <v>3</v>
      </c>
      <c r="H459" s="1">
        <v>552928</v>
      </c>
      <c r="I459" t="s">
        <v>643</v>
      </c>
      <c r="J459" s="110">
        <v>37985447</v>
      </c>
      <c r="K459" s="4">
        <v>95794004</v>
      </c>
      <c r="L459" s="4">
        <v>68.05</v>
      </c>
      <c r="M459" s="4">
        <v>13.8</v>
      </c>
      <c r="N459">
        <v>1.48</v>
      </c>
    </row>
    <row r="460" spans="2:14" x14ac:dyDescent="0.2">
      <c r="B460" s="696">
        <v>42605.514120370368</v>
      </c>
      <c r="C460" s="1" t="s">
        <v>619</v>
      </c>
      <c r="E460" t="s">
        <v>225</v>
      </c>
      <c r="F460" t="s">
        <v>305</v>
      </c>
      <c r="G460" s="1" t="s">
        <v>3</v>
      </c>
      <c r="H460" s="1">
        <v>551127</v>
      </c>
      <c r="I460" t="s">
        <v>643</v>
      </c>
      <c r="J460" s="110">
        <v>50295112</v>
      </c>
      <c r="K460" s="4">
        <v>95616447</v>
      </c>
      <c r="L460" s="4">
        <v>68.25</v>
      </c>
      <c r="M460" s="4">
        <v>11.8</v>
      </c>
      <c r="N460">
        <v>1.04</v>
      </c>
    </row>
    <row r="461" spans="2:14" x14ac:dyDescent="0.2">
      <c r="B461" s="696">
        <v>42605.514768518522</v>
      </c>
      <c r="C461" s="1" t="s">
        <v>582</v>
      </c>
      <c r="E461" t="s">
        <v>225</v>
      </c>
      <c r="F461" t="s">
        <v>305</v>
      </c>
      <c r="G461" s="1" t="s">
        <v>3</v>
      </c>
      <c r="H461" s="1">
        <v>547342</v>
      </c>
      <c r="I461" t="s">
        <v>643</v>
      </c>
      <c r="J461" s="110">
        <v>43934355</v>
      </c>
      <c r="K461" s="4">
        <v>95669388</v>
      </c>
      <c r="L461" s="4">
        <v>69.25</v>
      </c>
      <c r="M461" s="4">
        <v>11.4</v>
      </c>
      <c r="N461">
        <v>2</v>
      </c>
    </row>
    <row r="462" spans="2:14" x14ac:dyDescent="0.2">
      <c r="B462" s="696">
        <v>42605.515266203707</v>
      </c>
      <c r="C462" s="1" t="s">
        <v>582</v>
      </c>
      <c r="E462" t="s">
        <v>225</v>
      </c>
      <c r="F462" t="s">
        <v>305</v>
      </c>
      <c r="G462" s="1" t="s">
        <v>3</v>
      </c>
      <c r="H462" s="1">
        <v>547342</v>
      </c>
      <c r="I462" t="s">
        <v>643</v>
      </c>
      <c r="J462" s="110">
        <v>43934355</v>
      </c>
      <c r="K462" s="4">
        <v>95331104</v>
      </c>
      <c r="L462" s="4">
        <v>69.75</v>
      </c>
      <c r="M462" s="4">
        <v>11.4</v>
      </c>
      <c r="N462">
        <v>2</v>
      </c>
    </row>
    <row r="463" spans="2:14" x14ac:dyDescent="0.2">
      <c r="B463" s="696">
        <v>42605.515590277777</v>
      </c>
      <c r="C463" s="1" t="s">
        <v>582</v>
      </c>
      <c r="E463" t="s">
        <v>225</v>
      </c>
      <c r="F463" t="s">
        <v>305</v>
      </c>
      <c r="G463" s="1" t="s">
        <v>3</v>
      </c>
      <c r="H463" s="1">
        <v>547342</v>
      </c>
      <c r="I463" t="s">
        <v>643</v>
      </c>
      <c r="J463" s="110">
        <v>43934355</v>
      </c>
      <c r="K463" s="4">
        <v>95330189</v>
      </c>
      <c r="L463" s="4">
        <v>69.400000000000006</v>
      </c>
      <c r="M463" s="4">
        <v>11.4</v>
      </c>
      <c r="N463">
        <v>2</v>
      </c>
    </row>
    <row r="464" spans="2:14" x14ac:dyDescent="0.2">
      <c r="B464" s="696">
        <v>42605.51630787037</v>
      </c>
      <c r="C464" s="1" t="s">
        <v>621</v>
      </c>
      <c r="E464" t="s">
        <v>225</v>
      </c>
      <c r="F464" t="s">
        <v>305</v>
      </c>
      <c r="G464" s="1" t="s">
        <v>3</v>
      </c>
      <c r="H464" s="1">
        <v>552518</v>
      </c>
      <c r="I464" t="s">
        <v>643</v>
      </c>
      <c r="J464" s="110">
        <v>47117023</v>
      </c>
      <c r="K464" s="4">
        <v>95493060</v>
      </c>
      <c r="L464" s="4">
        <v>69.849999999999994</v>
      </c>
      <c r="M464" s="4">
        <v>10.3</v>
      </c>
      <c r="N464">
        <v>2</v>
      </c>
    </row>
    <row r="465" spans="2:14" x14ac:dyDescent="0.2">
      <c r="B465" s="696">
        <v>42605.516493055555</v>
      </c>
      <c r="C465" s="1" t="s">
        <v>582</v>
      </c>
      <c r="E465" t="s">
        <v>225</v>
      </c>
      <c r="F465" t="s">
        <v>305</v>
      </c>
      <c r="G465" s="1" t="s">
        <v>3</v>
      </c>
      <c r="H465" s="1">
        <v>547342</v>
      </c>
      <c r="I465" t="s">
        <v>643</v>
      </c>
      <c r="J465" s="110">
        <v>43934355</v>
      </c>
      <c r="K465" s="4">
        <v>95834107</v>
      </c>
      <c r="L465" s="4">
        <v>69.95</v>
      </c>
      <c r="M465" s="4">
        <v>11.4</v>
      </c>
      <c r="N465">
        <v>2</v>
      </c>
    </row>
    <row r="466" spans="2:14" x14ac:dyDescent="0.2">
      <c r="B466" s="696">
        <v>42605.516597222224</v>
      </c>
      <c r="C466" s="1" t="s">
        <v>621</v>
      </c>
      <c r="E466" t="s">
        <v>225</v>
      </c>
      <c r="F466" t="s">
        <v>305</v>
      </c>
      <c r="G466" s="1" t="s">
        <v>3</v>
      </c>
      <c r="H466" s="1">
        <v>552518</v>
      </c>
      <c r="I466" t="s">
        <v>643</v>
      </c>
      <c r="J466" s="110">
        <v>47117023</v>
      </c>
      <c r="K466" s="4">
        <v>95634416</v>
      </c>
      <c r="L466" s="4">
        <v>69.25</v>
      </c>
      <c r="M466" s="4">
        <v>10.3</v>
      </c>
      <c r="N466">
        <v>2</v>
      </c>
    </row>
    <row r="467" spans="2:14" x14ac:dyDescent="0.2">
      <c r="B467" s="696">
        <v>42605.864699074074</v>
      </c>
      <c r="C467" s="1" t="s">
        <v>702</v>
      </c>
      <c r="E467" t="s">
        <v>225</v>
      </c>
      <c r="F467" t="s">
        <v>305</v>
      </c>
      <c r="G467" s="1" t="s">
        <v>3</v>
      </c>
      <c r="H467" s="1">
        <v>553244</v>
      </c>
      <c r="I467" t="s">
        <v>292</v>
      </c>
      <c r="J467" s="110">
        <v>43914878</v>
      </c>
      <c r="K467" s="4">
        <v>95751954</v>
      </c>
      <c r="L467" s="4">
        <v>68.099999999999994</v>
      </c>
      <c r="M467" s="4">
        <v>12.3</v>
      </c>
      <c r="N467">
        <v>1.1000000000000001</v>
      </c>
    </row>
    <row r="468" spans="2:14" x14ac:dyDescent="0.2">
      <c r="B468" s="696">
        <v>42605.865219907406</v>
      </c>
      <c r="C468" s="1" t="s">
        <v>702</v>
      </c>
      <c r="E468" t="s">
        <v>225</v>
      </c>
      <c r="F468" t="s">
        <v>305</v>
      </c>
      <c r="G468" s="1" t="s">
        <v>3</v>
      </c>
      <c r="H468" s="1">
        <v>553244</v>
      </c>
      <c r="I468" t="s">
        <v>643</v>
      </c>
      <c r="J468" s="110">
        <v>43914878</v>
      </c>
      <c r="K468" s="4">
        <v>95448734</v>
      </c>
      <c r="L468" s="4">
        <v>69.05</v>
      </c>
      <c r="M468" s="4">
        <v>13.1</v>
      </c>
      <c r="N468">
        <v>1.44</v>
      </c>
    </row>
    <row r="469" spans="2:14" x14ac:dyDescent="0.2">
      <c r="B469" s="696">
        <v>42605.885324074072</v>
      </c>
      <c r="C469" s="1" t="s">
        <v>701</v>
      </c>
      <c r="E469" t="s">
        <v>225</v>
      </c>
      <c r="F469" t="s">
        <v>305</v>
      </c>
      <c r="G469" s="1" t="s">
        <v>3</v>
      </c>
      <c r="H469" s="1">
        <v>552928</v>
      </c>
      <c r="I469" t="s">
        <v>643</v>
      </c>
      <c r="J469" s="110">
        <v>37985447</v>
      </c>
      <c r="K469" s="4">
        <v>95530408</v>
      </c>
      <c r="L469" s="4">
        <v>66.05</v>
      </c>
      <c r="M469" s="4">
        <v>14</v>
      </c>
      <c r="N469">
        <v>1.34</v>
      </c>
    </row>
    <row r="470" spans="2:14" x14ac:dyDescent="0.2">
      <c r="B470" s="696">
        <v>42605.886076388888</v>
      </c>
      <c r="C470" s="1" t="s">
        <v>701</v>
      </c>
      <c r="E470" t="s">
        <v>225</v>
      </c>
      <c r="F470" t="s">
        <v>305</v>
      </c>
      <c r="G470" s="1" t="s">
        <v>3</v>
      </c>
      <c r="H470" s="1">
        <v>552928</v>
      </c>
      <c r="I470" t="s">
        <v>643</v>
      </c>
      <c r="J470" s="110">
        <v>37985447</v>
      </c>
      <c r="K470" s="4">
        <v>95751582</v>
      </c>
      <c r="L470" s="4">
        <v>66.099999999999994</v>
      </c>
      <c r="M470" s="4">
        <v>13.8</v>
      </c>
      <c r="N470">
        <v>1.5</v>
      </c>
    </row>
    <row r="471" spans="2:14" x14ac:dyDescent="0.2">
      <c r="B471" s="696">
        <v>42605.887673611112</v>
      </c>
      <c r="C471" s="1" t="s">
        <v>621</v>
      </c>
      <c r="E471" t="s">
        <v>225</v>
      </c>
      <c r="F471" t="s">
        <v>305</v>
      </c>
      <c r="G471" s="1" t="s">
        <v>3</v>
      </c>
      <c r="H471" s="1">
        <v>552518</v>
      </c>
      <c r="I471" t="s">
        <v>643</v>
      </c>
      <c r="J471" s="110">
        <v>47102975</v>
      </c>
      <c r="K471" s="4">
        <v>95540308</v>
      </c>
      <c r="L471" s="4">
        <v>69.849999999999994</v>
      </c>
      <c r="M471" s="4">
        <v>10.3</v>
      </c>
      <c r="N471">
        <v>1.2</v>
      </c>
    </row>
    <row r="472" spans="2:14" x14ac:dyDescent="0.2">
      <c r="B472" s="696">
        <v>42606.210277777776</v>
      </c>
      <c r="C472" s="1" t="s">
        <v>641</v>
      </c>
      <c r="E472" t="s">
        <v>225</v>
      </c>
      <c r="F472" t="s">
        <v>305</v>
      </c>
      <c r="G472" s="1" t="s">
        <v>3</v>
      </c>
      <c r="H472" s="1">
        <v>551438</v>
      </c>
      <c r="I472" t="s">
        <v>292</v>
      </c>
      <c r="J472" s="110">
        <v>43961424</v>
      </c>
      <c r="K472" s="4">
        <v>95452264</v>
      </c>
      <c r="L472" s="4">
        <v>59</v>
      </c>
      <c r="M472" s="4">
        <v>14</v>
      </c>
      <c r="N472">
        <v>1.48</v>
      </c>
    </row>
    <row r="473" spans="2:14" x14ac:dyDescent="0.2">
      <c r="B473" s="696">
        <v>42606.210902777777</v>
      </c>
      <c r="C473" s="1" t="s">
        <v>641</v>
      </c>
      <c r="E473" t="s">
        <v>225</v>
      </c>
      <c r="F473" t="s">
        <v>305</v>
      </c>
      <c r="G473" s="1" t="s">
        <v>3</v>
      </c>
      <c r="H473" s="1">
        <v>551438</v>
      </c>
      <c r="I473" t="s">
        <v>292</v>
      </c>
      <c r="J473" s="110">
        <v>43961424</v>
      </c>
      <c r="K473" s="4">
        <v>95543831</v>
      </c>
      <c r="L473" s="4">
        <v>60.45</v>
      </c>
      <c r="M473" s="4">
        <v>14</v>
      </c>
      <c r="N473">
        <v>1.44</v>
      </c>
    </row>
    <row r="474" spans="2:14" x14ac:dyDescent="0.2">
      <c r="B474" s="696">
        <v>42606.211412037039</v>
      </c>
      <c r="C474" s="1" t="s">
        <v>641</v>
      </c>
      <c r="E474" t="s">
        <v>225</v>
      </c>
      <c r="F474" t="s">
        <v>305</v>
      </c>
      <c r="G474" s="1" t="s">
        <v>3</v>
      </c>
      <c r="H474" s="1">
        <v>551438</v>
      </c>
      <c r="I474" t="s">
        <v>292</v>
      </c>
      <c r="J474" s="110">
        <v>43961424</v>
      </c>
      <c r="K474" s="4">
        <v>95345583</v>
      </c>
      <c r="L474" s="4">
        <v>59.2</v>
      </c>
      <c r="M474" s="4">
        <v>14</v>
      </c>
      <c r="N474">
        <v>1.56</v>
      </c>
    </row>
    <row r="475" spans="2:14" x14ac:dyDescent="0.2">
      <c r="B475" s="696">
        <v>42606.21193287037</v>
      </c>
      <c r="C475" s="1" t="s">
        <v>641</v>
      </c>
      <c r="E475" t="s">
        <v>225</v>
      </c>
      <c r="F475" t="s">
        <v>305</v>
      </c>
      <c r="G475" s="1" t="s">
        <v>3</v>
      </c>
      <c r="H475" s="1">
        <v>551438</v>
      </c>
      <c r="I475" t="s">
        <v>292</v>
      </c>
      <c r="J475" s="110">
        <v>43961424</v>
      </c>
      <c r="K475" s="4">
        <v>95371886</v>
      </c>
      <c r="L475" s="4">
        <v>61.45</v>
      </c>
      <c r="M475" s="4">
        <v>13.4</v>
      </c>
      <c r="N475">
        <v>1.36</v>
      </c>
    </row>
    <row r="476" spans="2:14" x14ac:dyDescent="0.2">
      <c r="B476" s="696">
        <v>42606.21261574074</v>
      </c>
      <c r="C476" s="1" t="s">
        <v>641</v>
      </c>
      <c r="E476" t="s">
        <v>225</v>
      </c>
      <c r="F476" t="s">
        <v>305</v>
      </c>
      <c r="G476" s="1" t="s">
        <v>3</v>
      </c>
      <c r="H476" s="1">
        <v>551438</v>
      </c>
      <c r="I476" t="s">
        <v>292</v>
      </c>
      <c r="J476" s="110">
        <v>43961424</v>
      </c>
      <c r="K476" s="4">
        <v>95679783</v>
      </c>
      <c r="L476" s="4">
        <v>56.75</v>
      </c>
      <c r="M476" s="4">
        <v>14</v>
      </c>
      <c r="N476">
        <v>1.38</v>
      </c>
    </row>
    <row r="477" spans="2:14" x14ac:dyDescent="0.2">
      <c r="B477" s="696">
        <v>42606.213206018518</v>
      </c>
      <c r="C477" s="1" t="s">
        <v>641</v>
      </c>
      <c r="E477" t="s">
        <v>225</v>
      </c>
      <c r="F477" t="s">
        <v>305</v>
      </c>
      <c r="G477" s="1" t="s">
        <v>3</v>
      </c>
      <c r="H477" s="1">
        <v>551438</v>
      </c>
      <c r="I477" t="s">
        <v>292</v>
      </c>
      <c r="J477" s="110">
        <v>43961424</v>
      </c>
      <c r="K477" s="4">
        <v>95271425</v>
      </c>
      <c r="L477" s="4">
        <v>55.1</v>
      </c>
      <c r="M477" s="4">
        <v>14</v>
      </c>
      <c r="N477">
        <v>1.38</v>
      </c>
    </row>
    <row r="478" spans="2:14" x14ac:dyDescent="0.2">
      <c r="B478" s="696">
        <v>42606.213912037034</v>
      </c>
      <c r="C478" s="1" t="s">
        <v>641</v>
      </c>
      <c r="E478" t="s">
        <v>225</v>
      </c>
      <c r="F478" t="s">
        <v>305</v>
      </c>
      <c r="G478" s="1" t="s">
        <v>3</v>
      </c>
      <c r="H478" s="1">
        <v>551438</v>
      </c>
      <c r="I478" t="s">
        <v>292</v>
      </c>
      <c r="J478" s="110">
        <v>43961424</v>
      </c>
      <c r="K478" s="4">
        <v>95757878</v>
      </c>
      <c r="L478" s="4">
        <v>62.3</v>
      </c>
      <c r="M478" s="4">
        <v>13.1</v>
      </c>
      <c r="N478">
        <v>1.56</v>
      </c>
    </row>
    <row r="479" spans="2:14" x14ac:dyDescent="0.2">
      <c r="B479" s="696">
        <v>42606.213993055557</v>
      </c>
      <c r="C479" s="1" t="s">
        <v>408</v>
      </c>
      <c r="E479" t="s">
        <v>225</v>
      </c>
      <c r="F479" t="s">
        <v>305</v>
      </c>
      <c r="G479" s="1" t="s">
        <v>3</v>
      </c>
      <c r="H479" s="1">
        <v>553698</v>
      </c>
      <c r="I479" t="s">
        <v>292</v>
      </c>
      <c r="J479" s="110">
        <v>350880</v>
      </c>
      <c r="K479" s="4" t="s">
        <v>650</v>
      </c>
      <c r="L479" s="4">
        <v>24.22</v>
      </c>
      <c r="M479" s="4">
        <v>13</v>
      </c>
      <c r="N479">
        <v>1.06</v>
      </c>
    </row>
    <row r="480" spans="2:14" x14ac:dyDescent="0.2">
      <c r="B480" s="696">
        <v>42606.214502314811</v>
      </c>
      <c r="C480" s="1" t="s">
        <v>641</v>
      </c>
      <c r="E480" t="s">
        <v>225</v>
      </c>
      <c r="F480" t="s">
        <v>305</v>
      </c>
      <c r="G480" s="1" t="s">
        <v>3</v>
      </c>
      <c r="H480" s="1">
        <v>551438</v>
      </c>
      <c r="I480" t="s">
        <v>292</v>
      </c>
      <c r="J480" s="110">
        <v>43961424</v>
      </c>
      <c r="K480" s="4">
        <v>95327250</v>
      </c>
      <c r="L480" s="4">
        <v>60.85</v>
      </c>
      <c r="M480" s="4">
        <v>12.9</v>
      </c>
      <c r="N480">
        <v>1.42</v>
      </c>
    </row>
    <row r="481" spans="2:14" x14ac:dyDescent="0.2">
      <c r="B481" s="696">
        <v>42606.219849537039</v>
      </c>
      <c r="C481" s="1" t="s">
        <v>408</v>
      </c>
      <c r="E481" t="s">
        <v>225</v>
      </c>
      <c r="F481" t="s">
        <v>305</v>
      </c>
      <c r="G481" s="1" t="s">
        <v>3</v>
      </c>
      <c r="H481" s="1">
        <v>553698</v>
      </c>
      <c r="I481" t="s">
        <v>292</v>
      </c>
      <c r="J481" s="110">
        <v>354661</v>
      </c>
      <c r="K481" s="4" t="s">
        <v>651</v>
      </c>
      <c r="L481" s="4">
        <v>25.12</v>
      </c>
      <c r="M481" s="4">
        <v>14</v>
      </c>
      <c r="N481">
        <v>1.52</v>
      </c>
    </row>
    <row r="482" spans="2:14" x14ac:dyDescent="0.2">
      <c r="B482" s="696">
        <v>42606.226539351854</v>
      </c>
      <c r="C482" s="1" t="s">
        <v>408</v>
      </c>
      <c r="E482" t="s">
        <v>225</v>
      </c>
      <c r="F482" t="s">
        <v>305</v>
      </c>
      <c r="G482" s="1" t="s">
        <v>3</v>
      </c>
      <c r="H482" s="1">
        <v>553698</v>
      </c>
      <c r="I482" t="s">
        <v>292</v>
      </c>
      <c r="J482" s="110">
        <v>350881</v>
      </c>
      <c r="K482" s="4" t="s">
        <v>612</v>
      </c>
      <c r="L482" s="4">
        <v>26.3</v>
      </c>
      <c r="M482" s="4">
        <v>13.2</v>
      </c>
      <c r="N482">
        <v>1.9</v>
      </c>
    </row>
    <row r="483" spans="2:14" x14ac:dyDescent="0.2">
      <c r="B483" s="696">
        <v>42606.503634259258</v>
      </c>
      <c r="C483" s="1" t="s">
        <v>408</v>
      </c>
      <c r="E483" t="s">
        <v>225</v>
      </c>
      <c r="F483" t="s">
        <v>305</v>
      </c>
      <c r="G483" s="1" t="s">
        <v>3</v>
      </c>
      <c r="H483" s="1">
        <v>553698</v>
      </c>
      <c r="I483" t="s">
        <v>292</v>
      </c>
      <c r="J483" s="110">
        <v>354647</v>
      </c>
      <c r="K483" s="4" t="s">
        <v>652</v>
      </c>
      <c r="L483" s="4">
        <v>25.94</v>
      </c>
      <c r="M483" s="4">
        <v>11.2</v>
      </c>
      <c r="N483">
        <v>1.2</v>
      </c>
    </row>
    <row r="484" spans="2:14" x14ac:dyDescent="0.2">
      <c r="B484" s="696">
        <v>42606.51363425926</v>
      </c>
      <c r="C484" s="1" t="s">
        <v>464</v>
      </c>
      <c r="E484" t="s">
        <v>225</v>
      </c>
      <c r="F484" t="s">
        <v>305</v>
      </c>
      <c r="G484" s="1" t="s">
        <v>3</v>
      </c>
      <c r="H484" s="1">
        <v>553731</v>
      </c>
      <c r="I484" t="s">
        <v>292</v>
      </c>
      <c r="J484" s="110">
        <v>209</v>
      </c>
      <c r="K484" s="4" t="s">
        <v>653</v>
      </c>
      <c r="L484" s="4">
        <v>23.64</v>
      </c>
      <c r="M484" s="4">
        <v>10.5</v>
      </c>
      <c r="N484">
        <v>0.86</v>
      </c>
    </row>
    <row r="485" spans="2:14" x14ac:dyDescent="0.2">
      <c r="B485" s="696">
        <v>42606.582152777781</v>
      </c>
      <c r="C485" s="1" t="s">
        <v>464</v>
      </c>
      <c r="E485" t="s">
        <v>225</v>
      </c>
      <c r="F485" t="s">
        <v>305</v>
      </c>
      <c r="G485" s="1" t="s">
        <v>3</v>
      </c>
      <c r="H485" s="1">
        <v>553731</v>
      </c>
      <c r="I485" t="s">
        <v>292</v>
      </c>
      <c r="J485" s="110">
        <v>207</v>
      </c>
      <c r="K485" s="4" t="s">
        <v>530</v>
      </c>
      <c r="L485" s="4">
        <v>25.2</v>
      </c>
      <c r="M485" s="4">
        <v>11</v>
      </c>
      <c r="N485">
        <v>0.88</v>
      </c>
    </row>
    <row r="486" spans="2:14" x14ac:dyDescent="0.2">
      <c r="B486" s="696">
        <v>42606.590543981481</v>
      </c>
      <c r="C486" s="1" t="s">
        <v>464</v>
      </c>
      <c r="E486" t="s">
        <v>225</v>
      </c>
      <c r="F486" t="s">
        <v>305</v>
      </c>
      <c r="G486" s="1" t="s">
        <v>3</v>
      </c>
      <c r="H486" s="1">
        <v>553731</v>
      </c>
      <c r="I486" t="s">
        <v>292</v>
      </c>
      <c r="J486" s="110">
        <v>206</v>
      </c>
      <c r="K486" s="4" t="s">
        <v>654</v>
      </c>
      <c r="L486" s="4">
        <v>25.32</v>
      </c>
      <c r="M486" s="4">
        <v>10.5</v>
      </c>
      <c r="N486">
        <v>0.96</v>
      </c>
    </row>
    <row r="487" spans="2:14" x14ac:dyDescent="0.2">
      <c r="B487" s="696">
        <v>42606.597268518519</v>
      </c>
      <c r="C487" s="1" t="s">
        <v>408</v>
      </c>
      <c r="E487" t="s">
        <v>225</v>
      </c>
      <c r="F487" t="s">
        <v>305</v>
      </c>
      <c r="G487" s="1" t="s">
        <v>3</v>
      </c>
      <c r="H487" s="1">
        <v>553698</v>
      </c>
      <c r="I487" t="s">
        <v>292</v>
      </c>
      <c r="J487" s="110">
        <v>359393</v>
      </c>
      <c r="K487" s="4" t="s">
        <v>600</v>
      </c>
      <c r="L487" s="4">
        <v>21.66</v>
      </c>
      <c r="M487" s="4">
        <v>12.2</v>
      </c>
      <c r="N487">
        <v>2</v>
      </c>
    </row>
    <row r="488" spans="2:14" x14ac:dyDescent="0.2">
      <c r="B488" s="696">
        <v>42606.604224537034</v>
      </c>
      <c r="C488" s="1" t="s">
        <v>408</v>
      </c>
      <c r="E488" t="s">
        <v>225</v>
      </c>
      <c r="F488" t="s">
        <v>305</v>
      </c>
      <c r="G488" s="1" t="s">
        <v>3</v>
      </c>
      <c r="H488" s="1">
        <v>553698</v>
      </c>
      <c r="I488" t="s">
        <v>292</v>
      </c>
      <c r="J488" s="110">
        <v>359391</v>
      </c>
      <c r="K488" s="4" t="s">
        <v>655</v>
      </c>
      <c r="L488" s="4">
        <v>21.5</v>
      </c>
      <c r="M488" s="4">
        <v>11.7</v>
      </c>
      <c r="N488">
        <v>2</v>
      </c>
    </row>
    <row r="489" spans="2:14" x14ac:dyDescent="0.2">
      <c r="B489" s="696">
        <v>42606.682002314818</v>
      </c>
      <c r="C489" s="1" t="s">
        <v>701</v>
      </c>
      <c r="E489" t="s">
        <v>225</v>
      </c>
      <c r="F489" t="s">
        <v>305</v>
      </c>
      <c r="G489" s="1" t="s">
        <v>3</v>
      </c>
      <c r="H489" s="1">
        <v>552928</v>
      </c>
      <c r="I489" t="s">
        <v>643</v>
      </c>
      <c r="J489" s="110">
        <v>40091852</v>
      </c>
      <c r="K489" s="4">
        <v>95383352</v>
      </c>
      <c r="L489" s="4">
        <v>63.95</v>
      </c>
      <c r="M489" s="4">
        <v>13.7</v>
      </c>
      <c r="N489">
        <v>1.5</v>
      </c>
    </row>
    <row r="490" spans="2:14" x14ac:dyDescent="0.2">
      <c r="B490" s="696">
        <v>42606.720000000001</v>
      </c>
      <c r="C490" s="1" t="s">
        <v>408</v>
      </c>
      <c r="E490" t="s">
        <v>225</v>
      </c>
      <c r="F490" t="s">
        <v>305</v>
      </c>
      <c r="G490" s="1" t="s">
        <v>3</v>
      </c>
      <c r="H490" s="1">
        <v>553698</v>
      </c>
      <c r="I490" t="s">
        <v>643</v>
      </c>
      <c r="J490" s="110">
        <v>359392</v>
      </c>
      <c r="K490" s="4" t="s">
        <v>601</v>
      </c>
      <c r="L490" s="4">
        <v>22.2</v>
      </c>
      <c r="M490" s="4">
        <v>11.4</v>
      </c>
      <c r="N490">
        <v>1.96</v>
      </c>
    </row>
    <row r="491" spans="2:14" x14ac:dyDescent="0.2">
      <c r="B491" s="696">
        <v>42606.729907407411</v>
      </c>
      <c r="C491" s="1" t="s">
        <v>408</v>
      </c>
      <c r="E491" t="s">
        <v>225</v>
      </c>
      <c r="F491" t="s">
        <v>305</v>
      </c>
      <c r="G491" s="1" t="s">
        <v>3</v>
      </c>
      <c r="H491" s="1">
        <v>553698</v>
      </c>
      <c r="I491" t="s">
        <v>643</v>
      </c>
      <c r="J491" s="110">
        <v>359390</v>
      </c>
      <c r="K491" s="4" t="s">
        <v>656</v>
      </c>
      <c r="L491" s="4">
        <v>22.34</v>
      </c>
      <c r="M491" s="4">
        <v>11.8</v>
      </c>
      <c r="N491">
        <v>2</v>
      </c>
    </row>
    <row r="492" spans="2:14" x14ac:dyDescent="0.2">
      <c r="B492" s="696">
        <v>42606.872488425928</v>
      </c>
      <c r="C492" s="1" t="s">
        <v>703</v>
      </c>
      <c r="E492" t="s">
        <v>225</v>
      </c>
      <c r="F492" t="s">
        <v>305</v>
      </c>
      <c r="G492" s="1" t="s">
        <v>3</v>
      </c>
      <c r="H492" s="1">
        <v>550377</v>
      </c>
      <c r="I492" t="s">
        <v>643</v>
      </c>
      <c r="J492" s="110">
        <v>34785402</v>
      </c>
      <c r="K492" s="4">
        <v>95524674</v>
      </c>
      <c r="L492" s="4">
        <v>70.099999999999994</v>
      </c>
      <c r="M492" s="4">
        <v>13.2</v>
      </c>
      <c r="N492">
        <v>1.76</v>
      </c>
    </row>
    <row r="493" spans="2:14" x14ac:dyDescent="0.2">
      <c r="B493" s="696">
        <v>42606.872986111113</v>
      </c>
      <c r="C493" s="1" t="s">
        <v>703</v>
      </c>
      <c r="E493" t="s">
        <v>225</v>
      </c>
      <c r="F493" t="s">
        <v>305</v>
      </c>
      <c r="G493" s="1" t="s">
        <v>3</v>
      </c>
      <c r="H493" s="1">
        <v>550377</v>
      </c>
      <c r="I493" t="s">
        <v>643</v>
      </c>
      <c r="J493" s="110">
        <v>34785402</v>
      </c>
      <c r="K493" s="4">
        <v>95653986</v>
      </c>
      <c r="L493" s="4">
        <v>70.05</v>
      </c>
      <c r="M493" s="4">
        <v>13.2</v>
      </c>
      <c r="N493">
        <v>1.7</v>
      </c>
    </row>
    <row r="494" spans="2:14" x14ac:dyDescent="0.2">
      <c r="B494" s="696">
        <v>42607.299942129626</v>
      </c>
      <c r="C494" s="1" t="s">
        <v>582</v>
      </c>
      <c r="E494" t="s">
        <v>225</v>
      </c>
      <c r="F494" t="s">
        <v>305</v>
      </c>
      <c r="G494" s="1" t="s">
        <v>3</v>
      </c>
      <c r="H494" s="1">
        <v>547342</v>
      </c>
      <c r="I494" t="s">
        <v>643</v>
      </c>
      <c r="J494" s="110">
        <v>43974856</v>
      </c>
      <c r="K494" s="4">
        <v>95638573</v>
      </c>
      <c r="L494" s="4">
        <v>69.95</v>
      </c>
      <c r="M494" s="4">
        <v>12.4</v>
      </c>
      <c r="N494">
        <v>2</v>
      </c>
    </row>
    <row r="495" spans="2:14" x14ac:dyDescent="0.2">
      <c r="B495" s="696">
        <v>42607.300497685188</v>
      </c>
      <c r="C495" s="1" t="s">
        <v>582</v>
      </c>
      <c r="E495" t="s">
        <v>225</v>
      </c>
      <c r="F495" t="s">
        <v>305</v>
      </c>
      <c r="G495" s="1" t="s">
        <v>3</v>
      </c>
      <c r="H495" s="1">
        <v>547342</v>
      </c>
      <c r="I495" t="s">
        <v>643</v>
      </c>
      <c r="J495" s="110">
        <v>43974856</v>
      </c>
      <c r="K495" s="4">
        <v>95751186</v>
      </c>
      <c r="L495" s="4">
        <v>69.650000000000006</v>
      </c>
      <c r="M495" s="4">
        <v>12.4</v>
      </c>
      <c r="N495">
        <v>1.94</v>
      </c>
    </row>
    <row r="496" spans="2:14" x14ac:dyDescent="0.2">
      <c r="B496" s="696">
        <v>42607.306030092594</v>
      </c>
      <c r="C496" s="1" t="s">
        <v>703</v>
      </c>
      <c r="E496" t="s">
        <v>225</v>
      </c>
      <c r="F496" t="s">
        <v>305</v>
      </c>
      <c r="G496" s="1" t="s">
        <v>3</v>
      </c>
      <c r="H496" s="1">
        <v>550377</v>
      </c>
      <c r="I496" t="s">
        <v>643</v>
      </c>
      <c r="J496" s="110">
        <v>43900034</v>
      </c>
      <c r="K496" s="4">
        <v>95352977</v>
      </c>
      <c r="L496" s="4">
        <v>69.3</v>
      </c>
      <c r="M496" s="4">
        <v>13.7</v>
      </c>
      <c r="N496">
        <v>1.36</v>
      </c>
    </row>
    <row r="497" spans="2:14" x14ac:dyDescent="0.2">
      <c r="B497" s="696">
        <v>42607.306539351855</v>
      </c>
      <c r="C497" s="1" t="s">
        <v>703</v>
      </c>
      <c r="E497" t="s">
        <v>225</v>
      </c>
      <c r="F497" t="s">
        <v>305</v>
      </c>
      <c r="G497" s="1" t="s">
        <v>3</v>
      </c>
      <c r="H497" s="1">
        <v>550377</v>
      </c>
      <c r="I497" t="s">
        <v>643</v>
      </c>
      <c r="J497" s="110">
        <v>43900034</v>
      </c>
      <c r="K497" s="4">
        <v>95933677</v>
      </c>
      <c r="L497" s="4">
        <v>69.3</v>
      </c>
      <c r="M497" s="4">
        <v>13.6</v>
      </c>
      <c r="N497">
        <v>1.26</v>
      </c>
    </row>
    <row r="498" spans="2:14" x14ac:dyDescent="0.2">
      <c r="B498" s="696">
        <v>42607.307129629633</v>
      </c>
      <c r="C498" s="1" t="s">
        <v>703</v>
      </c>
      <c r="E498" t="s">
        <v>225</v>
      </c>
      <c r="F498" t="s">
        <v>305</v>
      </c>
      <c r="G498" s="1" t="s">
        <v>3</v>
      </c>
      <c r="H498" s="1">
        <v>550377</v>
      </c>
      <c r="I498" t="s">
        <v>643</v>
      </c>
      <c r="J498" s="110">
        <v>43900034</v>
      </c>
      <c r="K498" s="4">
        <v>95544136</v>
      </c>
      <c r="L498" s="4">
        <v>69.2</v>
      </c>
      <c r="M498" s="4">
        <v>14</v>
      </c>
      <c r="N498">
        <v>1.4</v>
      </c>
    </row>
    <row r="499" spans="2:14" x14ac:dyDescent="0.2">
      <c r="B499" s="696">
        <v>42607.307951388888</v>
      </c>
      <c r="C499" s="1" t="s">
        <v>703</v>
      </c>
      <c r="E499" t="s">
        <v>225</v>
      </c>
      <c r="F499" t="s">
        <v>305</v>
      </c>
      <c r="G499" s="1" t="s">
        <v>3</v>
      </c>
      <c r="H499" s="1">
        <v>550377</v>
      </c>
      <c r="I499" t="s">
        <v>643</v>
      </c>
      <c r="J499" s="110">
        <v>43900034</v>
      </c>
      <c r="K499" s="4">
        <v>95797932</v>
      </c>
      <c r="L499" s="4">
        <v>69.05</v>
      </c>
      <c r="M499" s="4">
        <v>14</v>
      </c>
      <c r="N499">
        <v>1.58</v>
      </c>
    </row>
    <row r="500" spans="2:14" x14ac:dyDescent="0.2">
      <c r="B500" s="696">
        <v>42607.308506944442</v>
      </c>
      <c r="C500" s="1" t="s">
        <v>703</v>
      </c>
      <c r="E500" t="s">
        <v>225</v>
      </c>
      <c r="F500" t="s">
        <v>305</v>
      </c>
      <c r="G500" s="1" t="s">
        <v>3</v>
      </c>
      <c r="H500" s="1">
        <v>550377</v>
      </c>
      <c r="I500" t="s">
        <v>643</v>
      </c>
      <c r="J500" s="110">
        <v>43900034</v>
      </c>
      <c r="K500" s="4">
        <v>95797924</v>
      </c>
      <c r="L500" s="4">
        <v>69.55</v>
      </c>
      <c r="M500" s="4">
        <v>14</v>
      </c>
      <c r="N500">
        <v>1.4</v>
      </c>
    </row>
    <row r="501" spans="2:14" x14ac:dyDescent="0.2">
      <c r="B501" s="696">
        <v>42607.30909722222</v>
      </c>
      <c r="C501" s="1" t="s">
        <v>582</v>
      </c>
      <c r="E501" t="s">
        <v>225</v>
      </c>
      <c r="F501" t="s">
        <v>305</v>
      </c>
      <c r="G501" s="1" t="s">
        <v>3</v>
      </c>
      <c r="H501" s="1">
        <v>547342</v>
      </c>
      <c r="I501" t="s">
        <v>643</v>
      </c>
      <c r="J501" s="110">
        <v>43870567</v>
      </c>
      <c r="K501" s="4">
        <v>95793758</v>
      </c>
      <c r="L501" s="4">
        <v>68.349999999999994</v>
      </c>
      <c r="M501" s="4">
        <v>13.7</v>
      </c>
      <c r="N501">
        <v>1.1599999999999999</v>
      </c>
    </row>
    <row r="502" spans="2:14" x14ac:dyDescent="0.2">
      <c r="B502" s="696">
        <v>42605.551192129627</v>
      </c>
      <c r="C502" s="1" t="s">
        <v>408</v>
      </c>
      <c r="E502" t="s">
        <v>225</v>
      </c>
      <c r="F502" t="s">
        <v>305</v>
      </c>
      <c r="G502" s="1" t="s">
        <v>3</v>
      </c>
      <c r="H502" s="1">
        <v>553754</v>
      </c>
      <c r="I502" t="s">
        <v>469</v>
      </c>
      <c r="J502" s="110">
        <v>354801</v>
      </c>
      <c r="K502" s="4" t="s">
        <v>438</v>
      </c>
      <c r="L502" s="4">
        <v>24.38</v>
      </c>
      <c r="M502" s="4">
        <v>13.1</v>
      </c>
      <c r="N502">
        <v>2</v>
      </c>
    </row>
    <row r="503" spans="2:14" x14ac:dyDescent="0.2">
      <c r="B503" s="696">
        <v>42605.554837962962</v>
      </c>
      <c r="C503" s="1" t="s">
        <v>408</v>
      </c>
      <c r="E503" t="s">
        <v>225</v>
      </c>
      <c r="F503" t="s">
        <v>305</v>
      </c>
      <c r="G503" s="1" t="s">
        <v>3</v>
      </c>
      <c r="H503" s="1">
        <v>553754</v>
      </c>
      <c r="I503" t="s">
        <v>469</v>
      </c>
      <c r="J503" s="110">
        <v>354504</v>
      </c>
      <c r="K503" s="4" t="s">
        <v>657</v>
      </c>
      <c r="L503" s="4">
        <v>8.98</v>
      </c>
      <c r="M503" s="4">
        <v>13.6</v>
      </c>
      <c r="N503">
        <v>2</v>
      </c>
    </row>
    <row r="504" spans="2:14" x14ac:dyDescent="0.2">
      <c r="B504" s="696">
        <v>42605.562615740739</v>
      </c>
      <c r="C504" s="1" t="s">
        <v>408</v>
      </c>
      <c r="E504" t="s">
        <v>225</v>
      </c>
      <c r="F504" t="s">
        <v>305</v>
      </c>
      <c r="G504" s="1" t="s">
        <v>3</v>
      </c>
      <c r="H504" s="1">
        <v>553754</v>
      </c>
      <c r="I504" t="s">
        <v>469</v>
      </c>
      <c r="J504" s="110">
        <v>354707</v>
      </c>
      <c r="K504" s="4" t="s">
        <v>658</v>
      </c>
      <c r="L504" s="4">
        <v>24.06</v>
      </c>
      <c r="M504" s="4">
        <v>11</v>
      </c>
      <c r="N504">
        <v>1.84</v>
      </c>
    </row>
    <row r="505" spans="2:14" x14ac:dyDescent="0.2">
      <c r="B505" s="696">
        <v>42605.633877314816</v>
      </c>
      <c r="C505" s="1" t="s">
        <v>541</v>
      </c>
      <c r="E505" t="s">
        <v>225</v>
      </c>
      <c r="F505" t="s">
        <v>305</v>
      </c>
      <c r="G505" s="1" t="s">
        <v>3</v>
      </c>
      <c r="H505" s="1">
        <v>553098</v>
      </c>
      <c r="I505" t="s">
        <v>469</v>
      </c>
      <c r="J505" s="110">
        <v>2005</v>
      </c>
      <c r="K505" s="4" t="s">
        <v>615</v>
      </c>
      <c r="L505" s="4">
        <v>23.64</v>
      </c>
      <c r="M505" s="4">
        <v>12.4</v>
      </c>
      <c r="N505">
        <v>1.9</v>
      </c>
    </row>
    <row r="506" spans="2:14" x14ac:dyDescent="0.2">
      <c r="B506" s="696">
        <v>42605.638773148145</v>
      </c>
      <c r="C506" s="1" t="s">
        <v>408</v>
      </c>
      <c r="E506" t="s">
        <v>225</v>
      </c>
      <c r="F506" t="s">
        <v>305</v>
      </c>
      <c r="G506" s="1" t="s">
        <v>3</v>
      </c>
      <c r="H506" s="1">
        <v>553754</v>
      </c>
      <c r="I506" t="s">
        <v>469</v>
      </c>
      <c r="J506" s="110">
        <v>350573</v>
      </c>
      <c r="K506" s="4" t="s">
        <v>659</v>
      </c>
      <c r="L506" s="4">
        <v>17.72</v>
      </c>
      <c r="M506" s="4">
        <v>11.7</v>
      </c>
      <c r="N506">
        <v>2</v>
      </c>
    </row>
    <row r="507" spans="2:14" x14ac:dyDescent="0.2">
      <c r="B507" s="696">
        <v>42605.953587962962</v>
      </c>
      <c r="C507" s="1" t="s">
        <v>408</v>
      </c>
      <c r="E507" t="s">
        <v>225</v>
      </c>
      <c r="F507" t="s">
        <v>305</v>
      </c>
      <c r="G507" s="1" t="s">
        <v>3</v>
      </c>
      <c r="H507" s="1">
        <v>553754</v>
      </c>
      <c r="I507" t="s">
        <v>469</v>
      </c>
      <c r="J507" s="110">
        <v>354505</v>
      </c>
      <c r="K507" s="4" t="s">
        <v>636</v>
      </c>
      <c r="L507" s="4">
        <v>19.84</v>
      </c>
      <c r="M507" s="4">
        <v>12.6</v>
      </c>
      <c r="N507">
        <v>2</v>
      </c>
    </row>
    <row r="508" spans="2:14" x14ac:dyDescent="0.2">
      <c r="B508" s="696">
        <v>42605.963703703703</v>
      </c>
      <c r="C508" s="1" t="s">
        <v>408</v>
      </c>
      <c r="E508" t="s">
        <v>225</v>
      </c>
      <c r="F508" t="s">
        <v>305</v>
      </c>
      <c r="G508" s="1" t="s">
        <v>3</v>
      </c>
      <c r="H508" s="1">
        <v>553754</v>
      </c>
      <c r="I508" t="s">
        <v>469</v>
      </c>
      <c r="J508" s="110">
        <v>350561</v>
      </c>
      <c r="K508" s="4" t="s">
        <v>660</v>
      </c>
      <c r="L508" s="4">
        <v>13.54</v>
      </c>
      <c r="M508" s="4">
        <v>11.2</v>
      </c>
      <c r="N508">
        <v>2</v>
      </c>
    </row>
    <row r="509" spans="2:14" x14ac:dyDescent="0.2">
      <c r="B509" s="696">
        <v>42605.967442129629</v>
      </c>
      <c r="C509" s="1" t="s">
        <v>408</v>
      </c>
      <c r="E509" t="s">
        <v>225</v>
      </c>
      <c r="F509" t="s">
        <v>305</v>
      </c>
      <c r="G509" s="1" t="s">
        <v>3</v>
      </c>
      <c r="H509" s="1">
        <v>553754</v>
      </c>
      <c r="I509" t="s">
        <v>469</v>
      </c>
      <c r="J509" s="110">
        <v>354883</v>
      </c>
      <c r="K509" s="4" t="s">
        <v>661</v>
      </c>
      <c r="L509" s="4">
        <v>6.14</v>
      </c>
      <c r="M509" s="4">
        <v>14</v>
      </c>
      <c r="N509">
        <v>2</v>
      </c>
    </row>
    <row r="510" spans="2:14" x14ac:dyDescent="0.2">
      <c r="B510" s="696">
        <v>42605.971400462964</v>
      </c>
      <c r="C510" s="1" t="s">
        <v>408</v>
      </c>
      <c r="E510" t="s">
        <v>225</v>
      </c>
      <c r="F510" t="s">
        <v>305</v>
      </c>
      <c r="G510" s="1" t="s">
        <v>3</v>
      </c>
      <c r="H510" s="1">
        <v>553754</v>
      </c>
      <c r="I510" t="s">
        <v>469</v>
      </c>
      <c r="J510" s="110">
        <v>354726</v>
      </c>
      <c r="K510" s="4" t="s">
        <v>662</v>
      </c>
      <c r="L510" s="4">
        <v>22.94</v>
      </c>
      <c r="M510" s="4">
        <v>14</v>
      </c>
      <c r="N510">
        <v>1.88</v>
      </c>
    </row>
    <row r="511" spans="2:14" x14ac:dyDescent="0.2">
      <c r="B511" s="696">
        <v>42605.977268518516</v>
      </c>
      <c r="C511" s="1" t="s">
        <v>408</v>
      </c>
      <c r="E511" t="s">
        <v>225</v>
      </c>
      <c r="F511" t="s">
        <v>305</v>
      </c>
      <c r="G511" s="1" t="s">
        <v>3</v>
      </c>
      <c r="H511" s="1">
        <v>553754</v>
      </c>
      <c r="I511" t="s">
        <v>469</v>
      </c>
      <c r="J511" s="110">
        <v>354506</v>
      </c>
      <c r="K511" s="4" t="s">
        <v>663</v>
      </c>
      <c r="L511" s="4">
        <v>24.96</v>
      </c>
      <c r="M511" s="4">
        <v>11.9</v>
      </c>
      <c r="N511">
        <v>1.94</v>
      </c>
    </row>
    <row r="512" spans="2:14" x14ac:dyDescent="0.2">
      <c r="B512" s="696">
        <v>42605.98605324074</v>
      </c>
      <c r="C512" s="1" t="s">
        <v>408</v>
      </c>
      <c r="E512" t="s">
        <v>225</v>
      </c>
      <c r="F512" t="s">
        <v>305</v>
      </c>
      <c r="G512" s="1" t="s">
        <v>3</v>
      </c>
      <c r="H512" s="1">
        <v>553754</v>
      </c>
      <c r="I512" t="s">
        <v>469</v>
      </c>
      <c r="J512" s="110">
        <v>359384</v>
      </c>
      <c r="K512" s="4" t="s">
        <v>664</v>
      </c>
      <c r="L512" s="4">
        <v>25.6</v>
      </c>
      <c r="M512" s="4">
        <v>10.9</v>
      </c>
      <c r="N512">
        <v>1.9</v>
      </c>
    </row>
    <row r="513" spans="2:14" x14ac:dyDescent="0.2">
      <c r="B513" s="696">
        <v>42605.992905092593</v>
      </c>
      <c r="C513" s="1" t="s">
        <v>408</v>
      </c>
      <c r="E513" t="s">
        <v>225</v>
      </c>
      <c r="F513" t="s">
        <v>305</v>
      </c>
      <c r="G513" s="1" t="s">
        <v>3</v>
      </c>
      <c r="H513" s="1">
        <v>553754</v>
      </c>
      <c r="I513" t="s">
        <v>469</v>
      </c>
      <c r="J513" s="110">
        <v>354803</v>
      </c>
      <c r="K513" s="4" t="s">
        <v>533</v>
      </c>
      <c r="L513" s="4">
        <v>22.14</v>
      </c>
      <c r="M513" s="4">
        <v>12.6</v>
      </c>
      <c r="N513">
        <v>1.96</v>
      </c>
    </row>
    <row r="514" spans="2:14" x14ac:dyDescent="0.2">
      <c r="B514" s="696">
        <v>42606.113668981481</v>
      </c>
      <c r="C514" s="1" t="s">
        <v>408</v>
      </c>
      <c r="E514" t="s">
        <v>225</v>
      </c>
      <c r="F514" t="s">
        <v>305</v>
      </c>
      <c r="G514" s="1" t="s">
        <v>3</v>
      </c>
      <c r="H514" s="1">
        <v>553754</v>
      </c>
      <c r="I514" t="s">
        <v>469</v>
      </c>
      <c r="J514" s="110">
        <v>354807</v>
      </c>
      <c r="K514" s="4" t="s">
        <v>665</v>
      </c>
      <c r="L514" s="4">
        <v>23.26</v>
      </c>
      <c r="M514" s="4">
        <v>12.3</v>
      </c>
      <c r="N514">
        <v>1.9</v>
      </c>
    </row>
    <row r="515" spans="2:14" x14ac:dyDescent="0.2">
      <c r="B515" s="696">
        <v>42606.119293981479</v>
      </c>
      <c r="C515" s="1" t="s">
        <v>408</v>
      </c>
      <c r="E515" t="s">
        <v>225</v>
      </c>
      <c r="F515" t="s">
        <v>305</v>
      </c>
      <c r="G515" s="1" t="s">
        <v>3</v>
      </c>
      <c r="H515" s="1">
        <v>553754</v>
      </c>
      <c r="I515" t="s">
        <v>469</v>
      </c>
      <c r="J515" s="110">
        <v>354802</v>
      </c>
      <c r="K515" s="4" t="s">
        <v>666</v>
      </c>
      <c r="L515" s="4">
        <v>23.66</v>
      </c>
      <c r="M515" s="4">
        <v>11.4</v>
      </c>
      <c r="N515">
        <v>1.94</v>
      </c>
    </row>
    <row r="516" spans="2:14" x14ac:dyDescent="0.2">
      <c r="B516" s="696">
        <v>42606.127199074072</v>
      </c>
      <c r="C516" s="1" t="s">
        <v>408</v>
      </c>
      <c r="E516" t="s">
        <v>225</v>
      </c>
      <c r="F516" t="s">
        <v>305</v>
      </c>
      <c r="G516" s="1" t="s">
        <v>3</v>
      </c>
      <c r="H516" s="1">
        <v>553754</v>
      </c>
      <c r="I516" t="s">
        <v>469</v>
      </c>
      <c r="J516" s="110">
        <v>359376</v>
      </c>
      <c r="K516" s="4" t="s">
        <v>667</v>
      </c>
      <c r="L516" s="4">
        <v>22.6</v>
      </c>
      <c r="M516" s="4">
        <v>10.7</v>
      </c>
      <c r="N516">
        <v>2</v>
      </c>
    </row>
    <row r="517" spans="2:14" x14ac:dyDescent="0.2">
      <c r="B517" s="696">
        <v>42606.133958333332</v>
      </c>
      <c r="C517" s="1" t="s">
        <v>408</v>
      </c>
      <c r="E517" t="s">
        <v>225</v>
      </c>
      <c r="F517" t="s">
        <v>305</v>
      </c>
      <c r="G517" s="1" t="s">
        <v>3</v>
      </c>
      <c r="H517" s="1">
        <v>553754</v>
      </c>
      <c r="I517" t="s">
        <v>469</v>
      </c>
      <c r="J517" s="110">
        <v>354507</v>
      </c>
      <c r="K517" s="4" t="s">
        <v>668</v>
      </c>
      <c r="L517" s="4">
        <v>23.5</v>
      </c>
      <c r="M517" s="4">
        <v>12.6</v>
      </c>
      <c r="N517">
        <v>1.88</v>
      </c>
    </row>
    <row r="518" spans="2:14" x14ac:dyDescent="0.2">
      <c r="B518" s="696">
        <v>42606.169502314813</v>
      </c>
      <c r="C518" s="1" t="s">
        <v>408</v>
      </c>
      <c r="E518" t="s">
        <v>225</v>
      </c>
      <c r="F518" t="s">
        <v>305</v>
      </c>
      <c r="G518" s="1" t="s">
        <v>3</v>
      </c>
      <c r="H518" s="1">
        <v>553754</v>
      </c>
      <c r="I518" t="s">
        <v>469</v>
      </c>
      <c r="J518" s="110">
        <v>354882</v>
      </c>
      <c r="K518" s="4" t="s">
        <v>669</v>
      </c>
      <c r="L518" s="4">
        <v>23.32</v>
      </c>
      <c r="M518" s="4">
        <v>11.9</v>
      </c>
      <c r="N518">
        <v>1.86</v>
      </c>
    </row>
    <row r="519" spans="2:14" x14ac:dyDescent="0.2">
      <c r="B519" s="696">
        <v>42606.175358796296</v>
      </c>
      <c r="C519" s="1" t="s">
        <v>408</v>
      </c>
      <c r="E519" t="s">
        <v>225</v>
      </c>
      <c r="F519" t="s">
        <v>305</v>
      </c>
      <c r="G519" s="1" t="s">
        <v>3</v>
      </c>
      <c r="H519" s="1">
        <v>553754</v>
      </c>
      <c r="I519" t="s">
        <v>469</v>
      </c>
      <c r="J519" s="110">
        <v>354508</v>
      </c>
      <c r="K519" s="4" t="s">
        <v>670</v>
      </c>
      <c r="L519" s="4">
        <v>24.26</v>
      </c>
      <c r="M519" s="4">
        <v>12.7</v>
      </c>
      <c r="N519">
        <v>1.88</v>
      </c>
    </row>
    <row r="520" spans="2:14" x14ac:dyDescent="0.2">
      <c r="B520" s="696">
        <v>42606.188101851854</v>
      </c>
      <c r="C520" s="1" t="s">
        <v>408</v>
      </c>
      <c r="E520" t="s">
        <v>225</v>
      </c>
      <c r="F520" t="s">
        <v>305</v>
      </c>
      <c r="G520" s="1" t="s">
        <v>3</v>
      </c>
      <c r="H520" s="1">
        <v>553754</v>
      </c>
      <c r="I520" t="s">
        <v>469</v>
      </c>
      <c r="J520" s="110">
        <v>359386</v>
      </c>
      <c r="K520" s="4" t="s">
        <v>611</v>
      </c>
      <c r="L520" s="4">
        <v>24.62</v>
      </c>
      <c r="M520" s="4">
        <v>12.8</v>
      </c>
      <c r="N520">
        <v>2</v>
      </c>
    </row>
    <row r="521" spans="2:14" x14ac:dyDescent="0.2">
      <c r="B521" s="696">
        <v>42606.196168981478</v>
      </c>
      <c r="C521" s="1" t="s">
        <v>408</v>
      </c>
      <c r="E521" t="s">
        <v>225</v>
      </c>
      <c r="F521" t="s">
        <v>305</v>
      </c>
      <c r="G521" s="1" t="s">
        <v>3</v>
      </c>
      <c r="H521" s="1">
        <v>553754</v>
      </c>
      <c r="I521" t="s">
        <v>469</v>
      </c>
      <c r="J521" s="110">
        <v>342556</v>
      </c>
      <c r="K521" s="4" t="s">
        <v>671</v>
      </c>
      <c r="L521" s="4">
        <v>20.66</v>
      </c>
      <c r="M521" s="4">
        <v>13.9</v>
      </c>
      <c r="N521">
        <v>1.9</v>
      </c>
    </row>
    <row r="522" spans="2:14" x14ac:dyDescent="0.2">
      <c r="B522" s="696">
        <v>42606.200324074074</v>
      </c>
      <c r="C522" s="1" t="s">
        <v>408</v>
      </c>
      <c r="E522" t="s">
        <v>225</v>
      </c>
      <c r="F522" t="s">
        <v>305</v>
      </c>
      <c r="G522" s="1" t="s">
        <v>3</v>
      </c>
      <c r="H522" s="1">
        <v>553754</v>
      </c>
      <c r="I522" t="s">
        <v>469</v>
      </c>
      <c r="J522" s="110">
        <v>355381</v>
      </c>
      <c r="K522" s="4" t="s">
        <v>672</v>
      </c>
      <c r="L522" s="4">
        <v>24.9</v>
      </c>
      <c r="M522" s="4">
        <v>13</v>
      </c>
      <c r="N522">
        <v>1.92</v>
      </c>
    </row>
    <row r="523" spans="2:14" x14ac:dyDescent="0.2">
      <c r="B523" s="696">
        <v>42606.389236111114</v>
      </c>
      <c r="C523" s="1" t="s">
        <v>408</v>
      </c>
      <c r="E523" t="s">
        <v>225</v>
      </c>
      <c r="F523" t="s">
        <v>305</v>
      </c>
      <c r="G523" s="1" t="s">
        <v>3</v>
      </c>
      <c r="H523" s="1">
        <v>553754</v>
      </c>
      <c r="I523" t="s">
        <v>469</v>
      </c>
      <c r="J523" s="110">
        <v>354511</v>
      </c>
      <c r="K523" s="4" t="s">
        <v>673</v>
      </c>
      <c r="L523" s="4">
        <v>22.7</v>
      </c>
      <c r="M523" s="4">
        <v>13.4</v>
      </c>
      <c r="N523">
        <v>2</v>
      </c>
    </row>
    <row r="524" spans="2:14" x14ac:dyDescent="0.2">
      <c r="B524" s="696">
        <v>42606.422233796293</v>
      </c>
      <c r="C524" s="1" t="s">
        <v>408</v>
      </c>
      <c r="E524" t="s">
        <v>225</v>
      </c>
      <c r="F524" t="s">
        <v>305</v>
      </c>
      <c r="G524" s="1" t="s">
        <v>3</v>
      </c>
      <c r="H524" s="1">
        <v>553754</v>
      </c>
      <c r="I524" t="s">
        <v>469</v>
      </c>
      <c r="J524" s="110">
        <v>355361</v>
      </c>
      <c r="K524" s="4" t="s">
        <v>674</v>
      </c>
      <c r="L524" s="4">
        <v>25.72</v>
      </c>
      <c r="M524" s="4">
        <v>11.8</v>
      </c>
      <c r="N524">
        <v>1.9</v>
      </c>
    </row>
    <row r="525" spans="2:14" x14ac:dyDescent="0.2">
      <c r="B525" s="696">
        <v>42606.429108796299</v>
      </c>
      <c r="C525" s="1" t="s">
        <v>408</v>
      </c>
      <c r="E525" t="s">
        <v>225</v>
      </c>
      <c r="F525" t="s">
        <v>305</v>
      </c>
      <c r="G525" s="1" t="s">
        <v>3</v>
      </c>
      <c r="H525" s="1">
        <v>553754</v>
      </c>
      <c r="I525" t="s">
        <v>469</v>
      </c>
      <c r="J525" s="110">
        <v>320284</v>
      </c>
      <c r="K525" s="4" t="s">
        <v>675</v>
      </c>
      <c r="L525" s="4">
        <v>25.98</v>
      </c>
      <c r="M525" s="4">
        <v>12.9</v>
      </c>
      <c r="N525">
        <v>1.88</v>
      </c>
    </row>
    <row r="526" spans="2:14" x14ac:dyDescent="0.2">
      <c r="B526" s="696">
        <v>42606.438009259262</v>
      </c>
      <c r="C526" s="1" t="s">
        <v>408</v>
      </c>
      <c r="E526" t="s">
        <v>225</v>
      </c>
      <c r="F526" t="s">
        <v>305</v>
      </c>
      <c r="G526" s="1" t="s">
        <v>3</v>
      </c>
      <c r="H526" s="1">
        <v>553754</v>
      </c>
      <c r="I526" t="s">
        <v>469</v>
      </c>
      <c r="J526" s="110">
        <v>320283</v>
      </c>
      <c r="K526" s="4" t="s">
        <v>676</v>
      </c>
      <c r="L526" s="4">
        <v>25.38</v>
      </c>
      <c r="M526" s="4">
        <v>13</v>
      </c>
      <c r="N526">
        <v>1.94</v>
      </c>
    </row>
    <row r="527" spans="2:14" x14ac:dyDescent="0.2">
      <c r="B527" s="696">
        <v>42606.44431712963</v>
      </c>
      <c r="C527" s="1" t="s">
        <v>408</v>
      </c>
      <c r="E527" t="s">
        <v>225</v>
      </c>
      <c r="F527" t="s">
        <v>305</v>
      </c>
      <c r="G527" s="1" t="s">
        <v>3</v>
      </c>
      <c r="H527" s="1">
        <v>553754</v>
      </c>
      <c r="I527" t="s">
        <v>469</v>
      </c>
      <c r="J527" s="110">
        <v>354512</v>
      </c>
      <c r="K527" s="4" t="s">
        <v>677</v>
      </c>
      <c r="L527" s="4">
        <v>25.7</v>
      </c>
      <c r="M527" s="4">
        <v>12.3</v>
      </c>
      <c r="N527">
        <v>1.8</v>
      </c>
    </row>
    <row r="528" spans="2:14" x14ac:dyDescent="0.2">
      <c r="B528" s="696">
        <v>42606.45040509259</v>
      </c>
      <c r="C528" s="1" t="s">
        <v>408</v>
      </c>
      <c r="E528" t="s">
        <v>225</v>
      </c>
      <c r="F528" t="s">
        <v>305</v>
      </c>
      <c r="G528" s="1" t="s">
        <v>3</v>
      </c>
      <c r="H528" s="1">
        <v>553754</v>
      </c>
      <c r="I528" t="s">
        <v>469</v>
      </c>
      <c r="J528" s="110">
        <v>354513</v>
      </c>
      <c r="K528" s="4" t="s">
        <v>678</v>
      </c>
      <c r="L528" s="4">
        <v>26.98</v>
      </c>
      <c r="M528" s="4">
        <v>12.1</v>
      </c>
      <c r="N528">
        <v>1.94</v>
      </c>
    </row>
    <row r="529" spans="2:14" x14ac:dyDescent="0.2">
      <c r="B529" s="696">
        <v>42606.454687500001</v>
      </c>
      <c r="C529" s="1" t="s">
        <v>408</v>
      </c>
      <c r="E529" t="s">
        <v>225</v>
      </c>
      <c r="F529" t="s">
        <v>305</v>
      </c>
      <c r="G529" s="1" t="s">
        <v>3</v>
      </c>
      <c r="H529" s="1">
        <v>553754</v>
      </c>
      <c r="I529" t="s">
        <v>469</v>
      </c>
      <c r="J529" s="110">
        <v>354514</v>
      </c>
      <c r="K529" s="4" t="s">
        <v>679</v>
      </c>
      <c r="L529" s="4">
        <v>23.02</v>
      </c>
      <c r="M529" s="4">
        <v>12.3</v>
      </c>
      <c r="N529">
        <v>2</v>
      </c>
    </row>
    <row r="530" spans="2:14" x14ac:dyDescent="0.2">
      <c r="B530" s="696">
        <v>42606.465092592596</v>
      </c>
      <c r="C530" s="1" t="s">
        <v>408</v>
      </c>
      <c r="E530" t="s">
        <v>225</v>
      </c>
      <c r="F530" t="s">
        <v>305</v>
      </c>
      <c r="G530" s="1" t="s">
        <v>3</v>
      </c>
      <c r="H530" s="1">
        <v>553754</v>
      </c>
      <c r="I530" t="s">
        <v>469</v>
      </c>
      <c r="J530" s="110">
        <v>354881</v>
      </c>
      <c r="K530" s="4" t="s">
        <v>680</v>
      </c>
      <c r="L530" s="4">
        <v>20.8</v>
      </c>
      <c r="M530" s="4">
        <v>11.5</v>
      </c>
      <c r="N530">
        <v>1.96</v>
      </c>
    </row>
    <row r="531" spans="2:14" x14ac:dyDescent="0.2">
      <c r="B531" s="696">
        <v>42606.472662037035</v>
      </c>
      <c r="C531" s="1" t="s">
        <v>408</v>
      </c>
      <c r="E531" t="s">
        <v>225</v>
      </c>
      <c r="F531" t="s">
        <v>305</v>
      </c>
      <c r="G531" s="1" t="s">
        <v>3</v>
      </c>
      <c r="H531" s="1">
        <v>553754</v>
      </c>
      <c r="I531" t="s">
        <v>469</v>
      </c>
      <c r="J531" s="110">
        <v>354510</v>
      </c>
      <c r="K531" s="4" t="s">
        <v>681</v>
      </c>
      <c r="L531" s="4">
        <v>25.12</v>
      </c>
      <c r="M531" s="4">
        <v>12.6</v>
      </c>
      <c r="N531">
        <v>1.9</v>
      </c>
    </row>
    <row r="532" spans="2:14" x14ac:dyDescent="0.2">
      <c r="B532" s="696">
        <v>42606.479178240741</v>
      </c>
      <c r="C532" s="1" t="s">
        <v>408</v>
      </c>
      <c r="E532" t="s">
        <v>225</v>
      </c>
      <c r="F532" t="s">
        <v>305</v>
      </c>
      <c r="G532" s="1" t="s">
        <v>3</v>
      </c>
      <c r="H532" s="1">
        <v>553754</v>
      </c>
      <c r="I532" t="s">
        <v>469</v>
      </c>
      <c r="J532" s="110">
        <v>359379</v>
      </c>
      <c r="K532" s="4" t="s">
        <v>682</v>
      </c>
      <c r="L532" s="4">
        <v>22.06</v>
      </c>
      <c r="M532" s="4">
        <v>10</v>
      </c>
      <c r="N532">
        <v>1.92</v>
      </c>
    </row>
    <row r="533" spans="2:14" x14ac:dyDescent="0.2">
      <c r="B533" s="696">
        <v>42606.560590277775</v>
      </c>
      <c r="C533" s="1" t="s">
        <v>408</v>
      </c>
      <c r="E533" t="s">
        <v>225</v>
      </c>
      <c r="F533" t="s">
        <v>305</v>
      </c>
      <c r="G533" s="1" t="s">
        <v>3</v>
      </c>
      <c r="H533" s="1">
        <v>553754</v>
      </c>
      <c r="I533" t="s">
        <v>469</v>
      </c>
      <c r="J533" s="110">
        <v>359380</v>
      </c>
      <c r="K533" s="4" t="s">
        <v>683</v>
      </c>
      <c r="L533" s="4">
        <v>24.04</v>
      </c>
      <c r="M533" s="4">
        <v>11.2</v>
      </c>
      <c r="N533">
        <v>2</v>
      </c>
    </row>
    <row r="534" spans="2:14" x14ac:dyDescent="0.2">
      <c r="B534" s="696">
        <v>42606.637291666666</v>
      </c>
      <c r="C534" s="1" t="s">
        <v>541</v>
      </c>
      <c r="E534" t="s">
        <v>225</v>
      </c>
      <c r="F534" t="s">
        <v>305</v>
      </c>
      <c r="G534" s="1" t="s">
        <v>3</v>
      </c>
      <c r="H534" s="1">
        <v>553098</v>
      </c>
      <c r="I534" t="s">
        <v>469</v>
      </c>
      <c r="J534" s="110">
        <v>2006</v>
      </c>
      <c r="K534" s="4" t="s">
        <v>684</v>
      </c>
      <c r="L534" s="4">
        <v>24.96</v>
      </c>
      <c r="M534" s="4">
        <v>12.2</v>
      </c>
      <c r="N534">
        <v>1.92</v>
      </c>
    </row>
    <row r="535" spans="2:14" x14ac:dyDescent="0.2">
      <c r="B535" s="696">
        <v>42606.641087962962</v>
      </c>
      <c r="C535" s="1" t="s">
        <v>408</v>
      </c>
      <c r="E535" t="s">
        <v>225</v>
      </c>
      <c r="F535" t="s">
        <v>305</v>
      </c>
      <c r="G535" s="1" t="s">
        <v>3</v>
      </c>
      <c r="H535" s="1">
        <v>553754</v>
      </c>
      <c r="I535" t="s">
        <v>469</v>
      </c>
      <c r="J535" s="110">
        <v>320296</v>
      </c>
      <c r="K535" s="4" t="s">
        <v>685</v>
      </c>
      <c r="L535" s="4">
        <v>25.94</v>
      </c>
      <c r="M535" s="4">
        <v>13</v>
      </c>
      <c r="N535">
        <v>2</v>
      </c>
    </row>
    <row r="536" spans="2:14" x14ac:dyDescent="0.2">
      <c r="B536" s="696">
        <v>42606.897175925929</v>
      </c>
      <c r="C536" s="1" t="s">
        <v>408</v>
      </c>
      <c r="E536" t="s">
        <v>225</v>
      </c>
      <c r="F536" t="s">
        <v>305</v>
      </c>
      <c r="G536" s="1" t="s">
        <v>3</v>
      </c>
      <c r="H536" s="1">
        <v>553754</v>
      </c>
      <c r="I536" t="s">
        <v>469</v>
      </c>
      <c r="J536" s="110">
        <v>359383</v>
      </c>
      <c r="K536" s="4" t="s">
        <v>667</v>
      </c>
      <c r="L536" s="4">
        <v>24.34</v>
      </c>
      <c r="M536" s="4">
        <v>10.9</v>
      </c>
      <c r="N536">
        <v>1.94</v>
      </c>
    </row>
    <row r="537" spans="2:14" x14ac:dyDescent="0.2">
      <c r="B537" s="696">
        <v>42606.903831018521</v>
      </c>
      <c r="C537" s="1" t="s">
        <v>408</v>
      </c>
      <c r="E537" t="s">
        <v>225</v>
      </c>
      <c r="F537" t="s">
        <v>305</v>
      </c>
      <c r="G537" s="1" t="s">
        <v>3</v>
      </c>
      <c r="H537" s="1">
        <v>553754</v>
      </c>
      <c r="I537" t="s">
        <v>469</v>
      </c>
      <c r="J537" s="110">
        <v>359377</v>
      </c>
      <c r="K537" s="4" t="s">
        <v>686</v>
      </c>
      <c r="L537" s="4">
        <v>23.9</v>
      </c>
      <c r="M537" s="4">
        <v>10.6</v>
      </c>
      <c r="N537">
        <v>2</v>
      </c>
    </row>
    <row r="538" spans="2:14" x14ac:dyDescent="0.2">
      <c r="B538" s="696">
        <v>42606.918043981481</v>
      </c>
      <c r="C538" s="1" t="s">
        <v>408</v>
      </c>
      <c r="E538" t="s">
        <v>225</v>
      </c>
      <c r="F538" t="s">
        <v>305</v>
      </c>
      <c r="G538" s="1" t="s">
        <v>3</v>
      </c>
      <c r="H538" s="1">
        <v>553754</v>
      </c>
      <c r="I538" t="s">
        <v>469</v>
      </c>
      <c r="J538" s="110">
        <v>354806</v>
      </c>
      <c r="K538" s="4" t="s">
        <v>666</v>
      </c>
      <c r="L538" s="4">
        <v>24.3</v>
      </c>
      <c r="M538" s="4">
        <v>11.4</v>
      </c>
      <c r="N538">
        <v>2</v>
      </c>
    </row>
    <row r="539" spans="2:14" x14ac:dyDescent="0.2">
      <c r="B539" s="696">
        <v>42606.924629629626</v>
      </c>
      <c r="C539" s="1" t="s">
        <v>408</v>
      </c>
      <c r="E539" t="s">
        <v>225</v>
      </c>
      <c r="F539" t="s">
        <v>305</v>
      </c>
      <c r="G539" s="1" t="s">
        <v>3</v>
      </c>
      <c r="H539" s="1">
        <v>553754</v>
      </c>
      <c r="I539" t="s">
        <v>469</v>
      </c>
      <c r="J539" s="110">
        <v>354805</v>
      </c>
      <c r="K539" s="4" t="s">
        <v>438</v>
      </c>
      <c r="L539" s="4">
        <v>25.36</v>
      </c>
      <c r="M539" s="4">
        <v>11.3</v>
      </c>
      <c r="N539">
        <v>2</v>
      </c>
    </row>
    <row r="540" spans="2:14" x14ac:dyDescent="0.2">
      <c r="B540" s="696">
        <v>42606.942326388889</v>
      </c>
      <c r="C540" s="1" t="s">
        <v>408</v>
      </c>
      <c r="E540" t="s">
        <v>225</v>
      </c>
      <c r="F540" t="s">
        <v>305</v>
      </c>
      <c r="G540" s="1" t="s">
        <v>3</v>
      </c>
      <c r="H540" s="1">
        <v>553754</v>
      </c>
      <c r="I540" t="s">
        <v>469</v>
      </c>
      <c r="J540" s="110">
        <v>354516</v>
      </c>
      <c r="K540" s="4" t="s">
        <v>422</v>
      </c>
      <c r="L540" s="4">
        <v>25.82</v>
      </c>
      <c r="M540" s="4">
        <v>12.2</v>
      </c>
      <c r="N540">
        <v>2</v>
      </c>
    </row>
    <row r="541" spans="2:14" x14ac:dyDescent="0.2">
      <c r="B541" s="696">
        <v>42606.95884259259</v>
      </c>
      <c r="C541" s="1" t="s">
        <v>408</v>
      </c>
      <c r="E541" t="s">
        <v>225</v>
      </c>
      <c r="F541" t="s">
        <v>305</v>
      </c>
      <c r="G541" s="1" t="s">
        <v>3</v>
      </c>
      <c r="H541" s="1">
        <v>553754</v>
      </c>
      <c r="I541" t="s">
        <v>469</v>
      </c>
      <c r="J541" s="110">
        <v>354809</v>
      </c>
      <c r="K541" s="4" t="s">
        <v>687</v>
      </c>
      <c r="L541" s="4">
        <v>23.74</v>
      </c>
      <c r="M541" s="4">
        <v>11.3</v>
      </c>
      <c r="N541">
        <v>1.9</v>
      </c>
    </row>
    <row r="542" spans="2:14" x14ac:dyDescent="0.2">
      <c r="B542" s="696">
        <v>42607.191840277781</v>
      </c>
      <c r="C542" s="1" t="s">
        <v>408</v>
      </c>
      <c r="E542" t="s">
        <v>225</v>
      </c>
      <c r="F542" t="s">
        <v>305</v>
      </c>
      <c r="G542" s="1" t="s">
        <v>3</v>
      </c>
      <c r="H542" s="1">
        <v>553754</v>
      </c>
      <c r="I542" t="s">
        <v>469</v>
      </c>
      <c r="J542" s="110">
        <v>354811</v>
      </c>
      <c r="K542" s="4" t="s">
        <v>688</v>
      </c>
      <c r="L542" s="4">
        <v>22.96</v>
      </c>
      <c r="M542" s="4">
        <v>11.2</v>
      </c>
      <c r="N542">
        <v>2</v>
      </c>
    </row>
    <row r="543" spans="2:14" x14ac:dyDescent="0.2">
      <c r="B543" s="696">
        <v>42607.196111111109</v>
      </c>
      <c r="C543" s="1" t="s">
        <v>408</v>
      </c>
      <c r="E543" t="s">
        <v>225</v>
      </c>
      <c r="F543" t="s">
        <v>305</v>
      </c>
      <c r="G543" s="1" t="s">
        <v>3</v>
      </c>
      <c r="H543" s="1">
        <v>553754</v>
      </c>
      <c r="I543" t="s">
        <v>469</v>
      </c>
      <c r="J543" s="110">
        <v>359382</v>
      </c>
      <c r="K543" s="4" t="s">
        <v>689</v>
      </c>
      <c r="L543" s="4">
        <v>22.52</v>
      </c>
      <c r="M543" s="4">
        <v>10.9</v>
      </c>
      <c r="N543">
        <v>2</v>
      </c>
    </row>
    <row r="544" spans="2:14" x14ac:dyDescent="0.2">
      <c r="B544" s="696">
        <v>42607.200694444444</v>
      </c>
      <c r="C544" s="1" t="s">
        <v>408</v>
      </c>
      <c r="E544" t="s">
        <v>225</v>
      </c>
      <c r="F544" t="s">
        <v>305</v>
      </c>
      <c r="G544" s="1" t="s">
        <v>3</v>
      </c>
      <c r="H544" s="1">
        <v>553754</v>
      </c>
      <c r="I544" t="s">
        <v>469</v>
      </c>
      <c r="J544" s="110">
        <v>327266</v>
      </c>
      <c r="K544" s="4" t="s">
        <v>690</v>
      </c>
      <c r="L544" s="4">
        <v>24.62</v>
      </c>
      <c r="M544" s="4">
        <v>12.8</v>
      </c>
      <c r="N544">
        <v>2</v>
      </c>
    </row>
    <row r="545" spans="2:14" x14ac:dyDescent="0.2">
      <c r="B545" s="696">
        <v>42605.646226851852</v>
      </c>
      <c r="C545" s="1" t="s">
        <v>461</v>
      </c>
      <c r="E545" t="s">
        <v>225</v>
      </c>
      <c r="F545" t="s">
        <v>305</v>
      </c>
      <c r="G545" s="1" t="s">
        <v>3</v>
      </c>
      <c r="H545" s="1">
        <v>553068</v>
      </c>
      <c r="I545" t="s">
        <v>470</v>
      </c>
      <c r="J545" s="110">
        <v>34783308</v>
      </c>
      <c r="K545" s="4">
        <v>95800355</v>
      </c>
      <c r="L545" s="4">
        <v>61.6</v>
      </c>
      <c r="M545" s="4">
        <v>7.5</v>
      </c>
      <c r="N545">
        <v>1.94</v>
      </c>
    </row>
    <row r="546" spans="2:14" x14ac:dyDescent="0.2">
      <c r="B546" s="696">
        <v>42605.646817129629</v>
      </c>
      <c r="C546" s="1" t="s">
        <v>461</v>
      </c>
      <c r="E546" t="s">
        <v>225</v>
      </c>
      <c r="F546" t="s">
        <v>305</v>
      </c>
      <c r="G546" s="1" t="s">
        <v>3</v>
      </c>
      <c r="H546" s="1">
        <v>553068</v>
      </c>
      <c r="I546" t="s">
        <v>470</v>
      </c>
      <c r="J546" s="110">
        <v>34783308</v>
      </c>
      <c r="K546" s="4">
        <v>95327235</v>
      </c>
      <c r="L546" s="4">
        <v>59.35</v>
      </c>
      <c r="M546" s="4">
        <v>7.4</v>
      </c>
      <c r="N546">
        <v>1.97</v>
      </c>
    </row>
    <row r="547" spans="2:14" x14ac:dyDescent="0.2">
      <c r="B547" s="696">
        <v>42605.647106481483</v>
      </c>
      <c r="C547" s="1" t="s">
        <v>461</v>
      </c>
      <c r="E547" t="s">
        <v>225</v>
      </c>
      <c r="F547" t="s">
        <v>305</v>
      </c>
      <c r="G547" s="1" t="s">
        <v>3</v>
      </c>
      <c r="H547" s="1">
        <v>553068</v>
      </c>
      <c r="I547" t="s">
        <v>470</v>
      </c>
      <c r="J547" s="110">
        <v>34783308</v>
      </c>
      <c r="K547" s="4">
        <v>95668380</v>
      </c>
      <c r="L547" s="4">
        <v>62.35</v>
      </c>
      <c r="M547" s="4">
        <v>7.2</v>
      </c>
      <c r="N547">
        <v>1.94</v>
      </c>
    </row>
    <row r="548" spans="2:14" x14ac:dyDescent="0.2">
      <c r="B548" s="696">
        <v>42605.647581018522</v>
      </c>
      <c r="C548" s="1" t="s">
        <v>461</v>
      </c>
      <c r="E548" t="s">
        <v>225</v>
      </c>
      <c r="F548" t="s">
        <v>305</v>
      </c>
      <c r="G548" s="1" t="s">
        <v>3</v>
      </c>
      <c r="H548" s="1">
        <v>553068</v>
      </c>
      <c r="I548" t="s">
        <v>470</v>
      </c>
      <c r="J548" s="110">
        <v>34783308</v>
      </c>
      <c r="K548" s="4">
        <v>95544169</v>
      </c>
      <c r="L548" s="4">
        <v>62.35</v>
      </c>
      <c r="M548" s="4">
        <v>7.3</v>
      </c>
      <c r="N548">
        <v>1.96</v>
      </c>
    </row>
    <row r="549" spans="2:14" x14ac:dyDescent="0.2">
      <c r="B549" s="696">
        <v>42605.647847222222</v>
      </c>
      <c r="C549" s="1" t="s">
        <v>461</v>
      </c>
      <c r="E549" t="s">
        <v>225</v>
      </c>
      <c r="F549" t="s">
        <v>305</v>
      </c>
      <c r="G549" s="1" t="s">
        <v>3</v>
      </c>
      <c r="H549" s="1">
        <v>553068</v>
      </c>
      <c r="I549" t="s">
        <v>470</v>
      </c>
      <c r="J549" s="110">
        <v>34783308</v>
      </c>
      <c r="K549" s="4">
        <v>95652541</v>
      </c>
      <c r="L549" s="4">
        <v>60.6</v>
      </c>
      <c r="M549" s="4">
        <v>7.2</v>
      </c>
      <c r="N549">
        <v>1.9</v>
      </c>
    </row>
    <row r="550" spans="2:14" x14ac:dyDescent="0.2">
      <c r="B550" s="696">
        <v>42605.6481712963</v>
      </c>
      <c r="C550" s="1" t="s">
        <v>700</v>
      </c>
      <c r="E550" t="s">
        <v>225</v>
      </c>
      <c r="F550" t="s">
        <v>305</v>
      </c>
      <c r="G550" s="1" t="s">
        <v>3</v>
      </c>
      <c r="H550" s="1">
        <v>551832</v>
      </c>
      <c r="I550" t="s">
        <v>470</v>
      </c>
      <c r="J550" s="110">
        <v>47143755</v>
      </c>
      <c r="K550" s="4">
        <v>95796603</v>
      </c>
      <c r="L550" s="4">
        <v>62.3</v>
      </c>
      <c r="M550" s="4">
        <v>7.1</v>
      </c>
      <c r="N550">
        <v>2</v>
      </c>
    </row>
    <row r="551" spans="2:14" x14ac:dyDescent="0.2">
      <c r="B551" s="696">
        <v>42605.6484375</v>
      </c>
      <c r="C551" s="1" t="s">
        <v>700</v>
      </c>
      <c r="E551" t="s">
        <v>225</v>
      </c>
      <c r="F551" t="s">
        <v>305</v>
      </c>
      <c r="G551" s="1" t="s">
        <v>3</v>
      </c>
      <c r="H551" s="1">
        <v>551832</v>
      </c>
      <c r="I551" t="s">
        <v>470</v>
      </c>
      <c r="J551" s="110">
        <v>47143755</v>
      </c>
      <c r="K551" s="4">
        <v>95832671</v>
      </c>
      <c r="L551" s="4">
        <v>59.75</v>
      </c>
      <c r="M551" s="4">
        <v>7</v>
      </c>
      <c r="N551">
        <v>2</v>
      </c>
    </row>
    <row r="552" spans="2:14" x14ac:dyDescent="0.2">
      <c r="B552" s="696">
        <v>42605.648715277777</v>
      </c>
      <c r="C552" s="1" t="s">
        <v>700</v>
      </c>
      <c r="E552" t="s">
        <v>225</v>
      </c>
      <c r="F552" t="s">
        <v>305</v>
      </c>
      <c r="G552" s="1" t="s">
        <v>3</v>
      </c>
      <c r="H552" s="1">
        <v>551832</v>
      </c>
      <c r="I552" t="s">
        <v>470</v>
      </c>
      <c r="J552" s="110">
        <v>47143755</v>
      </c>
      <c r="K552" s="4">
        <v>95525440</v>
      </c>
      <c r="L552" s="4">
        <v>59.6</v>
      </c>
      <c r="M552" s="4">
        <v>7.2</v>
      </c>
      <c r="N552">
        <v>1.84</v>
      </c>
    </row>
    <row r="553" spans="2:14" x14ac:dyDescent="0.2">
      <c r="B553" s="696">
        <v>42606.120405092595</v>
      </c>
      <c r="C553" s="1" t="s">
        <v>461</v>
      </c>
      <c r="E553" t="s">
        <v>225</v>
      </c>
      <c r="F553" t="s">
        <v>305</v>
      </c>
      <c r="G553" s="1" t="s">
        <v>3</v>
      </c>
      <c r="H553" s="1">
        <v>553068</v>
      </c>
      <c r="I553" t="s">
        <v>470</v>
      </c>
      <c r="J553" s="110">
        <v>34830752</v>
      </c>
      <c r="K553" s="4">
        <v>95799987</v>
      </c>
      <c r="L553" s="4">
        <v>61.65</v>
      </c>
      <c r="M553" s="4">
        <v>7.8</v>
      </c>
      <c r="N553">
        <v>1.96</v>
      </c>
    </row>
    <row r="554" spans="2:14" x14ac:dyDescent="0.2">
      <c r="B554" s="696">
        <v>42606.121342592596</v>
      </c>
      <c r="C554" s="1" t="s">
        <v>461</v>
      </c>
      <c r="E554" t="s">
        <v>225</v>
      </c>
      <c r="F554" t="s">
        <v>305</v>
      </c>
      <c r="G554" s="1" t="s">
        <v>3</v>
      </c>
      <c r="H554" s="1">
        <v>553068</v>
      </c>
      <c r="I554" t="s">
        <v>470</v>
      </c>
      <c r="J554" s="110">
        <v>34830752</v>
      </c>
      <c r="K554" s="4">
        <v>95447850</v>
      </c>
      <c r="L554" s="4">
        <v>62.1</v>
      </c>
      <c r="M554" s="4">
        <v>7.6</v>
      </c>
      <c r="N554">
        <v>2</v>
      </c>
    </row>
    <row r="555" spans="2:14" x14ac:dyDescent="0.2">
      <c r="B555" s="696">
        <v>42606.122013888889</v>
      </c>
      <c r="C555" s="1" t="s">
        <v>623</v>
      </c>
      <c r="E555" t="s">
        <v>225</v>
      </c>
      <c r="F555" t="s">
        <v>305</v>
      </c>
      <c r="G555" s="1" t="s">
        <v>3</v>
      </c>
      <c r="H555" s="1">
        <v>553278</v>
      </c>
      <c r="I555" t="s">
        <v>470</v>
      </c>
      <c r="J555" s="110">
        <v>47169032</v>
      </c>
      <c r="K555" s="4">
        <v>95092714</v>
      </c>
      <c r="L555" s="4">
        <v>68.3</v>
      </c>
      <c r="M555" s="4">
        <v>6.5</v>
      </c>
      <c r="N555">
        <v>1.92</v>
      </c>
    </row>
    <row r="556" spans="2:14" x14ac:dyDescent="0.2">
      <c r="B556" s="696">
        <v>42606.122754629629</v>
      </c>
      <c r="C556" s="1" t="s">
        <v>623</v>
      </c>
      <c r="E556" t="s">
        <v>225</v>
      </c>
      <c r="F556" t="s">
        <v>305</v>
      </c>
      <c r="G556" s="1" t="s">
        <v>3</v>
      </c>
      <c r="H556" s="1">
        <v>553278</v>
      </c>
      <c r="I556" t="s">
        <v>470</v>
      </c>
      <c r="J556" s="110">
        <v>47169032</v>
      </c>
      <c r="K556" s="4">
        <v>95091823</v>
      </c>
      <c r="L556" s="4">
        <v>67.900000000000006</v>
      </c>
      <c r="M556" s="4">
        <v>6.6</v>
      </c>
      <c r="N556">
        <v>1.96</v>
      </c>
    </row>
    <row r="557" spans="2:14" x14ac:dyDescent="0.2">
      <c r="B557" s="696">
        <v>42606.123425925929</v>
      </c>
      <c r="C557" s="1" t="s">
        <v>623</v>
      </c>
      <c r="E557" t="s">
        <v>225</v>
      </c>
      <c r="F557" t="s">
        <v>305</v>
      </c>
      <c r="G557" s="1" t="s">
        <v>3</v>
      </c>
      <c r="H557" s="1">
        <v>553278</v>
      </c>
      <c r="I557" t="s">
        <v>470</v>
      </c>
      <c r="J557" s="110">
        <v>47169032</v>
      </c>
      <c r="K557" s="4">
        <v>95093571</v>
      </c>
      <c r="L557" s="4">
        <v>67.95</v>
      </c>
      <c r="M557" s="4">
        <v>6.5</v>
      </c>
      <c r="N557">
        <v>1.96</v>
      </c>
    </row>
    <row r="558" spans="2:14" x14ac:dyDescent="0.2">
      <c r="B558" s="696">
        <v>42606.124085648145</v>
      </c>
      <c r="C558" s="1" t="s">
        <v>623</v>
      </c>
      <c r="E558" t="s">
        <v>225</v>
      </c>
      <c r="F558" t="s">
        <v>305</v>
      </c>
      <c r="G558" s="1" t="s">
        <v>3</v>
      </c>
      <c r="H558" s="1">
        <v>553278</v>
      </c>
      <c r="I558" t="s">
        <v>470</v>
      </c>
      <c r="J558" s="110">
        <v>47169032</v>
      </c>
      <c r="K558" s="4">
        <v>95092284</v>
      </c>
      <c r="L558" s="4">
        <v>66.45</v>
      </c>
      <c r="M558" s="4">
        <v>6.5</v>
      </c>
      <c r="N558">
        <v>2</v>
      </c>
    </row>
    <row r="559" spans="2:14" x14ac:dyDescent="0.2">
      <c r="B559" s="696">
        <v>42606.124872685185</v>
      </c>
      <c r="C559" s="1" t="s">
        <v>623</v>
      </c>
      <c r="E559" t="s">
        <v>225</v>
      </c>
      <c r="F559" t="s">
        <v>305</v>
      </c>
      <c r="G559" s="1" t="s">
        <v>3</v>
      </c>
      <c r="H559" s="1">
        <v>553278</v>
      </c>
      <c r="I559" t="s">
        <v>470</v>
      </c>
      <c r="J559" s="110">
        <v>47169032</v>
      </c>
      <c r="K559" s="4">
        <v>95092342</v>
      </c>
      <c r="L559" s="4">
        <v>65.7</v>
      </c>
      <c r="M559" s="4">
        <v>6.7</v>
      </c>
      <c r="N559">
        <v>2</v>
      </c>
    </row>
    <row r="560" spans="2:14" x14ac:dyDescent="0.2">
      <c r="B560" s="696">
        <v>42606.125601851854</v>
      </c>
      <c r="C560" s="1" t="s">
        <v>623</v>
      </c>
      <c r="E560" t="s">
        <v>225</v>
      </c>
      <c r="F560" t="s">
        <v>305</v>
      </c>
      <c r="G560" s="1" t="s">
        <v>3</v>
      </c>
      <c r="H560" s="1">
        <v>553278</v>
      </c>
      <c r="I560" t="s">
        <v>470</v>
      </c>
      <c r="J560" s="110">
        <v>47169032</v>
      </c>
      <c r="K560" s="4">
        <v>95094231</v>
      </c>
      <c r="L560" s="4">
        <v>63.95</v>
      </c>
      <c r="M560" s="4">
        <v>6.6</v>
      </c>
      <c r="N560">
        <v>1.98</v>
      </c>
    </row>
    <row r="561" spans="2:14" x14ac:dyDescent="0.2">
      <c r="B561" s="696">
        <v>42606.782500000001</v>
      </c>
      <c r="C561" s="1" t="s">
        <v>704</v>
      </c>
      <c r="E561" t="s">
        <v>225</v>
      </c>
      <c r="F561" t="s">
        <v>305</v>
      </c>
      <c r="G561" s="1" t="s">
        <v>3</v>
      </c>
      <c r="H561" s="1">
        <v>553610</v>
      </c>
      <c r="I561" t="s">
        <v>470</v>
      </c>
      <c r="J561" s="110">
        <v>40203069</v>
      </c>
      <c r="K561" s="4">
        <v>95797072</v>
      </c>
      <c r="L561" s="4">
        <v>57.8</v>
      </c>
      <c r="M561" s="4">
        <v>7.3</v>
      </c>
      <c r="N561">
        <v>1.96</v>
      </c>
    </row>
    <row r="562" spans="2:14" x14ac:dyDescent="0.2">
      <c r="B562" s="696">
        <v>42606.783888888887</v>
      </c>
      <c r="C562" s="1" t="s">
        <v>704</v>
      </c>
      <c r="E562" t="s">
        <v>225</v>
      </c>
      <c r="F562" t="s">
        <v>305</v>
      </c>
      <c r="G562" s="1" t="s">
        <v>3</v>
      </c>
      <c r="H562" s="1">
        <v>553610</v>
      </c>
      <c r="I562" t="s">
        <v>470</v>
      </c>
      <c r="J562" s="110">
        <v>40203069</v>
      </c>
      <c r="K562" s="4">
        <v>95300570</v>
      </c>
      <c r="L562" s="4">
        <v>56.1</v>
      </c>
      <c r="M562" s="4">
        <v>7.3</v>
      </c>
      <c r="N562">
        <v>1.9</v>
      </c>
    </row>
    <row r="563" spans="2:14" x14ac:dyDescent="0.2">
      <c r="B563" s="696">
        <v>42606.784583333334</v>
      </c>
      <c r="C563" s="1" t="s">
        <v>704</v>
      </c>
      <c r="E563" t="s">
        <v>225</v>
      </c>
      <c r="F563" t="s">
        <v>305</v>
      </c>
      <c r="G563" s="1" t="s">
        <v>3</v>
      </c>
      <c r="H563" s="1">
        <v>553610</v>
      </c>
      <c r="I563" t="s">
        <v>470</v>
      </c>
      <c r="J563" s="110">
        <v>40203069</v>
      </c>
      <c r="K563" s="4">
        <v>95376448</v>
      </c>
      <c r="L563" s="4">
        <v>60.15</v>
      </c>
      <c r="M563" s="4">
        <v>7.1</v>
      </c>
      <c r="N563">
        <v>1.93</v>
      </c>
    </row>
    <row r="564" spans="2:14" x14ac:dyDescent="0.2">
      <c r="B564" s="696">
        <v>42606.785243055558</v>
      </c>
      <c r="C564" s="1" t="s">
        <v>704</v>
      </c>
      <c r="E564" t="s">
        <v>225</v>
      </c>
      <c r="F564" t="s">
        <v>305</v>
      </c>
      <c r="G564" s="1" t="s">
        <v>3</v>
      </c>
      <c r="H564" s="1">
        <v>553610</v>
      </c>
      <c r="I564" t="s">
        <v>470</v>
      </c>
      <c r="J564" s="110">
        <v>40203069</v>
      </c>
      <c r="K564" s="4">
        <v>95800165</v>
      </c>
      <c r="L564" s="4">
        <v>57.85</v>
      </c>
      <c r="M564" s="4">
        <v>7.1</v>
      </c>
      <c r="N564">
        <v>1.92</v>
      </c>
    </row>
    <row r="565" spans="2:14" x14ac:dyDescent="0.2">
      <c r="B565" s="696">
        <v>42606.785960648151</v>
      </c>
      <c r="C565" s="1" t="s">
        <v>704</v>
      </c>
      <c r="E565" t="s">
        <v>225</v>
      </c>
      <c r="F565" t="s">
        <v>305</v>
      </c>
      <c r="G565" s="1" t="s">
        <v>3</v>
      </c>
      <c r="H565" s="1">
        <v>553610</v>
      </c>
      <c r="I565" t="s">
        <v>470</v>
      </c>
      <c r="J565" s="110">
        <v>40189706</v>
      </c>
      <c r="K565" s="4">
        <v>95314027</v>
      </c>
      <c r="L565" s="4">
        <v>57.8</v>
      </c>
      <c r="M565" s="4">
        <v>7.1</v>
      </c>
      <c r="N565">
        <v>1.85</v>
      </c>
    </row>
    <row r="566" spans="2:14" x14ac:dyDescent="0.2">
      <c r="B566" s="696">
        <v>42606.786597222221</v>
      </c>
      <c r="C566" s="1" t="s">
        <v>704</v>
      </c>
      <c r="E566" t="s">
        <v>225</v>
      </c>
      <c r="F566" t="s">
        <v>305</v>
      </c>
      <c r="G566" s="1" t="s">
        <v>3</v>
      </c>
      <c r="H566" s="1">
        <v>553610</v>
      </c>
      <c r="I566" t="s">
        <v>470</v>
      </c>
      <c r="J566" s="110">
        <v>40189706</v>
      </c>
      <c r="K566" s="4">
        <v>95540654</v>
      </c>
      <c r="L566" s="4">
        <v>57.85</v>
      </c>
      <c r="M566" s="4">
        <v>7.1</v>
      </c>
      <c r="N566">
        <v>1.84</v>
      </c>
    </row>
    <row r="567" spans="2:14" x14ac:dyDescent="0.2">
      <c r="B567" s="696">
        <v>42606.787488425929</v>
      </c>
      <c r="C567" s="1" t="s">
        <v>704</v>
      </c>
      <c r="E567" t="s">
        <v>225</v>
      </c>
      <c r="F567" t="s">
        <v>305</v>
      </c>
      <c r="G567" s="1" t="s">
        <v>3</v>
      </c>
      <c r="H567" s="1">
        <v>553610</v>
      </c>
      <c r="I567" t="s">
        <v>470</v>
      </c>
      <c r="J567" s="110">
        <v>40189706</v>
      </c>
      <c r="K567" s="4">
        <v>95758207</v>
      </c>
      <c r="L567" s="4">
        <v>57.55</v>
      </c>
      <c r="M567" s="4">
        <v>7.2</v>
      </c>
      <c r="N567">
        <v>1.87</v>
      </c>
    </row>
    <row r="568" spans="2:14" x14ac:dyDescent="0.2">
      <c r="B568" s="696">
        <v>42606.788182870368</v>
      </c>
      <c r="C568" s="1" t="s">
        <v>704</v>
      </c>
      <c r="E568" t="s">
        <v>225</v>
      </c>
      <c r="F568" t="s">
        <v>305</v>
      </c>
      <c r="G568" s="1" t="s">
        <v>3</v>
      </c>
      <c r="H568" s="1">
        <v>553610</v>
      </c>
      <c r="I568" t="s">
        <v>470</v>
      </c>
      <c r="J568" s="110">
        <v>40189706</v>
      </c>
      <c r="K568" s="4">
        <v>95383543</v>
      </c>
      <c r="L568" s="4">
        <v>57.65</v>
      </c>
      <c r="M568" s="4">
        <v>7.1</v>
      </c>
      <c r="N568">
        <v>1.87</v>
      </c>
    </row>
    <row r="569" spans="2:14" x14ac:dyDescent="0.2">
      <c r="B569" s="696">
        <v>42605.620497685188</v>
      </c>
      <c r="C569" s="1" t="s">
        <v>707</v>
      </c>
      <c r="E569" t="s">
        <v>225</v>
      </c>
      <c r="F569" t="s">
        <v>305</v>
      </c>
      <c r="G569" s="1" t="s">
        <v>3</v>
      </c>
      <c r="H569" s="1">
        <v>553567</v>
      </c>
      <c r="I569" t="s">
        <v>470</v>
      </c>
      <c r="J569" s="110">
        <v>777059</v>
      </c>
      <c r="K569" s="4" t="s">
        <v>547</v>
      </c>
      <c r="L569" s="4">
        <v>24.96</v>
      </c>
      <c r="M569" s="4">
        <v>6.2</v>
      </c>
      <c r="N569">
        <v>1.8</v>
      </c>
    </row>
    <row r="570" spans="2:14" x14ac:dyDescent="0.2">
      <c r="B570" s="696">
        <v>42606.142974537041</v>
      </c>
      <c r="C570" s="1" t="s">
        <v>707</v>
      </c>
      <c r="E570" t="s">
        <v>225</v>
      </c>
      <c r="F570" t="s">
        <v>305</v>
      </c>
      <c r="G570" s="1" t="s">
        <v>3</v>
      </c>
      <c r="H570" s="1">
        <v>553567</v>
      </c>
      <c r="I570" t="s">
        <v>470</v>
      </c>
      <c r="J570" s="110">
        <v>777012</v>
      </c>
      <c r="K570" s="4" t="s">
        <v>691</v>
      </c>
      <c r="L570" s="4">
        <v>22.38</v>
      </c>
      <c r="M570" s="4">
        <v>8</v>
      </c>
      <c r="N570">
        <v>2</v>
      </c>
    </row>
    <row r="571" spans="2:14" x14ac:dyDescent="0.2">
      <c r="B571" s="696">
        <v>42606.147719907407</v>
      </c>
      <c r="C571" s="1" t="s">
        <v>707</v>
      </c>
      <c r="E571" t="s">
        <v>225</v>
      </c>
      <c r="F571" t="s">
        <v>305</v>
      </c>
      <c r="G571" s="1" t="s">
        <v>3</v>
      </c>
      <c r="H571" s="1">
        <v>553567</v>
      </c>
      <c r="I571" t="s">
        <v>470</v>
      </c>
      <c r="J571" s="110">
        <v>777018</v>
      </c>
      <c r="K571" s="4" t="s">
        <v>692</v>
      </c>
      <c r="L571" s="4">
        <v>22.08</v>
      </c>
      <c r="M571" s="4">
        <v>7.9</v>
      </c>
      <c r="N571">
        <v>1.85</v>
      </c>
    </row>
    <row r="572" spans="2:14" x14ac:dyDescent="0.2">
      <c r="B572" s="696">
        <v>42606.154988425929</v>
      </c>
      <c r="C572" s="1" t="s">
        <v>495</v>
      </c>
      <c r="E572" t="s">
        <v>225</v>
      </c>
      <c r="F572" t="s">
        <v>305</v>
      </c>
      <c r="G572" s="1" t="s">
        <v>3</v>
      </c>
      <c r="H572" s="1">
        <v>553796</v>
      </c>
      <c r="I572" t="s">
        <v>470</v>
      </c>
      <c r="J572" s="110">
        <v>777058</v>
      </c>
      <c r="K572" s="4" t="s">
        <v>693</v>
      </c>
      <c r="L572" s="4">
        <v>23.64</v>
      </c>
      <c r="M572" s="4">
        <v>6.5</v>
      </c>
      <c r="N572">
        <v>1.88</v>
      </c>
    </row>
    <row r="573" spans="2:14" x14ac:dyDescent="0.2">
      <c r="B573" s="696">
        <v>42606.164085648146</v>
      </c>
      <c r="C573" s="1" t="s">
        <v>707</v>
      </c>
      <c r="E573" t="s">
        <v>225</v>
      </c>
      <c r="F573" t="s">
        <v>305</v>
      </c>
      <c r="G573" s="1" t="s">
        <v>3</v>
      </c>
      <c r="H573" s="1">
        <v>553567</v>
      </c>
      <c r="I573" t="s">
        <v>470</v>
      </c>
      <c r="J573" s="110">
        <v>777057</v>
      </c>
      <c r="K573" s="4" t="s">
        <v>694</v>
      </c>
      <c r="L573" s="4">
        <v>22.16</v>
      </c>
      <c r="M573" s="4">
        <v>6.2</v>
      </c>
      <c r="N573">
        <v>2</v>
      </c>
    </row>
    <row r="574" spans="2:14" x14ac:dyDescent="0.2">
      <c r="B574" s="696">
        <v>42606.607476851852</v>
      </c>
      <c r="C574" s="1" t="s">
        <v>495</v>
      </c>
      <c r="E574" t="s">
        <v>225</v>
      </c>
      <c r="F574" t="s">
        <v>305</v>
      </c>
      <c r="G574" s="1" t="s">
        <v>3</v>
      </c>
      <c r="H574" s="1">
        <v>553796</v>
      </c>
      <c r="I574" t="s">
        <v>470</v>
      </c>
      <c r="J574" s="110">
        <v>777067</v>
      </c>
      <c r="K574" s="4" t="s">
        <v>617</v>
      </c>
      <c r="L574" s="4">
        <v>25.58</v>
      </c>
      <c r="M574" s="4">
        <v>7.2</v>
      </c>
      <c r="N574">
        <v>1.93</v>
      </c>
    </row>
    <row r="575" spans="2:14" x14ac:dyDescent="0.2">
      <c r="B575" s="696">
        <v>42606.610902777778</v>
      </c>
      <c r="C575" s="1" t="s">
        <v>495</v>
      </c>
      <c r="E575" t="s">
        <v>225</v>
      </c>
      <c r="F575" t="s">
        <v>305</v>
      </c>
      <c r="G575" s="1" t="s">
        <v>3</v>
      </c>
      <c r="H575" s="1">
        <v>553796</v>
      </c>
      <c r="I575" t="s">
        <v>470</v>
      </c>
      <c r="J575" s="110">
        <v>777068</v>
      </c>
      <c r="K575" s="4" t="s">
        <v>695</v>
      </c>
      <c r="L575" s="4">
        <v>21.22</v>
      </c>
      <c r="M575" s="4">
        <v>7.2</v>
      </c>
      <c r="N575">
        <v>1.85</v>
      </c>
    </row>
    <row r="576" spans="2:14" x14ac:dyDescent="0.2">
      <c r="B576" s="696">
        <v>42606.616273148145</v>
      </c>
      <c r="C576" s="1" t="s">
        <v>495</v>
      </c>
      <c r="E576" t="s">
        <v>225</v>
      </c>
      <c r="F576" t="s">
        <v>305</v>
      </c>
      <c r="G576" s="1" t="s">
        <v>3</v>
      </c>
      <c r="H576" s="1">
        <v>553796</v>
      </c>
      <c r="I576" t="s">
        <v>470</v>
      </c>
      <c r="J576" s="110">
        <v>777069</v>
      </c>
      <c r="K576" s="4" t="s">
        <v>696</v>
      </c>
      <c r="L576" s="4">
        <v>24.68</v>
      </c>
      <c r="M576" s="4">
        <v>7</v>
      </c>
      <c r="N576">
        <v>1.83</v>
      </c>
    </row>
    <row r="577" spans="2:15" x14ac:dyDescent="0.2">
      <c r="B577" s="696">
        <v>42606.789386574077</v>
      </c>
      <c r="C577" s="1" t="s">
        <v>495</v>
      </c>
      <c r="E577" t="s">
        <v>225</v>
      </c>
      <c r="F577" t="s">
        <v>305</v>
      </c>
      <c r="G577" s="1" t="s">
        <v>3</v>
      </c>
      <c r="H577" s="1">
        <v>553796</v>
      </c>
      <c r="I577" t="s">
        <v>470</v>
      </c>
      <c r="J577" s="110">
        <v>777073</v>
      </c>
      <c r="K577" s="4" t="s">
        <v>697</v>
      </c>
      <c r="L577" s="4">
        <v>24.64</v>
      </c>
      <c r="M577" s="4">
        <v>6.8</v>
      </c>
      <c r="N577">
        <v>2</v>
      </c>
    </row>
    <row r="578" spans="2:15" x14ac:dyDescent="0.2">
      <c r="B578" s="696">
        <v>42606.793171296296</v>
      </c>
      <c r="C578" s="1" t="s">
        <v>495</v>
      </c>
      <c r="E578" t="s">
        <v>225</v>
      </c>
      <c r="F578" t="s">
        <v>305</v>
      </c>
      <c r="G578" s="1" t="s">
        <v>3</v>
      </c>
      <c r="H578" s="1">
        <v>553796</v>
      </c>
      <c r="I578" t="s">
        <v>470</v>
      </c>
      <c r="J578" s="110">
        <v>777071</v>
      </c>
      <c r="K578" s="4" t="s">
        <v>698</v>
      </c>
      <c r="L578" s="4">
        <v>26.06</v>
      </c>
      <c r="M578" s="4">
        <v>6.4</v>
      </c>
      <c r="N578">
        <v>1.84</v>
      </c>
    </row>
    <row r="579" spans="2:15" x14ac:dyDescent="0.2">
      <c r="B579" s="696">
        <v>42606.800983796296</v>
      </c>
      <c r="C579" s="1" t="s">
        <v>495</v>
      </c>
      <c r="E579" t="s">
        <v>225</v>
      </c>
      <c r="F579" t="s">
        <v>305</v>
      </c>
      <c r="G579" s="1" t="s">
        <v>3</v>
      </c>
      <c r="H579" s="1">
        <v>553796</v>
      </c>
      <c r="I579" t="s">
        <v>470</v>
      </c>
      <c r="J579" s="110">
        <v>777074</v>
      </c>
      <c r="K579" s="4" t="s">
        <v>699</v>
      </c>
      <c r="L579" s="4">
        <v>21.78</v>
      </c>
      <c r="M579" s="4">
        <v>7.4</v>
      </c>
      <c r="N579">
        <v>2</v>
      </c>
    </row>
    <row r="580" spans="2:15" x14ac:dyDescent="0.2">
      <c r="B580" s="696">
        <v>42606.387118055558</v>
      </c>
      <c r="C580" s="1" t="s">
        <v>708</v>
      </c>
      <c r="E580" t="s">
        <v>225</v>
      </c>
      <c r="F580" t="s">
        <v>305</v>
      </c>
      <c r="G580" s="1" t="s">
        <v>3</v>
      </c>
      <c r="H580" s="1">
        <v>552975</v>
      </c>
      <c r="I580" t="s">
        <v>470</v>
      </c>
      <c r="J580" s="110">
        <v>40160426</v>
      </c>
      <c r="K580" s="4">
        <v>95620514</v>
      </c>
      <c r="L580" s="4">
        <v>58.75</v>
      </c>
      <c r="M580" s="4">
        <v>7.4</v>
      </c>
      <c r="N580">
        <v>1.98</v>
      </c>
    </row>
    <row r="581" spans="2:15" x14ac:dyDescent="0.2">
      <c r="B581" s="696">
        <v>42606.38784722222</v>
      </c>
      <c r="C581" s="1" t="s">
        <v>709</v>
      </c>
      <c r="E581" t="s">
        <v>225</v>
      </c>
      <c r="F581" t="s">
        <v>305</v>
      </c>
      <c r="G581" s="1" t="s">
        <v>3</v>
      </c>
      <c r="H581" s="1">
        <v>552974</v>
      </c>
      <c r="I581" t="s">
        <v>470</v>
      </c>
      <c r="J581" s="110">
        <v>40165888</v>
      </c>
      <c r="K581" s="4">
        <v>95493375</v>
      </c>
      <c r="L581" s="4">
        <v>60</v>
      </c>
      <c r="M581" s="4">
        <v>7.7</v>
      </c>
      <c r="N581">
        <v>2</v>
      </c>
    </row>
    <row r="582" spans="2:15" x14ac:dyDescent="0.2">
      <c r="B582" s="696">
        <v>42606.388495370367</v>
      </c>
      <c r="C582" s="1" t="s">
        <v>709</v>
      </c>
      <c r="E582" t="s">
        <v>225</v>
      </c>
      <c r="F582" t="s">
        <v>305</v>
      </c>
      <c r="G582" s="1" t="s">
        <v>3</v>
      </c>
      <c r="H582" s="1">
        <v>552974</v>
      </c>
      <c r="I582" t="s">
        <v>470</v>
      </c>
      <c r="J582" s="110">
        <v>40165888</v>
      </c>
      <c r="K582" s="4">
        <v>95303152</v>
      </c>
      <c r="L582" s="4">
        <v>55.15</v>
      </c>
      <c r="M582" s="4">
        <v>7.8</v>
      </c>
      <c r="N582">
        <v>1.94</v>
      </c>
    </row>
    <row r="583" spans="2:15" x14ac:dyDescent="0.2">
      <c r="B583" s="696">
        <v>42606.389108796298</v>
      </c>
      <c r="C583" s="1" t="s">
        <v>709</v>
      </c>
      <c r="E583" t="s">
        <v>225</v>
      </c>
      <c r="F583" t="s">
        <v>305</v>
      </c>
      <c r="G583" s="1" t="s">
        <v>3</v>
      </c>
      <c r="H583" s="1">
        <v>552974</v>
      </c>
      <c r="I583" t="s">
        <v>470</v>
      </c>
      <c r="J583" s="110">
        <v>40165888</v>
      </c>
      <c r="K583" s="4">
        <v>95651501</v>
      </c>
      <c r="L583" s="4">
        <v>60.8</v>
      </c>
      <c r="M583" s="4">
        <v>7.5</v>
      </c>
      <c r="N583">
        <v>2</v>
      </c>
    </row>
    <row r="584" spans="2:15" x14ac:dyDescent="0.2">
      <c r="B584" s="696">
        <v>42606.389675925922</v>
      </c>
      <c r="C584" s="1" t="s">
        <v>708</v>
      </c>
      <c r="E584" t="s">
        <v>225</v>
      </c>
      <c r="F584" t="s">
        <v>305</v>
      </c>
      <c r="G584" s="1" t="s">
        <v>3</v>
      </c>
      <c r="H584" s="1">
        <v>552975</v>
      </c>
      <c r="I584" t="s">
        <v>470</v>
      </c>
      <c r="J584" s="110">
        <v>40156960</v>
      </c>
      <c r="K584" s="4">
        <v>95760013</v>
      </c>
      <c r="L584" s="4">
        <v>59.05</v>
      </c>
      <c r="M584" s="4">
        <v>7.5</v>
      </c>
      <c r="N584">
        <v>2</v>
      </c>
    </row>
    <row r="585" spans="2:15" x14ac:dyDescent="0.2">
      <c r="B585" s="696">
        <v>42607.147268518522</v>
      </c>
      <c r="C585" s="1" t="s">
        <v>708</v>
      </c>
      <c r="E585" t="s">
        <v>225</v>
      </c>
      <c r="F585" t="s">
        <v>305</v>
      </c>
      <c r="G585" s="1" t="s">
        <v>3</v>
      </c>
      <c r="H585" s="1">
        <v>552975</v>
      </c>
      <c r="I585" t="s">
        <v>470</v>
      </c>
      <c r="J585" s="110">
        <v>40160426</v>
      </c>
      <c r="K585" s="4">
        <v>95692034</v>
      </c>
      <c r="L585" s="4">
        <v>58.55</v>
      </c>
      <c r="M585" s="4">
        <v>7.7</v>
      </c>
      <c r="N585">
        <v>2</v>
      </c>
    </row>
    <row r="586" spans="2:15" x14ac:dyDescent="0.2">
      <c r="B586" s="696">
        <v>42607.148356481484</v>
      </c>
      <c r="C586" s="1" t="s">
        <v>708</v>
      </c>
      <c r="E586" t="s">
        <v>225</v>
      </c>
      <c r="F586" t="s">
        <v>305</v>
      </c>
      <c r="G586" s="1" t="s">
        <v>3</v>
      </c>
      <c r="H586" s="1">
        <v>552975</v>
      </c>
      <c r="I586" t="s">
        <v>470</v>
      </c>
      <c r="J586" s="110">
        <v>40156960</v>
      </c>
      <c r="K586" s="4">
        <v>95198776</v>
      </c>
      <c r="L586" s="4">
        <v>58.45</v>
      </c>
      <c r="M586" s="4">
        <v>7.5</v>
      </c>
      <c r="N586">
        <v>1.96</v>
      </c>
    </row>
    <row r="587" spans="2:15" x14ac:dyDescent="0.2">
      <c r="B587" s="696">
        <v>42607.152430555558</v>
      </c>
      <c r="C587" s="1" t="s">
        <v>708</v>
      </c>
      <c r="E587" t="s">
        <v>225</v>
      </c>
      <c r="F587" t="s">
        <v>305</v>
      </c>
      <c r="G587" s="1" t="s">
        <v>3</v>
      </c>
      <c r="H587" s="1">
        <v>552975</v>
      </c>
      <c r="I587" t="s">
        <v>470</v>
      </c>
      <c r="J587" s="110">
        <v>40156960</v>
      </c>
      <c r="K587" s="4">
        <v>95795027</v>
      </c>
      <c r="L587" s="4">
        <v>58.8</v>
      </c>
      <c r="M587" s="4">
        <v>7.5</v>
      </c>
      <c r="N587">
        <v>2</v>
      </c>
    </row>
    <row r="588" spans="2:15" s="755" customFormat="1" x14ac:dyDescent="0.2">
      <c r="B588" s="753">
        <v>42607</v>
      </c>
      <c r="C588" s="754" t="s">
        <v>644</v>
      </c>
      <c r="E588" s="755" t="s">
        <v>225</v>
      </c>
      <c r="F588" s="755" t="s">
        <v>305</v>
      </c>
      <c r="G588" s="754" t="s">
        <v>3</v>
      </c>
      <c r="H588" s="754">
        <v>552518</v>
      </c>
      <c r="I588" s="755" t="s">
        <v>731</v>
      </c>
      <c r="J588" s="754">
        <v>47253455</v>
      </c>
      <c r="K588" s="755">
        <v>95455168</v>
      </c>
      <c r="L588" s="756">
        <v>61</v>
      </c>
      <c r="O588" s="755">
        <f>L588*1000</f>
        <v>61000</v>
      </c>
    </row>
    <row r="589" spans="2:15" s="755" customFormat="1" x14ac:dyDescent="0.2">
      <c r="B589" s="753">
        <v>42607</v>
      </c>
      <c r="C589" s="754" t="s">
        <v>644</v>
      </c>
      <c r="E589" s="755" t="s">
        <v>225</v>
      </c>
      <c r="F589" s="755" t="s">
        <v>305</v>
      </c>
      <c r="G589" s="754" t="s">
        <v>3</v>
      </c>
      <c r="H589" s="754">
        <v>552518</v>
      </c>
      <c r="I589" s="755" t="s">
        <v>731</v>
      </c>
      <c r="J589" s="754">
        <v>47253455</v>
      </c>
      <c r="K589" s="755">
        <v>95448056</v>
      </c>
      <c r="L589" s="756">
        <v>65.5</v>
      </c>
      <c r="O589" s="755">
        <f t="shared" ref="O589:O597" si="0">L589*1000</f>
        <v>65500</v>
      </c>
    </row>
    <row r="590" spans="2:15" s="755" customFormat="1" x14ac:dyDescent="0.2">
      <c r="B590" s="753">
        <v>42607</v>
      </c>
      <c r="C590" s="754" t="s">
        <v>644</v>
      </c>
      <c r="E590" s="755" t="s">
        <v>225</v>
      </c>
      <c r="F590" s="755" t="s">
        <v>305</v>
      </c>
      <c r="G590" s="754" t="s">
        <v>3</v>
      </c>
      <c r="H590" s="754">
        <v>552518</v>
      </c>
      <c r="I590" s="755" t="s">
        <v>731</v>
      </c>
      <c r="J590" s="754">
        <v>47253455</v>
      </c>
      <c r="K590" s="755">
        <v>95383428</v>
      </c>
      <c r="L590" s="756">
        <v>62.05</v>
      </c>
      <c r="O590" s="755">
        <f t="shared" si="0"/>
        <v>62050</v>
      </c>
    </row>
    <row r="591" spans="2:15" s="755" customFormat="1" x14ac:dyDescent="0.2">
      <c r="B591" s="753">
        <v>42607</v>
      </c>
      <c r="C591" s="754" t="s">
        <v>644</v>
      </c>
      <c r="E591" s="755" t="s">
        <v>225</v>
      </c>
      <c r="F591" s="755" t="s">
        <v>305</v>
      </c>
      <c r="G591" s="754" t="s">
        <v>3</v>
      </c>
      <c r="H591" s="754">
        <v>552518</v>
      </c>
      <c r="I591" s="755" t="s">
        <v>731</v>
      </c>
      <c r="J591" s="754">
        <v>47253455</v>
      </c>
      <c r="K591" s="755">
        <v>95750881</v>
      </c>
      <c r="L591" s="756">
        <v>68.3</v>
      </c>
      <c r="O591" s="755">
        <f t="shared" si="0"/>
        <v>68300</v>
      </c>
    </row>
    <row r="592" spans="2:15" s="755" customFormat="1" x14ac:dyDescent="0.2">
      <c r="B592" s="753">
        <v>42607</v>
      </c>
      <c r="C592" s="754" t="s">
        <v>644</v>
      </c>
      <c r="E592" s="755" t="s">
        <v>225</v>
      </c>
      <c r="F592" s="755" t="s">
        <v>305</v>
      </c>
      <c r="G592" s="754" t="s">
        <v>3</v>
      </c>
      <c r="H592" s="754">
        <v>552518</v>
      </c>
      <c r="I592" s="755" t="s">
        <v>731</v>
      </c>
      <c r="J592" s="754">
        <v>47253455</v>
      </c>
      <c r="K592" s="755">
        <v>95632659</v>
      </c>
      <c r="L592" s="756">
        <v>49.5</v>
      </c>
      <c r="O592" s="755">
        <f t="shared" si="0"/>
        <v>49500</v>
      </c>
    </row>
    <row r="593" spans="2:15" s="755" customFormat="1" x14ac:dyDescent="0.2">
      <c r="B593" s="753">
        <v>42607</v>
      </c>
      <c r="C593" s="754" t="s">
        <v>710</v>
      </c>
      <c r="E593" s="755" t="s">
        <v>225</v>
      </c>
      <c r="F593" s="755" t="s">
        <v>784</v>
      </c>
      <c r="G593" s="754" t="s">
        <v>3</v>
      </c>
      <c r="H593" s="1">
        <v>550377</v>
      </c>
      <c r="I593" s="755" t="s">
        <v>731</v>
      </c>
      <c r="J593" s="754">
        <v>43973015</v>
      </c>
      <c r="K593" s="755">
        <v>95539805</v>
      </c>
      <c r="L593" s="756">
        <v>69</v>
      </c>
      <c r="O593" s="755">
        <f t="shared" si="0"/>
        <v>69000</v>
      </c>
    </row>
    <row r="594" spans="2:15" s="755" customFormat="1" x14ac:dyDescent="0.2">
      <c r="B594" s="753">
        <v>42607</v>
      </c>
      <c r="C594" s="754" t="s">
        <v>710</v>
      </c>
      <c r="E594" s="755" t="s">
        <v>225</v>
      </c>
      <c r="F594" s="755" t="s">
        <v>784</v>
      </c>
      <c r="G594" s="754" t="s">
        <v>3</v>
      </c>
      <c r="H594" s="1">
        <v>550377</v>
      </c>
      <c r="I594" s="755" t="s">
        <v>731</v>
      </c>
      <c r="J594" s="754">
        <v>43973015</v>
      </c>
      <c r="K594" s="755">
        <v>95359014</v>
      </c>
      <c r="L594" s="756">
        <v>68.849999999999994</v>
      </c>
      <c r="O594" s="755">
        <f t="shared" si="0"/>
        <v>68850</v>
      </c>
    </row>
    <row r="595" spans="2:15" s="755" customFormat="1" x14ac:dyDescent="0.2">
      <c r="B595" s="753">
        <v>42607</v>
      </c>
      <c r="C595" s="754" t="s">
        <v>710</v>
      </c>
      <c r="E595" s="755" t="s">
        <v>225</v>
      </c>
      <c r="F595" s="755" t="s">
        <v>784</v>
      </c>
      <c r="G595" s="754" t="s">
        <v>3</v>
      </c>
      <c r="H595" s="1">
        <v>550377</v>
      </c>
      <c r="I595" s="755" t="s">
        <v>731</v>
      </c>
      <c r="J595" s="754">
        <v>43973015</v>
      </c>
      <c r="K595" s="755">
        <v>95391330</v>
      </c>
      <c r="L595" s="756">
        <v>68.8</v>
      </c>
      <c r="O595" s="755">
        <f t="shared" si="0"/>
        <v>68800</v>
      </c>
    </row>
    <row r="596" spans="2:15" s="755" customFormat="1" x14ac:dyDescent="0.2">
      <c r="B596" s="753">
        <v>42607</v>
      </c>
      <c r="C596" s="754" t="s">
        <v>710</v>
      </c>
      <c r="E596" s="755" t="s">
        <v>225</v>
      </c>
      <c r="F596" s="755" t="s">
        <v>784</v>
      </c>
      <c r="G596" s="754" t="s">
        <v>3</v>
      </c>
      <c r="H596" s="1">
        <v>550377</v>
      </c>
      <c r="I596" s="755" t="s">
        <v>731</v>
      </c>
      <c r="J596" s="754">
        <v>43973015</v>
      </c>
      <c r="K596" s="755">
        <v>95829214</v>
      </c>
      <c r="L596" s="756">
        <v>69.2</v>
      </c>
      <c r="O596" s="755">
        <f t="shared" si="0"/>
        <v>69200</v>
      </c>
    </row>
    <row r="597" spans="2:15" s="755" customFormat="1" x14ac:dyDescent="0.2">
      <c r="B597" s="753">
        <v>42607</v>
      </c>
      <c r="C597" s="754" t="s">
        <v>710</v>
      </c>
      <c r="E597" s="755" t="s">
        <v>225</v>
      </c>
      <c r="F597" s="755" t="s">
        <v>784</v>
      </c>
      <c r="G597" s="754" t="s">
        <v>3</v>
      </c>
      <c r="H597" s="1">
        <v>550377</v>
      </c>
      <c r="I597" s="755" t="s">
        <v>731</v>
      </c>
      <c r="J597" s="754">
        <v>43973015</v>
      </c>
      <c r="K597" s="755">
        <v>95684148</v>
      </c>
      <c r="L597" s="756">
        <v>68.900000000000006</v>
      </c>
      <c r="O597" s="755">
        <f t="shared" si="0"/>
        <v>68900</v>
      </c>
    </row>
    <row r="598" spans="2:15" x14ac:dyDescent="0.2">
      <c r="B598" s="696">
        <v>42607.479722222219</v>
      </c>
      <c r="C598" s="1" t="s">
        <v>462</v>
      </c>
      <c r="E598" t="s">
        <v>225</v>
      </c>
      <c r="F598" t="s">
        <v>305</v>
      </c>
      <c r="G598" s="1" t="s">
        <v>3</v>
      </c>
      <c r="H598" s="1">
        <v>553407</v>
      </c>
      <c r="I598" t="s">
        <v>467</v>
      </c>
      <c r="J598" s="110">
        <v>45</v>
      </c>
      <c r="K598" s="4" t="s">
        <v>632</v>
      </c>
      <c r="L598" s="756">
        <v>23.48</v>
      </c>
      <c r="M598" s="4">
        <v>12.1</v>
      </c>
      <c r="N598">
        <v>0.78</v>
      </c>
      <c r="O598">
        <f>L598*1000</f>
        <v>23480</v>
      </c>
    </row>
    <row r="599" spans="2:15" x14ac:dyDescent="0.2">
      <c r="B599" s="696">
        <v>42607.487395833334</v>
      </c>
      <c r="C599" s="1" t="s">
        <v>462</v>
      </c>
      <c r="E599" t="s">
        <v>225</v>
      </c>
      <c r="F599" t="s">
        <v>305</v>
      </c>
      <c r="G599" s="1" t="s">
        <v>3</v>
      </c>
      <c r="H599" s="1">
        <v>553407</v>
      </c>
      <c r="I599" t="s">
        <v>467</v>
      </c>
      <c r="J599" s="110">
        <v>46</v>
      </c>
      <c r="K599" s="4" t="s">
        <v>590</v>
      </c>
      <c r="L599" s="756">
        <v>21.74</v>
      </c>
      <c r="M599" s="4">
        <v>12</v>
      </c>
      <c r="N599">
        <v>0.76</v>
      </c>
      <c r="O599">
        <f t="shared" ref="O599:O659" si="1">L599*1000</f>
        <v>21740</v>
      </c>
    </row>
    <row r="600" spans="2:15" x14ac:dyDescent="0.2">
      <c r="B600" s="696">
        <v>42607.498148148145</v>
      </c>
      <c r="C600" s="1" t="s">
        <v>462</v>
      </c>
      <c r="E600" t="s">
        <v>225</v>
      </c>
      <c r="F600" t="s">
        <v>305</v>
      </c>
      <c r="G600" s="1" t="s">
        <v>3</v>
      </c>
      <c r="H600" s="1">
        <v>553407</v>
      </c>
      <c r="I600" t="s">
        <v>467</v>
      </c>
      <c r="J600" s="110">
        <v>47</v>
      </c>
      <c r="K600" s="4" t="s">
        <v>713</v>
      </c>
      <c r="L600" s="756">
        <v>22.4</v>
      </c>
      <c r="M600" s="4">
        <v>11.8</v>
      </c>
      <c r="N600">
        <v>0.8</v>
      </c>
      <c r="O600">
        <f t="shared" si="1"/>
        <v>22400</v>
      </c>
    </row>
    <row r="601" spans="2:15" x14ac:dyDescent="0.2">
      <c r="B601" s="696">
        <v>42607.503125000003</v>
      </c>
      <c r="C601" s="1" t="s">
        <v>408</v>
      </c>
      <c r="E601" t="s">
        <v>225</v>
      </c>
      <c r="F601" t="s">
        <v>305</v>
      </c>
      <c r="G601" s="1" t="s">
        <v>3</v>
      </c>
      <c r="H601" s="1">
        <v>553759</v>
      </c>
      <c r="I601" t="s">
        <v>467</v>
      </c>
      <c r="J601" s="110">
        <v>354799</v>
      </c>
      <c r="K601" s="4" t="s">
        <v>554</v>
      </c>
      <c r="L601" s="756">
        <v>25.5</v>
      </c>
      <c r="M601" s="4">
        <v>12.5</v>
      </c>
      <c r="N601">
        <v>1.1200000000000001</v>
      </c>
      <c r="O601">
        <f t="shared" si="1"/>
        <v>25500</v>
      </c>
    </row>
    <row r="602" spans="2:15" x14ac:dyDescent="0.2">
      <c r="B602" s="696">
        <v>42607.510046296295</v>
      </c>
      <c r="C602" s="1" t="s">
        <v>408</v>
      </c>
      <c r="E602" t="s">
        <v>225</v>
      </c>
      <c r="F602" t="s">
        <v>305</v>
      </c>
      <c r="G602" s="1" t="s">
        <v>3</v>
      </c>
      <c r="H602" s="1">
        <v>553759</v>
      </c>
      <c r="I602" t="s">
        <v>467</v>
      </c>
      <c r="J602" s="110">
        <v>354641</v>
      </c>
      <c r="K602" s="4" t="s">
        <v>575</v>
      </c>
      <c r="L602" s="756">
        <v>24.94</v>
      </c>
      <c r="M602" s="4">
        <v>12.7</v>
      </c>
      <c r="N602">
        <v>1</v>
      </c>
      <c r="O602">
        <f t="shared" si="1"/>
        <v>24940</v>
      </c>
    </row>
    <row r="603" spans="2:15" x14ac:dyDescent="0.2">
      <c r="B603" s="696">
        <v>42607.597430555557</v>
      </c>
      <c r="C603" s="1" t="s">
        <v>712</v>
      </c>
      <c r="E603" t="s">
        <v>225</v>
      </c>
      <c r="F603" t="s">
        <v>305</v>
      </c>
      <c r="G603" s="1" t="s">
        <v>3</v>
      </c>
      <c r="H603" s="1">
        <v>553450</v>
      </c>
      <c r="I603" t="s">
        <v>467</v>
      </c>
      <c r="J603" s="110">
        <v>40240053</v>
      </c>
      <c r="K603" s="4">
        <v>95831129</v>
      </c>
      <c r="L603" s="756">
        <v>68.55</v>
      </c>
      <c r="M603" s="4">
        <v>12.4</v>
      </c>
      <c r="N603">
        <v>1.1399999999999999</v>
      </c>
      <c r="O603">
        <f t="shared" si="1"/>
        <v>68550</v>
      </c>
    </row>
    <row r="604" spans="2:15" x14ac:dyDescent="0.2">
      <c r="B604" s="696">
        <v>42607.600844907407</v>
      </c>
      <c r="C604" s="1" t="s">
        <v>712</v>
      </c>
      <c r="E604" t="s">
        <v>225</v>
      </c>
      <c r="F604" t="s">
        <v>305</v>
      </c>
      <c r="G604" s="1" t="s">
        <v>3</v>
      </c>
      <c r="H604" s="1">
        <v>553450</v>
      </c>
      <c r="I604" t="s">
        <v>467</v>
      </c>
      <c r="J604" s="110">
        <v>40240053</v>
      </c>
      <c r="K604" s="4">
        <v>95697827</v>
      </c>
      <c r="L604" s="756">
        <v>68.45</v>
      </c>
      <c r="M604" s="4">
        <v>12.5</v>
      </c>
      <c r="N604">
        <v>1.24</v>
      </c>
      <c r="O604">
        <f t="shared" si="1"/>
        <v>68450</v>
      </c>
    </row>
    <row r="605" spans="2:15" x14ac:dyDescent="0.2">
      <c r="B605" s="696">
        <v>42607.601435185185</v>
      </c>
      <c r="C605" s="1" t="s">
        <v>712</v>
      </c>
      <c r="E605" t="s">
        <v>225</v>
      </c>
      <c r="F605" t="s">
        <v>305</v>
      </c>
      <c r="G605" s="1" t="s">
        <v>3</v>
      </c>
      <c r="H605" s="1">
        <v>553450</v>
      </c>
      <c r="I605" t="s">
        <v>467</v>
      </c>
      <c r="J605" s="110">
        <v>40240053</v>
      </c>
      <c r="K605" s="4">
        <v>95331146</v>
      </c>
      <c r="L605" s="756">
        <v>63.2</v>
      </c>
      <c r="M605" s="4">
        <v>12.3</v>
      </c>
      <c r="N605">
        <v>0.96</v>
      </c>
      <c r="O605">
        <f t="shared" si="1"/>
        <v>63200</v>
      </c>
    </row>
    <row r="606" spans="2:15" x14ac:dyDescent="0.2">
      <c r="B606" s="696">
        <v>42607.602025462962</v>
      </c>
      <c r="C606" s="1" t="s">
        <v>712</v>
      </c>
      <c r="E606" t="s">
        <v>225</v>
      </c>
      <c r="F606" t="s">
        <v>305</v>
      </c>
      <c r="G606" s="1" t="s">
        <v>3</v>
      </c>
      <c r="H606" s="1">
        <v>553450</v>
      </c>
      <c r="I606" t="s">
        <v>467</v>
      </c>
      <c r="J606" s="110">
        <v>40240053</v>
      </c>
      <c r="K606" s="4">
        <v>95230884</v>
      </c>
      <c r="L606" s="756">
        <v>68.45</v>
      </c>
      <c r="M606" s="4">
        <v>12.7</v>
      </c>
      <c r="N606">
        <v>1.04</v>
      </c>
      <c r="O606">
        <f t="shared" si="1"/>
        <v>68450</v>
      </c>
    </row>
    <row r="607" spans="2:15" x14ac:dyDescent="0.2">
      <c r="B607" s="696">
        <v>42607.603043981479</v>
      </c>
      <c r="C607" s="1" t="s">
        <v>712</v>
      </c>
      <c r="E607" t="s">
        <v>225</v>
      </c>
      <c r="F607" t="s">
        <v>305</v>
      </c>
      <c r="G607" s="1" t="s">
        <v>3</v>
      </c>
      <c r="H607" s="1">
        <v>553450</v>
      </c>
      <c r="I607" t="s">
        <v>467</v>
      </c>
      <c r="J607" s="110">
        <v>40240053</v>
      </c>
      <c r="K607" s="4">
        <v>95694378</v>
      </c>
      <c r="L607" s="756">
        <v>69.55</v>
      </c>
      <c r="M607" s="4">
        <v>12</v>
      </c>
      <c r="N607">
        <v>0.9</v>
      </c>
      <c r="O607">
        <f t="shared" si="1"/>
        <v>69550</v>
      </c>
    </row>
    <row r="608" spans="2:15" x14ac:dyDescent="0.2">
      <c r="B608" s="696">
        <v>42607.603333333333</v>
      </c>
      <c r="C608" s="1" t="s">
        <v>712</v>
      </c>
      <c r="E608" t="s">
        <v>225</v>
      </c>
      <c r="F608" t="s">
        <v>305</v>
      </c>
      <c r="G608" s="1" t="s">
        <v>3</v>
      </c>
      <c r="H608" s="1">
        <v>553450</v>
      </c>
      <c r="I608" t="s">
        <v>467</v>
      </c>
      <c r="J608" s="110">
        <v>40240053</v>
      </c>
      <c r="K608" s="4">
        <v>95683850</v>
      </c>
      <c r="L608" s="756">
        <v>69.05</v>
      </c>
      <c r="M608" s="4">
        <v>12.1</v>
      </c>
      <c r="N608">
        <v>1.02</v>
      </c>
      <c r="O608">
        <f t="shared" si="1"/>
        <v>69050</v>
      </c>
    </row>
    <row r="609" spans="2:15" x14ac:dyDescent="0.2">
      <c r="B609" s="696">
        <v>42607.657453703701</v>
      </c>
      <c r="C609" s="1" t="s">
        <v>712</v>
      </c>
      <c r="E609" t="s">
        <v>225</v>
      </c>
      <c r="F609" t="s">
        <v>305</v>
      </c>
      <c r="G609" s="1" t="s">
        <v>3</v>
      </c>
      <c r="H609" s="1">
        <v>553450</v>
      </c>
      <c r="I609" t="s">
        <v>467</v>
      </c>
      <c r="J609" s="110">
        <v>40240053</v>
      </c>
      <c r="K609" s="4">
        <v>95648606</v>
      </c>
      <c r="L609" s="756">
        <v>69.150000000000006</v>
      </c>
      <c r="M609" s="4">
        <v>12.3</v>
      </c>
      <c r="N609">
        <v>0.88</v>
      </c>
      <c r="O609">
        <f t="shared" si="1"/>
        <v>69150</v>
      </c>
    </row>
    <row r="610" spans="2:15" x14ac:dyDescent="0.2">
      <c r="B610" s="696">
        <v>42608.177118055559</v>
      </c>
      <c r="C610" s="1" t="s">
        <v>730</v>
      </c>
      <c r="E610" t="s">
        <v>225</v>
      </c>
      <c r="F610" t="s">
        <v>305</v>
      </c>
      <c r="G610" s="1" t="s">
        <v>3</v>
      </c>
      <c r="H610" s="110">
        <v>552825</v>
      </c>
      <c r="I610" s="4" t="s">
        <v>467</v>
      </c>
      <c r="J610" s="110">
        <v>34874297</v>
      </c>
      <c r="K610" s="4">
        <v>95692018</v>
      </c>
      <c r="L610" s="4">
        <v>69.650000000000006</v>
      </c>
      <c r="M610" s="4">
        <v>13.9</v>
      </c>
      <c r="N610">
        <v>1.66</v>
      </c>
      <c r="O610">
        <f t="shared" si="1"/>
        <v>69650</v>
      </c>
    </row>
    <row r="611" spans="2:15" x14ac:dyDescent="0.2">
      <c r="B611" s="696">
        <v>42608.177812499998</v>
      </c>
      <c r="C611" s="1" t="s">
        <v>730</v>
      </c>
      <c r="E611" t="s">
        <v>225</v>
      </c>
      <c r="F611" t="s">
        <v>305</v>
      </c>
      <c r="G611" s="1" t="s">
        <v>3</v>
      </c>
      <c r="H611" s="110">
        <v>552825</v>
      </c>
      <c r="I611" s="4" t="s">
        <v>467</v>
      </c>
      <c r="J611" s="110">
        <v>34874297</v>
      </c>
      <c r="K611" s="4">
        <v>95829883</v>
      </c>
      <c r="L611" s="4">
        <v>70</v>
      </c>
      <c r="M611" s="4">
        <v>13.8</v>
      </c>
      <c r="N611">
        <v>1.78</v>
      </c>
      <c r="O611">
        <f t="shared" si="1"/>
        <v>70000</v>
      </c>
    </row>
    <row r="612" spans="2:15" x14ac:dyDescent="0.2">
      <c r="B612" s="696">
        <v>42608.178483796299</v>
      </c>
      <c r="C612" s="1" t="s">
        <v>730</v>
      </c>
      <c r="E612" t="s">
        <v>225</v>
      </c>
      <c r="F612" t="s">
        <v>305</v>
      </c>
      <c r="G612" s="1" t="s">
        <v>3</v>
      </c>
      <c r="H612" s="110">
        <v>552825</v>
      </c>
      <c r="I612" s="4" t="s">
        <v>467</v>
      </c>
      <c r="J612" s="110">
        <v>34874297</v>
      </c>
      <c r="K612" s="4">
        <v>95647285</v>
      </c>
      <c r="L612" s="4">
        <v>69.599999999999994</v>
      </c>
      <c r="M612" s="4">
        <v>13.8</v>
      </c>
      <c r="N612">
        <v>1.74</v>
      </c>
      <c r="O612">
        <f t="shared" si="1"/>
        <v>69600</v>
      </c>
    </row>
    <row r="613" spans="2:15" x14ac:dyDescent="0.2">
      <c r="B613" s="696">
        <v>42608.179282407407</v>
      </c>
      <c r="C613" s="1" t="s">
        <v>730</v>
      </c>
      <c r="E613" t="s">
        <v>225</v>
      </c>
      <c r="F613" t="s">
        <v>305</v>
      </c>
      <c r="G613" s="1" t="s">
        <v>3</v>
      </c>
      <c r="H613" s="110">
        <v>552825</v>
      </c>
      <c r="I613" s="4" t="s">
        <v>467</v>
      </c>
      <c r="J613" s="110">
        <v>34874297</v>
      </c>
      <c r="K613" s="4">
        <v>95448122</v>
      </c>
      <c r="L613" s="4">
        <v>69.650000000000006</v>
      </c>
      <c r="M613" s="4">
        <v>13.9</v>
      </c>
      <c r="N613">
        <v>1.7</v>
      </c>
      <c r="O613">
        <f t="shared" si="1"/>
        <v>69650</v>
      </c>
    </row>
    <row r="614" spans="2:15" x14ac:dyDescent="0.2">
      <c r="B614" s="696">
        <v>42608.179837962962</v>
      </c>
      <c r="C614" s="1" t="s">
        <v>730</v>
      </c>
      <c r="E614" t="s">
        <v>225</v>
      </c>
      <c r="F614" t="s">
        <v>305</v>
      </c>
      <c r="G614" s="1" t="s">
        <v>3</v>
      </c>
      <c r="H614" s="110">
        <v>552825</v>
      </c>
      <c r="I614" s="4" t="s">
        <v>467</v>
      </c>
      <c r="J614" s="110">
        <v>34874289</v>
      </c>
      <c r="K614" s="4">
        <v>95758488</v>
      </c>
      <c r="L614" s="4">
        <v>69.599999999999994</v>
      </c>
      <c r="M614" s="4">
        <v>13.9</v>
      </c>
      <c r="N614">
        <v>1.72</v>
      </c>
      <c r="O614">
        <f t="shared" si="1"/>
        <v>69600</v>
      </c>
    </row>
    <row r="615" spans="2:15" x14ac:dyDescent="0.2">
      <c r="B615" s="696">
        <v>42608.180439814816</v>
      </c>
      <c r="C615" s="1" t="s">
        <v>730</v>
      </c>
      <c r="E615" t="s">
        <v>225</v>
      </c>
      <c r="F615" t="s">
        <v>305</v>
      </c>
      <c r="G615" s="1" t="s">
        <v>3</v>
      </c>
      <c r="H615" s="110">
        <v>552825</v>
      </c>
      <c r="I615" s="4" t="s">
        <v>467</v>
      </c>
      <c r="J615" s="110">
        <v>34874289</v>
      </c>
      <c r="K615" s="4">
        <v>95678629</v>
      </c>
      <c r="L615" s="4">
        <v>69.849999999999994</v>
      </c>
      <c r="M615" s="4">
        <v>13.8</v>
      </c>
      <c r="N615">
        <v>1.72</v>
      </c>
      <c r="O615">
        <f t="shared" si="1"/>
        <v>69850</v>
      </c>
    </row>
    <row r="616" spans="2:15" x14ac:dyDescent="0.2">
      <c r="B616" s="696">
        <v>42608.180995370371</v>
      </c>
      <c r="C616" s="1" t="s">
        <v>730</v>
      </c>
      <c r="E616" t="s">
        <v>225</v>
      </c>
      <c r="F616" t="s">
        <v>305</v>
      </c>
      <c r="G616" s="1" t="s">
        <v>3</v>
      </c>
      <c r="H616" s="110">
        <v>552825</v>
      </c>
      <c r="I616" s="4" t="s">
        <v>467</v>
      </c>
      <c r="J616" s="110">
        <v>34874289</v>
      </c>
      <c r="K616" s="4">
        <v>95667119</v>
      </c>
      <c r="L616" s="4">
        <v>69.900000000000006</v>
      </c>
      <c r="M616" s="4">
        <v>13.8</v>
      </c>
      <c r="N616">
        <v>1.68</v>
      </c>
      <c r="O616">
        <f t="shared" si="1"/>
        <v>69900</v>
      </c>
    </row>
    <row r="617" spans="2:15" x14ac:dyDescent="0.2">
      <c r="B617" s="696">
        <v>42608.229085648149</v>
      </c>
      <c r="C617" s="1" t="s">
        <v>408</v>
      </c>
      <c r="E617" t="s">
        <v>225</v>
      </c>
      <c r="F617" t="s">
        <v>305</v>
      </c>
      <c r="G617" s="1" t="s">
        <v>3</v>
      </c>
      <c r="H617" s="1">
        <v>553759</v>
      </c>
      <c r="I617" t="s">
        <v>467</v>
      </c>
      <c r="J617" s="110">
        <v>358921</v>
      </c>
      <c r="K617" s="4" t="s">
        <v>581</v>
      </c>
      <c r="L617" s="756">
        <v>22.6</v>
      </c>
      <c r="M617" s="4">
        <v>13</v>
      </c>
      <c r="N617">
        <v>1.5</v>
      </c>
      <c r="O617">
        <f t="shared" si="1"/>
        <v>22600</v>
      </c>
    </row>
    <row r="618" spans="2:15" x14ac:dyDescent="0.2">
      <c r="B618" s="696">
        <v>42608.233310185184</v>
      </c>
      <c r="C618" s="1" t="s">
        <v>408</v>
      </c>
      <c r="E618" t="s">
        <v>225</v>
      </c>
      <c r="F618" t="s">
        <v>305</v>
      </c>
      <c r="G618" s="1" t="s">
        <v>3</v>
      </c>
      <c r="H618" s="1">
        <v>553759</v>
      </c>
      <c r="I618" t="s">
        <v>467</v>
      </c>
      <c r="J618" s="110">
        <v>358922</v>
      </c>
      <c r="K618" s="4" t="s">
        <v>714</v>
      </c>
      <c r="L618" s="756">
        <v>25.34</v>
      </c>
      <c r="M618" s="4">
        <v>12.4</v>
      </c>
      <c r="N618">
        <v>2</v>
      </c>
      <c r="O618">
        <f t="shared" si="1"/>
        <v>25340</v>
      </c>
    </row>
    <row r="619" spans="2:15" x14ac:dyDescent="0.2">
      <c r="B619" s="696">
        <v>42608.244050925925</v>
      </c>
      <c r="C619" s="1" t="s">
        <v>408</v>
      </c>
      <c r="E619" t="s">
        <v>225</v>
      </c>
      <c r="F619" t="s">
        <v>305</v>
      </c>
      <c r="G619" s="1" t="s">
        <v>3</v>
      </c>
      <c r="H619" s="1">
        <v>553759</v>
      </c>
      <c r="I619" t="s">
        <v>467</v>
      </c>
      <c r="J619" s="110">
        <v>350759</v>
      </c>
      <c r="K619" s="4" t="s">
        <v>715</v>
      </c>
      <c r="L619" s="756">
        <v>24.06</v>
      </c>
      <c r="M619" s="4">
        <v>11.6</v>
      </c>
      <c r="N619">
        <v>0.94</v>
      </c>
      <c r="O619">
        <f t="shared" si="1"/>
        <v>24060</v>
      </c>
    </row>
    <row r="620" spans="2:15" x14ac:dyDescent="0.2">
      <c r="B620" s="696">
        <v>42607.44767361111</v>
      </c>
      <c r="C620" s="1" t="s">
        <v>462</v>
      </c>
      <c r="E620" t="s">
        <v>225</v>
      </c>
      <c r="F620" t="s">
        <v>305</v>
      </c>
      <c r="G620" s="1" t="s">
        <v>3</v>
      </c>
      <c r="H620" s="1">
        <v>553729</v>
      </c>
      <c r="I620" t="s">
        <v>643</v>
      </c>
      <c r="J620" s="110">
        <v>49</v>
      </c>
      <c r="K620" s="4" t="s">
        <v>502</v>
      </c>
      <c r="L620" s="756">
        <v>22.62</v>
      </c>
      <c r="M620" s="4">
        <v>11.5</v>
      </c>
      <c r="N620">
        <v>0.96</v>
      </c>
      <c r="O620">
        <f t="shared" si="1"/>
        <v>22620</v>
      </c>
    </row>
    <row r="621" spans="2:15" x14ac:dyDescent="0.2">
      <c r="B621" s="696">
        <v>42607.453287037039</v>
      </c>
      <c r="C621" s="1" t="s">
        <v>462</v>
      </c>
      <c r="E621" t="s">
        <v>225</v>
      </c>
      <c r="F621" t="s">
        <v>305</v>
      </c>
      <c r="G621" s="1" t="s">
        <v>3</v>
      </c>
      <c r="H621" s="1">
        <v>553729</v>
      </c>
      <c r="I621" t="s">
        <v>643</v>
      </c>
      <c r="J621" s="110">
        <v>48</v>
      </c>
      <c r="K621" s="4" t="s">
        <v>506</v>
      </c>
      <c r="L621" s="756">
        <v>23.4</v>
      </c>
      <c r="M621" s="4">
        <v>10.8</v>
      </c>
      <c r="N621">
        <v>0.98</v>
      </c>
      <c r="O621">
        <f t="shared" si="1"/>
        <v>23400</v>
      </c>
    </row>
    <row r="622" spans="2:15" x14ac:dyDescent="0.2">
      <c r="B622" s="696">
        <v>42607.460578703707</v>
      </c>
      <c r="C622" s="1" t="s">
        <v>408</v>
      </c>
      <c r="E622" t="s">
        <v>225</v>
      </c>
      <c r="F622" t="s">
        <v>305</v>
      </c>
      <c r="G622" s="1" t="s">
        <v>3</v>
      </c>
      <c r="H622" s="1">
        <v>553698</v>
      </c>
      <c r="I622" t="s">
        <v>643</v>
      </c>
      <c r="J622" s="110">
        <v>333207</v>
      </c>
      <c r="K622" s="4" t="s">
        <v>716</v>
      </c>
      <c r="L622" s="756">
        <v>25.72</v>
      </c>
      <c r="M622" s="4">
        <v>13.4</v>
      </c>
      <c r="N622">
        <v>1.38</v>
      </c>
      <c r="O622">
        <f t="shared" si="1"/>
        <v>25720</v>
      </c>
    </row>
    <row r="623" spans="2:15" x14ac:dyDescent="0.2">
      <c r="B623" s="696">
        <v>42607.467523148145</v>
      </c>
      <c r="C623" s="1" t="s">
        <v>408</v>
      </c>
      <c r="E623" t="s">
        <v>225</v>
      </c>
      <c r="F623" t="s">
        <v>305</v>
      </c>
      <c r="G623" s="1" t="s">
        <v>3</v>
      </c>
      <c r="H623" s="1">
        <v>553698</v>
      </c>
      <c r="I623" t="s">
        <v>643</v>
      </c>
      <c r="J623" s="110">
        <v>333204</v>
      </c>
      <c r="K623" s="4" t="s">
        <v>717</v>
      </c>
      <c r="L623" s="756">
        <v>24.22</v>
      </c>
      <c r="M623" s="4">
        <v>13.4</v>
      </c>
      <c r="N623">
        <v>1.18</v>
      </c>
      <c r="O623">
        <f t="shared" si="1"/>
        <v>24220</v>
      </c>
    </row>
    <row r="624" spans="2:15" x14ac:dyDescent="0.2">
      <c r="B624" s="696">
        <v>42607.473263888889</v>
      </c>
      <c r="C624" s="1" t="s">
        <v>408</v>
      </c>
      <c r="E624" t="s">
        <v>225</v>
      </c>
      <c r="F624" t="s">
        <v>305</v>
      </c>
      <c r="G624" s="1" t="s">
        <v>3</v>
      </c>
      <c r="H624" s="1">
        <v>553698</v>
      </c>
      <c r="I624" t="s">
        <v>643</v>
      </c>
      <c r="J624" s="110">
        <v>333202</v>
      </c>
      <c r="K624" s="4" t="s">
        <v>718</v>
      </c>
      <c r="L624" s="756">
        <v>25.92</v>
      </c>
      <c r="M624" s="4">
        <v>13.9</v>
      </c>
      <c r="N624">
        <v>1.02</v>
      </c>
      <c r="O624">
        <f t="shared" si="1"/>
        <v>25920</v>
      </c>
    </row>
    <row r="625" spans="2:15" x14ac:dyDescent="0.2">
      <c r="B625" s="696">
        <v>42607.598101851851</v>
      </c>
      <c r="C625" s="1" t="s">
        <v>641</v>
      </c>
      <c r="E625" t="s">
        <v>225</v>
      </c>
      <c r="F625" t="s">
        <v>305</v>
      </c>
      <c r="G625" s="1" t="s">
        <v>3</v>
      </c>
      <c r="H625" s="1">
        <v>551438</v>
      </c>
      <c r="I625" t="s">
        <v>292</v>
      </c>
      <c r="J625" s="110">
        <v>43977347</v>
      </c>
      <c r="K625" s="4">
        <v>95361952</v>
      </c>
      <c r="L625" s="756">
        <v>60.15</v>
      </c>
      <c r="M625" s="4">
        <v>13.3</v>
      </c>
      <c r="N625">
        <v>2</v>
      </c>
      <c r="O625">
        <f t="shared" si="1"/>
        <v>60150</v>
      </c>
    </row>
    <row r="626" spans="2:15" x14ac:dyDescent="0.2">
      <c r="B626" s="696">
        <v>42607.598749999997</v>
      </c>
      <c r="C626" s="1" t="s">
        <v>641</v>
      </c>
      <c r="E626" t="s">
        <v>225</v>
      </c>
      <c r="F626" t="s">
        <v>305</v>
      </c>
      <c r="G626" s="1" t="s">
        <v>3</v>
      </c>
      <c r="H626" s="1">
        <v>551438</v>
      </c>
      <c r="I626" t="s">
        <v>292</v>
      </c>
      <c r="J626" s="110">
        <v>43977347</v>
      </c>
      <c r="K626" s="4">
        <v>95758660</v>
      </c>
      <c r="L626" s="756">
        <v>60.55</v>
      </c>
      <c r="M626" s="4">
        <v>12.9</v>
      </c>
      <c r="N626">
        <v>2</v>
      </c>
      <c r="O626">
        <f t="shared" si="1"/>
        <v>60550</v>
      </c>
    </row>
    <row r="627" spans="2:15" x14ac:dyDescent="0.2">
      <c r="B627" s="696">
        <v>42607.59915509259</v>
      </c>
      <c r="C627" s="1" t="s">
        <v>641</v>
      </c>
      <c r="E627" t="s">
        <v>225</v>
      </c>
      <c r="F627" t="s">
        <v>305</v>
      </c>
      <c r="G627" s="1" t="s">
        <v>3</v>
      </c>
      <c r="H627" s="1">
        <v>551438</v>
      </c>
      <c r="I627" t="s">
        <v>292</v>
      </c>
      <c r="J627" s="110">
        <v>43977347</v>
      </c>
      <c r="K627" s="4">
        <v>95332219</v>
      </c>
      <c r="L627" s="756">
        <v>58.55</v>
      </c>
      <c r="M627" s="4">
        <v>13.3</v>
      </c>
      <c r="N627">
        <v>2</v>
      </c>
      <c r="O627">
        <f t="shared" si="1"/>
        <v>58550</v>
      </c>
    </row>
    <row r="628" spans="2:15" x14ac:dyDescent="0.2">
      <c r="B628" s="696">
        <v>42607.602731481478</v>
      </c>
      <c r="C628" s="1" t="s">
        <v>641</v>
      </c>
      <c r="E628" t="s">
        <v>225</v>
      </c>
      <c r="F628" t="s">
        <v>305</v>
      </c>
      <c r="G628" s="1" t="s">
        <v>3</v>
      </c>
      <c r="H628" s="1">
        <v>551438</v>
      </c>
      <c r="I628" t="s">
        <v>292</v>
      </c>
      <c r="J628" s="110">
        <v>43977347</v>
      </c>
      <c r="K628" s="4">
        <v>95297362</v>
      </c>
      <c r="L628" s="756">
        <v>60.95</v>
      </c>
      <c r="M628" s="4">
        <v>13.5</v>
      </c>
      <c r="N628">
        <v>1.8</v>
      </c>
      <c r="O628">
        <f t="shared" si="1"/>
        <v>60950</v>
      </c>
    </row>
    <row r="629" spans="2:15" x14ac:dyDescent="0.2">
      <c r="B629" s="696">
        <v>42607.904386574075</v>
      </c>
      <c r="C629" s="1" t="s">
        <v>641</v>
      </c>
      <c r="E629" t="s">
        <v>225</v>
      </c>
      <c r="F629" t="s">
        <v>305</v>
      </c>
      <c r="G629" s="1" t="s">
        <v>3</v>
      </c>
      <c r="H629" s="1">
        <v>551438</v>
      </c>
      <c r="I629" t="s">
        <v>292</v>
      </c>
      <c r="J629" s="110">
        <v>43976745</v>
      </c>
      <c r="K629" s="4">
        <v>95446266</v>
      </c>
      <c r="L629" s="756">
        <v>58.65</v>
      </c>
      <c r="M629" s="4">
        <v>13.7</v>
      </c>
      <c r="N629">
        <v>2</v>
      </c>
      <c r="O629">
        <f t="shared" si="1"/>
        <v>58650</v>
      </c>
    </row>
    <row r="630" spans="2:15" x14ac:dyDescent="0.2">
      <c r="B630" s="696">
        <v>42607.9059837963</v>
      </c>
      <c r="C630" s="1" t="s">
        <v>641</v>
      </c>
      <c r="E630" t="s">
        <v>225</v>
      </c>
      <c r="F630" t="s">
        <v>305</v>
      </c>
      <c r="G630" s="1" t="s">
        <v>3</v>
      </c>
      <c r="H630" s="1">
        <v>551438</v>
      </c>
      <c r="I630" t="s">
        <v>292</v>
      </c>
      <c r="J630" s="110">
        <v>43976745</v>
      </c>
      <c r="K630" s="4">
        <v>95331955</v>
      </c>
      <c r="L630" s="756">
        <v>60.1</v>
      </c>
      <c r="M630" s="4">
        <v>13</v>
      </c>
      <c r="N630">
        <v>2</v>
      </c>
      <c r="O630">
        <f t="shared" si="1"/>
        <v>60100</v>
      </c>
    </row>
    <row r="631" spans="2:15" x14ac:dyDescent="0.2">
      <c r="B631" s="696">
        <v>42607.906423611108</v>
      </c>
      <c r="C631" s="1" t="s">
        <v>641</v>
      </c>
      <c r="E631" t="s">
        <v>225</v>
      </c>
      <c r="F631" t="s">
        <v>305</v>
      </c>
      <c r="G631" s="1" t="s">
        <v>3</v>
      </c>
      <c r="H631" s="1">
        <v>551438</v>
      </c>
      <c r="I631" t="s">
        <v>292</v>
      </c>
      <c r="J631" s="110">
        <v>43976745</v>
      </c>
      <c r="K631" s="4">
        <v>95753778</v>
      </c>
      <c r="L631" s="756">
        <v>61</v>
      </c>
      <c r="M631" s="4">
        <v>13.2</v>
      </c>
      <c r="N631">
        <v>2</v>
      </c>
      <c r="O631">
        <f t="shared" si="1"/>
        <v>61000</v>
      </c>
    </row>
    <row r="632" spans="2:15" x14ac:dyDescent="0.2">
      <c r="B632" s="696">
        <v>42607.906805555554</v>
      </c>
      <c r="C632" s="1" t="s">
        <v>641</v>
      </c>
      <c r="E632" t="s">
        <v>225</v>
      </c>
      <c r="F632" t="s">
        <v>305</v>
      </c>
      <c r="G632" s="1" t="s">
        <v>3</v>
      </c>
      <c r="H632" s="1">
        <v>551438</v>
      </c>
      <c r="I632" t="s">
        <v>292</v>
      </c>
      <c r="J632" s="110">
        <v>43976745</v>
      </c>
      <c r="K632" s="4">
        <v>95800140</v>
      </c>
      <c r="L632" s="756">
        <v>60.4</v>
      </c>
      <c r="M632" s="4">
        <v>13.4</v>
      </c>
      <c r="N632">
        <v>2</v>
      </c>
      <c r="O632">
        <f t="shared" si="1"/>
        <v>60400</v>
      </c>
    </row>
    <row r="633" spans="2:15" x14ac:dyDescent="0.2">
      <c r="B633" s="696">
        <v>42607.977835648147</v>
      </c>
      <c r="C633" s="1" t="s">
        <v>641</v>
      </c>
      <c r="E633" t="s">
        <v>225</v>
      </c>
      <c r="F633" t="s">
        <v>305</v>
      </c>
      <c r="G633" s="1" t="s">
        <v>3</v>
      </c>
      <c r="H633" s="1">
        <v>551438</v>
      </c>
      <c r="I633" t="s">
        <v>292</v>
      </c>
      <c r="J633" s="110">
        <v>40257800</v>
      </c>
      <c r="K633" s="4">
        <v>95453817</v>
      </c>
      <c r="L633" s="756">
        <v>61.15</v>
      </c>
      <c r="M633" s="4">
        <v>13.7</v>
      </c>
      <c r="N633">
        <v>2</v>
      </c>
      <c r="O633">
        <f t="shared" si="1"/>
        <v>61150</v>
      </c>
    </row>
    <row r="634" spans="2:15" x14ac:dyDescent="0.2">
      <c r="B634" s="696">
        <v>42607.978194444448</v>
      </c>
      <c r="C634" s="1" t="s">
        <v>641</v>
      </c>
      <c r="E634" t="s">
        <v>225</v>
      </c>
      <c r="F634" t="s">
        <v>305</v>
      </c>
      <c r="G634" s="1" t="s">
        <v>3</v>
      </c>
      <c r="H634" s="1">
        <v>551438</v>
      </c>
      <c r="I634" t="s">
        <v>292</v>
      </c>
      <c r="J634" s="110">
        <v>40257800</v>
      </c>
      <c r="K634" s="4">
        <v>95529715</v>
      </c>
      <c r="L634" s="756">
        <v>61.5</v>
      </c>
      <c r="M634" s="4">
        <v>13.3</v>
      </c>
      <c r="N634">
        <v>2</v>
      </c>
      <c r="O634">
        <f t="shared" si="1"/>
        <v>61500</v>
      </c>
    </row>
    <row r="635" spans="2:15" x14ac:dyDescent="0.2">
      <c r="B635" s="696">
        <v>42607.978715277779</v>
      </c>
      <c r="C635" s="1" t="s">
        <v>641</v>
      </c>
      <c r="E635" t="s">
        <v>225</v>
      </c>
      <c r="F635" t="s">
        <v>305</v>
      </c>
      <c r="G635" s="1" t="s">
        <v>3</v>
      </c>
      <c r="H635" s="1">
        <v>551438</v>
      </c>
      <c r="I635" t="s">
        <v>292</v>
      </c>
      <c r="J635" s="110">
        <v>40257800</v>
      </c>
      <c r="K635" s="4">
        <v>95631461</v>
      </c>
      <c r="L635" s="756">
        <v>62.6</v>
      </c>
      <c r="M635" s="4">
        <v>13.1</v>
      </c>
      <c r="N635">
        <v>2</v>
      </c>
      <c r="O635">
        <f t="shared" si="1"/>
        <v>62600</v>
      </c>
    </row>
    <row r="636" spans="2:15" x14ac:dyDescent="0.2">
      <c r="B636" s="696">
        <v>42607.979270833333</v>
      </c>
      <c r="C636" s="1" t="s">
        <v>641</v>
      </c>
      <c r="E636" t="s">
        <v>225</v>
      </c>
      <c r="F636" t="s">
        <v>305</v>
      </c>
      <c r="G636" s="1" t="s">
        <v>3</v>
      </c>
      <c r="H636" s="1">
        <v>551438</v>
      </c>
      <c r="I636" t="s">
        <v>292</v>
      </c>
      <c r="J636" s="110">
        <v>43976745</v>
      </c>
      <c r="K636" s="4">
        <v>95303889</v>
      </c>
      <c r="L636" s="756">
        <v>58.4</v>
      </c>
      <c r="M636" s="4">
        <v>13.5</v>
      </c>
      <c r="N636">
        <v>2</v>
      </c>
      <c r="O636">
        <f t="shared" si="1"/>
        <v>58400</v>
      </c>
    </row>
    <row r="637" spans="2:15" x14ac:dyDescent="0.2">
      <c r="B637" s="696">
        <v>42607.979641203703</v>
      </c>
      <c r="C637" s="1" t="s">
        <v>641</v>
      </c>
      <c r="E637" t="s">
        <v>225</v>
      </c>
      <c r="F637" t="s">
        <v>305</v>
      </c>
      <c r="G637" s="1" t="s">
        <v>3</v>
      </c>
      <c r="H637" s="1">
        <v>551438</v>
      </c>
      <c r="I637" t="s">
        <v>292</v>
      </c>
      <c r="J637" s="110">
        <v>43976745</v>
      </c>
      <c r="K637" s="4">
        <v>95614525</v>
      </c>
      <c r="L637" s="756">
        <v>59.1</v>
      </c>
      <c r="M637" s="4">
        <v>14</v>
      </c>
      <c r="N637">
        <v>2</v>
      </c>
      <c r="O637">
        <f t="shared" si="1"/>
        <v>59100</v>
      </c>
    </row>
    <row r="638" spans="2:15" x14ac:dyDescent="0.2">
      <c r="B638" s="696">
        <v>42608.113055555557</v>
      </c>
      <c r="C638" s="1" t="s">
        <v>701</v>
      </c>
      <c r="E638" t="s">
        <v>225</v>
      </c>
      <c r="F638" t="s">
        <v>305</v>
      </c>
      <c r="G638" s="1" t="s">
        <v>3</v>
      </c>
      <c r="H638" s="1">
        <v>552928</v>
      </c>
      <c r="I638" t="s">
        <v>643</v>
      </c>
      <c r="J638" s="110">
        <v>38112280</v>
      </c>
      <c r="K638" s="4">
        <v>95451373</v>
      </c>
      <c r="L638" s="756">
        <v>66.05</v>
      </c>
      <c r="M638" s="4">
        <v>13.8</v>
      </c>
      <c r="N638">
        <v>1.6</v>
      </c>
      <c r="O638">
        <f t="shared" si="1"/>
        <v>66050</v>
      </c>
    </row>
    <row r="639" spans="2:15" x14ac:dyDescent="0.2">
      <c r="B639" s="696">
        <v>42608.113749999997</v>
      </c>
      <c r="C639" s="1" t="s">
        <v>701</v>
      </c>
      <c r="E639" t="s">
        <v>225</v>
      </c>
      <c r="F639" t="s">
        <v>305</v>
      </c>
      <c r="G639" s="1" t="s">
        <v>3</v>
      </c>
      <c r="H639" s="1">
        <v>552928</v>
      </c>
      <c r="I639" t="s">
        <v>643</v>
      </c>
      <c r="J639" s="110">
        <v>38112280</v>
      </c>
      <c r="K639" s="4">
        <v>95650784</v>
      </c>
      <c r="L639" s="756">
        <v>66.25</v>
      </c>
      <c r="M639" s="4">
        <v>13.7</v>
      </c>
      <c r="N639">
        <v>1.64</v>
      </c>
      <c r="O639">
        <f t="shared" si="1"/>
        <v>66250</v>
      </c>
    </row>
    <row r="640" spans="2:15" x14ac:dyDescent="0.2">
      <c r="B640" s="696">
        <v>42608.114965277775</v>
      </c>
      <c r="C640" s="1" t="s">
        <v>701</v>
      </c>
      <c r="E640" t="s">
        <v>225</v>
      </c>
      <c r="F640" t="s">
        <v>305</v>
      </c>
      <c r="G640" s="1" t="s">
        <v>3</v>
      </c>
      <c r="H640" s="1">
        <v>552928</v>
      </c>
      <c r="I640" t="s">
        <v>643</v>
      </c>
      <c r="J640" s="110">
        <v>38112280</v>
      </c>
      <c r="K640" s="4">
        <v>95355467</v>
      </c>
      <c r="L640" s="756">
        <v>65.900000000000006</v>
      </c>
      <c r="M640" s="4">
        <v>13.8</v>
      </c>
      <c r="N640">
        <v>1.56</v>
      </c>
      <c r="O640">
        <f t="shared" si="1"/>
        <v>65900</v>
      </c>
    </row>
    <row r="641" spans="2:15" x14ac:dyDescent="0.2">
      <c r="B641" s="696">
        <v>42608.115520833337</v>
      </c>
      <c r="C641" s="1" t="s">
        <v>701</v>
      </c>
      <c r="E641" t="s">
        <v>225</v>
      </c>
      <c r="F641" t="s">
        <v>305</v>
      </c>
      <c r="G641" s="1" t="s">
        <v>3</v>
      </c>
      <c r="H641" s="1">
        <v>552928</v>
      </c>
      <c r="I641" t="s">
        <v>643</v>
      </c>
      <c r="J641" s="110">
        <v>38112280</v>
      </c>
      <c r="K641" s="4">
        <v>95348629</v>
      </c>
      <c r="L641" s="756">
        <v>66.099999999999994</v>
      </c>
      <c r="M641" s="4">
        <v>13.7</v>
      </c>
      <c r="N641">
        <v>1.6</v>
      </c>
      <c r="O641">
        <f t="shared" si="1"/>
        <v>66100</v>
      </c>
    </row>
    <row r="642" spans="2:15" x14ac:dyDescent="0.2">
      <c r="B642" s="696">
        <v>42608.215439814812</v>
      </c>
      <c r="C642" s="1" t="s">
        <v>418</v>
      </c>
      <c r="E642" t="s">
        <v>225</v>
      </c>
      <c r="F642" t="s">
        <v>305</v>
      </c>
      <c r="G642" s="1" t="s">
        <v>3</v>
      </c>
      <c r="H642" s="1">
        <v>552705</v>
      </c>
      <c r="I642" t="s">
        <v>643</v>
      </c>
      <c r="J642" s="110">
        <v>47293899</v>
      </c>
      <c r="K642" s="4">
        <v>95759304</v>
      </c>
      <c r="L642" s="756">
        <v>68</v>
      </c>
      <c r="M642" s="4">
        <v>12.3</v>
      </c>
      <c r="N642">
        <v>2</v>
      </c>
      <c r="O642">
        <f t="shared" si="1"/>
        <v>68000</v>
      </c>
    </row>
    <row r="643" spans="2:15" x14ac:dyDescent="0.2">
      <c r="B643" s="696">
        <v>42608.216041666667</v>
      </c>
      <c r="C643" s="1" t="s">
        <v>418</v>
      </c>
      <c r="E643" t="s">
        <v>225</v>
      </c>
      <c r="F643" t="s">
        <v>305</v>
      </c>
      <c r="G643" s="1" t="s">
        <v>3</v>
      </c>
      <c r="H643" s="1">
        <v>552705</v>
      </c>
      <c r="I643" t="s">
        <v>643</v>
      </c>
      <c r="J643" s="110">
        <v>47293899</v>
      </c>
      <c r="K643" s="4">
        <v>95649539</v>
      </c>
      <c r="L643" s="756">
        <v>70.650000000000006</v>
      </c>
      <c r="M643" s="4">
        <v>12.3</v>
      </c>
      <c r="N643">
        <v>2</v>
      </c>
      <c r="O643">
        <f t="shared" si="1"/>
        <v>70650</v>
      </c>
    </row>
    <row r="644" spans="2:15" x14ac:dyDescent="0.2">
      <c r="B644" s="696">
        <v>42608.251203703701</v>
      </c>
      <c r="C644" s="1" t="s">
        <v>464</v>
      </c>
      <c r="E644" t="s">
        <v>225</v>
      </c>
      <c r="F644" t="s">
        <v>305</v>
      </c>
      <c r="G644" s="1" t="s">
        <v>3</v>
      </c>
      <c r="H644" s="1">
        <v>553731</v>
      </c>
      <c r="I644" t="s">
        <v>643</v>
      </c>
      <c r="J644" s="110">
        <v>209</v>
      </c>
      <c r="K644" s="4" t="s">
        <v>719</v>
      </c>
      <c r="L644" s="756">
        <v>23.48</v>
      </c>
      <c r="M644" s="4">
        <v>11.1</v>
      </c>
      <c r="N644">
        <v>1.06</v>
      </c>
      <c r="O644">
        <f t="shared" si="1"/>
        <v>23480</v>
      </c>
    </row>
    <row r="645" spans="2:15" x14ac:dyDescent="0.2">
      <c r="B645" s="696">
        <v>42608.25854166667</v>
      </c>
      <c r="C645" s="1" t="s">
        <v>464</v>
      </c>
      <c r="E645" t="s">
        <v>225</v>
      </c>
      <c r="F645" t="s">
        <v>305</v>
      </c>
      <c r="G645" s="1" t="s">
        <v>3</v>
      </c>
      <c r="H645" s="1">
        <v>553731</v>
      </c>
      <c r="I645" t="s">
        <v>643</v>
      </c>
      <c r="J645" s="110">
        <v>208</v>
      </c>
      <c r="K645" s="4" t="s">
        <v>720</v>
      </c>
      <c r="L645" s="756">
        <v>25.24</v>
      </c>
      <c r="M645" s="4">
        <v>10.8</v>
      </c>
      <c r="N645">
        <v>1.02</v>
      </c>
      <c r="O645">
        <f t="shared" si="1"/>
        <v>25240</v>
      </c>
    </row>
    <row r="646" spans="2:15" x14ac:dyDescent="0.2">
      <c r="B646" s="696">
        <v>42607.368750000001</v>
      </c>
      <c r="C646" s="1" t="s">
        <v>408</v>
      </c>
      <c r="E646" t="s">
        <v>225</v>
      </c>
      <c r="F646" t="s">
        <v>305</v>
      </c>
      <c r="G646" s="1" t="s">
        <v>3</v>
      </c>
      <c r="H646" s="1">
        <v>553757</v>
      </c>
      <c r="I646" t="s">
        <v>469</v>
      </c>
      <c r="J646" s="110">
        <v>354519</v>
      </c>
      <c r="K646" s="4" t="s">
        <v>662</v>
      </c>
      <c r="L646" s="756">
        <v>24.32</v>
      </c>
      <c r="M646" s="4">
        <v>12.2</v>
      </c>
      <c r="N646">
        <v>2</v>
      </c>
      <c r="O646">
        <f t="shared" si="1"/>
        <v>24320</v>
      </c>
    </row>
    <row r="647" spans="2:15" x14ac:dyDescent="0.2">
      <c r="B647" s="696">
        <v>42607.373703703706</v>
      </c>
      <c r="C647" s="1" t="s">
        <v>408</v>
      </c>
      <c r="E647" t="s">
        <v>225</v>
      </c>
      <c r="F647" t="s">
        <v>305</v>
      </c>
      <c r="G647" s="1" t="s">
        <v>3</v>
      </c>
      <c r="H647" s="1">
        <v>553757</v>
      </c>
      <c r="I647" t="s">
        <v>469</v>
      </c>
      <c r="J647" s="110">
        <v>355319</v>
      </c>
      <c r="K647" s="4" t="s">
        <v>675</v>
      </c>
      <c r="L647" s="756">
        <v>26.2</v>
      </c>
      <c r="M647" s="4">
        <v>13.5</v>
      </c>
      <c r="N647">
        <v>2</v>
      </c>
      <c r="O647">
        <f t="shared" si="1"/>
        <v>26200</v>
      </c>
    </row>
    <row r="648" spans="2:15" x14ac:dyDescent="0.2">
      <c r="B648" s="696">
        <v>42607.380601851852</v>
      </c>
      <c r="C648" s="1" t="s">
        <v>408</v>
      </c>
      <c r="E648" t="s">
        <v>225</v>
      </c>
      <c r="F648" t="s">
        <v>305</v>
      </c>
      <c r="G648" s="1" t="s">
        <v>3</v>
      </c>
      <c r="H648" s="1">
        <v>553757</v>
      </c>
      <c r="I648" t="s">
        <v>469</v>
      </c>
      <c r="J648" s="110">
        <v>354854</v>
      </c>
      <c r="K648" s="4" t="s">
        <v>721</v>
      </c>
      <c r="L648" s="756">
        <v>26.32</v>
      </c>
      <c r="M648" s="4">
        <v>12.6</v>
      </c>
      <c r="N648">
        <v>2</v>
      </c>
      <c r="O648">
        <f t="shared" si="1"/>
        <v>26320</v>
      </c>
    </row>
    <row r="649" spans="2:15" x14ac:dyDescent="0.2">
      <c r="B649" s="696">
        <v>42607.406319444446</v>
      </c>
      <c r="C649" s="1" t="s">
        <v>408</v>
      </c>
      <c r="E649" t="s">
        <v>225</v>
      </c>
      <c r="F649" t="s">
        <v>305</v>
      </c>
      <c r="G649" s="1" t="s">
        <v>3</v>
      </c>
      <c r="H649" s="1">
        <v>553757</v>
      </c>
      <c r="I649" t="s">
        <v>469</v>
      </c>
      <c r="J649" s="110">
        <v>359404</v>
      </c>
      <c r="K649" s="4" t="s">
        <v>722</v>
      </c>
      <c r="L649" s="756">
        <v>22.62</v>
      </c>
      <c r="M649" s="4">
        <v>13.5</v>
      </c>
      <c r="N649">
        <v>2</v>
      </c>
      <c r="O649">
        <f t="shared" si="1"/>
        <v>22620</v>
      </c>
    </row>
    <row r="650" spans="2:15" x14ac:dyDescent="0.2">
      <c r="B650" s="696">
        <v>42607.436840277776</v>
      </c>
      <c r="C650" s="1" t="s">
        <v>408</v>
      </c>
      <c r="E650" t="s">
        <v>225</v>
      </c>
      <c r="F650" t="s">
        <v>305</v>
      </c>
      <c r="G650" s="1" t="s">
        <v>3</v>
      </c>
      <c r="H650" s="1">
        <v>553757</v>
      </c>
      <c r="I650" t="s">
        <v>469</v>
      </c>
      <c r="J650" s="110">
        <v>354598</v>
      </c>
      <c r="K650" s="4" t="s">
        <v>723</v>
      </c>
      <c r="L650" s="756">
        <v>25.44</v>
      </c>
      <c r="M650" s="4">
        <v>11.6</v>
      </c>
      <c r="N650">
        <v>2</v>
      </c>
      <c r="O650">
        <f t="shared" si="1"/>
        <v>25440</v>
      </c>
    </row>
    <row r="651" spans="2:15" x14ac:dyDescent="0.2">
      <c r="B651" s="696">
        <v>42607.725011574075</v>
      </c>
      <c r="C651" s="1" t="s">
        <v>408</v>
      </c>
      <c r="E651" t="s">
        <v>225</v>
      </c>
      <c r="F651" t="s">
        <v>305</v>
      </c>
      <c r="G651" s="1" t="s">
        <v>3</v>
      </c>
      <c r="H651" s="1">
        <v>553757</v>
      </c>
      <c r="I651" t="s">
        <v>469</v>
      </c>
      <c r="J651" s="110">
        <v>359406</v>
      </c>
      <c r="K651" s="4" t="s">
        <v>724</v>
      </c>
      <c r="L651" s="756">
        <v>23.76</v>
      </c>
      <c r="M651" s="4">
        <v>13.3</v>
      </c>
      <c r="N651">
        <v>2</v>
      </c>
      <c r="O651">
        <f t="shared" si="1"/>
        <v>23760</v>
      </c>
    </row>
    <row r="652" spans="2:15" x14ac:dyDescent="0.2">
      <c r="B652" s="696">
        <v>42607.731539351851</v>
      </c>
      <c r="C652" s="1" t="s">
        <v>408</v>
      </c>
      <c r="E652" t="s">
        <v>225</v>
      </c>
      <c r="F652" t="s">
        <v>305</v>
      </c>
      <c r="G652" s="1" t="s">
        <v>3</v>
      </c>
      <c r="H652" s="1">
        <v>553757</v>
      </c>
      <c r="I652" t="s">
        <v>469</v>
      </c>
      <c r="J652" s="110">
        <v>354522</v>
      </c>
      <c r="K652" s="4" t="s">
        <v>725</v>
      </c>
      <c r="L652" s="756">
        <v>22.44</v>
      </c>
      <c r="M652" s="4">
        <v>10.8</v>
      </c>
      <c r="N652">
        <v>1.8</v>
      </c>
      <c r="O652">
        <f t="shared" si="1"/>
        <v>22440</v>
      </c>
    </row>
    <row r="653" spans="2:15" x14ac:dyDescent="0.2">
      <c r="B653" s="696">
        <v>42607.904849537037</v>
      </c>
      <c r="C653" s="1" t="s">
        <v>541</v>
      </c>
      <c r="E653" t="s">
        <v>225</v>
      </c>
      <c r="F653" t="s">
        <v>305</v>
      </c>
      <c r="G653" s="1" t="s">
        <v>3</v>
      </c>
      <c r="H653" s="1">
        <v>553098</v>
      </c>
      <c r="I653" t="s">
        <v>469</v>
      </c>
      <c r="J653" s="110">
        <v>43909662</v>
      </c>
      <c r="K653" s="4">
        <v>95536678</v>
      </c>
      <c r="L653" s="756">
        <v>52.65</v>
      </c>
      <c r="M653" s="4">
        <v>12.5</v>
      </c>
      <c r="N653">
        <v>2</v>
      </c>
      <c r="O653">
        <f t="shared" si="1"/>
        <v>52650</v>
      </c>
    </row>
    <row r="654" spans="2:15" x14ac:dyDescent="0.2">
      <c r="B654" s="696">
        <v>42607.905277777776</v>
      </c>
      <c r="C654" s="1" t="s">
        <v>541</v>
      </c>
      <c r="E654" t="s">
        <v>225</v>
      </c>
      <c r="F654" t="s">
        <v>305</v>
      </c>
      <c r="G654" s="1" t="s">
        <v>3</v>
      </c>
      <c r="H654" s="1">
        <v>553098</v>
      </c>
      <c r="I654" t="s">
        <v>469</v>
      </c>
      <c r="J654" s="110">
        <v>43909662</v>
      </c>
      <c r="K654" s="4">
        <v>95759585</v>
      </c>
      <c r="L654" s="756">
        <v>54.9</v>
      </c>
      <c r="M654" s="4">
        <v>11.9</v>
      </c>
      <c r="N654">
        <v>2</v>
      </c>
      <c r="O654">
        <f t="shared" si="1"/>
        <v>54900</v>
      </c>
    </row>
    <row r="655" spans="2:15" x14ac:dyDescent="0.2">
      <c r="B655" s="696">
        <v>42607.954328703701</v>
      </c>
      <c r="C655" s="1" t="s">
        <v>408</v>
      </c>
      <c r="E655" t="s">
        <v>225</v>
      </c>
      <c r="F655" t="s">
        <v>305</v>
      </c>
      <c r="G655" s="1" t="s">
        <v>3</v>
      </c>
      <c r="H655" s="1">
        <v>553757</v>
      </c>
      <c r="I655" t="s">
        <v>469</v>
      </c>
      <c r="J655" s="110">
        <v>354520</v>
      </c>
      <c r="K655" s="4" t="s">
        <v>726</v>
      </c>
      <c r="L655" s="756">
        <v>26.98</v>
      </c>
      <c r="M655" s="4">
        <v>13.6</v>
      </c>
      <c r="N655">
        <v>1.86</v>
      </c>
      <c r="O655">
        <f t="shared" si="1"/>
        <v>26980</v>
      </c>
    </row>
    <row r="656" spans="2:15" x14ac:dyDescent="0.2">
      <c r="B656" s="696">
        <v>42607.959328703706</v>
      </c>
      <c r="C656" s="1" t="s">
        <v>408</v>
      </c>
      <c r="E656" t="s">
        <v>225</v>
      </c>
      <c r="F656" t="s">
        <v>305</v>
      </c>
      <c r="G656" s="1" t="s">
        <v>3</v>
      </c>
      <c r="H656" s="1">
        <v>553757</v>
      </c>
      <c r="I656" t="s">
        <v>469</v>
      </c>
      <c r="J656" s="110">
        <v>359407</v>
      </c>
      <c r="K656" s="4" t="s">
        <v>727</v>
      </c>
      <c r="L656" s="756">
        <v>23.98</v>
      </c>
      <c r="M656" s="4">
        <v>14</v>
      </c>
      <c r="N656">
        <v>2</v>
      </c>
      <c r="O656">
        <f t="shared" si="1"/>
        <v>23980</v>
      </c>
    </row>
    <row r="657" spans="2:15" x14ac:dyDescent="0.2">
      <c r="B657" s="696">
        <v>42607.96806712963</v>
      </c>
      <c r="C657" s="1" t="s">
        <v>408</v>
      </c>
      <c r="E657" t="s">
        <v>225</v>
      </c>
      <c r="F657" t="s">
        <v>305</v>
      </c>
      <c r="G657" s="1" t="s">
        <v>3</v>
      </c>
      <c r="H657" s="1">
        <v>553757</v>
      </c>
      <c r="I657" t="s">
        <v>469</v>
      </c>
      <c r="J657" s="110">
        <v>350878</v>
      </c>
      <c r="K657" s="4" t="s">
        <v>728</v>
      </c>
      <c r="L657" s="756">
        <v>26.2</v>
      </c>
      <c r="M657" s="4">
        <v>13.7</v>
      </c>
      <c r="N657">
        <v>1.96</v>
      </c>
      <c r="O657">
        <f t="shared" si="1"/>
        <v>26200</v>
      </c>
    </row>
    <row r="658" spans="2:15" x14ac:dyDescent="0.2">
      <c r="B658" s="696">
        <v>42608.219837962963</v>
      </c>
      <c r="C658" s="1" t="s">
        <v>408</v>
      </c>
      <c r="E658" t="s">
        <v>225</v>
      </c>
      <c r="F658" t="s">
        <v>305</v>
      </c>
      <c r="G658" s="1" t="s">
        <v>3</v>
      </c>
      <c r="H658" s="1">
        <v>553757</v>
      </c>
      <c r="I658" t="s">
        <v>469</v>
      </c>
      <c r="J658" s="110">
        <v>354574</v>
      </c>
      <c r="K658" s="4" t="s">
        <v>676</v>
      </c>
      <c r="L658" s="756">
        <v>25.12</v>
      </c>
      <c r="M658" s="4">
        <v>13.3</v>
      </c>
      <c r="N658">
        <v>1.96</v>
      </c>
      <c r="O658">
        <f t="shared" si="1"/>
        <v>25120</v>
      </c>
    </row>
    <row r="659" spans="2:15" x14ac:dyDescent="0.2">
      <c r="B659" s="696">
        <v>42608.225763888891</v>
      </c>
      <c r="C659" s="1" t="s">
        <v>408</v>
      </c>
      <c r="E659" t="s">
        <v>225</v>
      </c>
      <c r="F659" t="s">
        <v>305</v>
      </c>
      <c r="G659" s="1" t="s">
        <v>3</v>
      </c>
      <c r="H659" s="1">
        <v>553757</v>
      </c>
      <c r="I659" t="s">
        <v>469</v>
      </c>
      <c r="J659" s="110">
        <v>354853</v>
      </c>
      <c r="K659" s="4" t="s">
        <v>729</v>
      </c>
      <c r="L659" s="756">
        <v>25.22</v>
      </c>
      <c r="M659" s="4">
        <v>12.5</v>
      </c>
      <c r="N659">
        <v>1.86</v>
      </c>
      <c r="O659">
        <f t="shared" si="1"/>
        <v>25220</v>
      </c>
    </row>
    <row r="660" spans="2:15" x14ac:dyDescent="0.2">
      <c r="B660" s="696">
        <v>42593.187164351853</v>
      </c>
      <c r="C660" s="1" t="s">
        <v>741</v>
      </c>
      <c r="E660" t="s">
        <v>225</v>
      </c>
      <c r="F660" t="s">
        <v>305</v>
      </c>
      <c r="G660" s="1" t="s">
        <v>3</v>
      </c>
      <c r="H660" s="1">
        <v>553362</v>
      </c>
      <c r="I660" t="s">
        <v>467</v>
      </c>
      <c r="J660" s="110">
        <v>2110010586</v>
      </c>
      <c r="K660" s="4" t="s">
        <v>732</v>
      </c>
      <c r="L660" s="4">
        <v>26.06</v>
      </c>
    </row>
    <row r="661" spans="2:15" x14ac:dyDescent="0.2">
      <c r="B661" s="696">
        <v>42593.194537037038</v>
      </c>
      <c r="C661" s="1" t="s">
        <v>741</v>
      </c>
      <c r="E661" t="s">
        <v>225</v>
      </c>
      <c r="F661" t="s">
        <v>305</v>
      </c>
      <c r="G661" s="1" t="s">
        <v>3</v>
      </c>
      <c r="H661" s="1">
        <v>553362</v>
      </c>
      <c r="I661" t="s">
        <v>467</v>
      </c>
      <c r="J661" s="110">
        <v>2110020586</v>
      </c>
      <c r="K661" s="4" t="s">
        <v>733</v>
      </c>
      <c r="L661" s="4">
        <v>23.76</v>
      </c>
    </row>
    <row r="662" spans="2:15" x14ac:dyDescent="0.2">
      <c r="B662" s="696">
        <v>42593.730509259258</v>
      </c>
      <c r="C662" s="1" t="s">
        <v>741</v>
      </c>
      <c r="E662" t="s">
        <v>225</v>
      </c>
      <c r="F662" t="s">
        <v>305</v>
      </c>
      <c r="G662" s="1" t="s">
        <v>3</v>
      </c>
      <c r="H662" s="1">
        <v>553362</v>
      </c>
      <c r="I662" t="s">
        <v>467</v>
      </c>
      <c r="J662" s="110">
        <v>2110070586</v>
      </c>
      <c r="K662" s="4" t="s">
        <v>734</v>
      </c>
      <c r="L662" s="4">
        <v>21.74</v>
      </c>
    </row>
    <row r="663" spans="2:15" x14ac:dyDescent="0.2">
      <c r="B663" s="696">
        <v>42593.735659722224</v>
      </c>
      <c r="C663" s="1" t="s">
        <v>741</v>
      </c>
      <c r="E663" t="s">
        <v>225</v>
      </c>
      <c r="F663" t="s">
        <v>305</v>
      </c>
      <c r="G663" s="1" t="s">
        <v>3</v>
      </c>
      <c r="H663" s="1">
        <v>553362</v>
      </c>
      <c r="I663" t="s">
        <v>467</v>
      </c>
      <c r="J663" s="110">
        <v>2110050586</v>
      </c>
      <c r="K663" s="4" t="s">
        <v>735</v>
      </c>
      <c r="L663" s="4">
        <v>21.52</v>
      </c>
    </row>
    <row r="664" spans="2:15" x14ac:dyDescent="0.2">
      <c r="B664" s="696">
        <v>42593.739421296297</v>
      </c>
      <c r="C664" s="1" t="s">
        <v>741</v>
      </c>
      <c r="E664" t="s">
        <v>225</v>
      </c>
      <c r="F664" t="s">
        <v>305</v>
      </c>
      <c r="G664" s="1" t="s">
        <v>3</v>
      </c>
      <c r="H664" s="1">
        <v>553362</v>
      </c>
      <c r="I664" t="s">
        <v>467</v>
      </c>
      <c r="J664" s="110">
        <v>2110060586</v>
      </c>
      <c r="K664" s="4" t="s">
        <v>736</v>
      </c>
      <c r="L664" s="4">
        <v>19.86</v>
      </c>
    </row>
    <row r="665" spans="2:15" x14ac:dyDescent="0.2">
      <c r="B665" s="696">
        <v>42594.280868055554</v>
      </c>
      <c r="C665" s="1" t="s">
        <v>741</v>
      </c>
      <c r="E665" t="s">
        <v>225</v>
      </c>
      <c r="F665" t="s">
        <v>305</v>
      </c>
      <c r="G665" s="1" t="s">
        <v>3</v>
      </c>
      <c r="H665" s="1">
        <v>553362</v>
      </c>
      <c r="I665" t="s">
        <v>467</v>
      </c>
      <c r="J665" s="110">
        <v>6413</v>
      </c>
      <c r="K665" s="4" t="s">
        <v>737</v>
      </c>
      <c r="L665" s="4">
        <v>26.14</v>
      </c>
    </row>
    <row r="666" spans="2:15" x14ac:dyDescent="0.2">
      <c r="B666" s="696">
        <v>42594.288356481484</v>
      </c>
      <c r="C666" s="1" t="s">
        <v>741</v>
      </c>
      <c r="E666" t="s">
        <v>225</v>
      </c>
      <c r="F666" t="s">
        <v>305</v>
      </c>
      <c r="G666" s="1" t="s">
        <v>3</v>
      </c>
      <c r="H666" s="1">
        <v>553362</v>
      </c>
      <c r="I666" t="s">
        <v>467</v>
      </c>
      <c r="J666" s="110">
        <v>5070</v>
      </c>
      <c r="K666" s="4" t="s">
        <v>738</v>
      </c>
      <c r="L666" s="4">
        <v>22.06</v>
      </c>
    </row>
    <row r="667" spans="2:15" x14ac:dyDescent="0.2">
      <c r="B667" s="696">
        <v>42594.461828703701</v>
      </c>
      <c r="C667" s="1" t="s">
        <v>741</v>
      </c>
      <c r="E667" t="s">
        <v>225</v>
      </c>
      <c r="F667" t="s">
        <v>305</v>
      </c>
      <c r="G667" s="1" t="s">
        <v>3</v>
      </c>
      <c r="H667" s="1">
        <v>553362</v>
      </c>
      <c r="I667" t="s">
        <v>467</v>
      </c>
      <c r="J667" s="110">
        <v>2110030586</v>
      </c>
      <c r="K667" s="4" t="s">
        <v>732</v>
      </c>
      <c r="L667" s="4">
        <v>24.82</v>
      </c>
    </row>
    <row r="668" spans="2:15" x14ac:dyDescent="0.2">
      <c r="B668" s="696">
        <v>42594.467766203707</v>
      </c>
      <c r="C668" s="1" t="s">
        <v>741</v>
      </c>
      <c r="E668" t="s">
        <v>225</v>
      </c>
      <c r="F668" t="s">
        <v>305</v>
      </c>
      <c r="G668" s="1" t="s">
        <v>3</v>
      </c>
      <c r="H668" s="1">
        <v>553362</v>
      </c>
      <c r="I668" t="s">
        <v>467</v>
      </c>
      <c r="J668" s="110">
        <v>2110040586</v>
      </c>
      <c r="K668" s="4" t="s">
        <v>733</v>
      </c>
      <c r="L668" s="4">
        <v>23.14</v>
      </c>
    </row>
    <row r="669" spans="2:15" x14ac:dyDescent="0.2">
      <c r="B669" s="696">
        <v>42596.18136574074</v>
      </c>
      <c r="C669" s="1" t="s">
        <v>741</v>
      </c>
      <c r="E669" t="s">
        <v>225</v>
      </c>
      <c r="F669" t="s">
        <v>305</v>
      </c>
      <c r="G669" s="1" t="s">
        <v>3</v>
      </c>
      <c r="H669" s="1">
        <v>553362</v>
      </c>
      <c r="I669" t="s">
        <v>467</v>
      </c>
      <c r="J669" s="110">
        <v>211015</v>
      </c>
      <c r="K669" s="4" t="s">
        <v>564</v>
      </c>
      <c r="L669" s="4">
        <v>22</v>
      </c>
    </row>
    <row r="670" spans="2:15" x14ac:dyDescent="0.2">
      <c r="B670" s="696">
        <v>42596.18645833333</v>
      </c>
      <c r="C670" s="1" t="s">
        <v>741</v>
      </c>
      <c r="E670" t="s">
        <v>225</v>
      </c>
      <c r="F670" t="s">
        <v>305</v>
      </c>
      <c r="G670" s="1" t="s">
        <v>3</v>
      </c>
      <c r="H670" s="1">
        <v>553362</v>
      </c>
      <c r="I670" t="s">
        <v>467</v>
      </c>
      <c r="J670" s="110">
        <v>211014</v>
      </c>
      <c r="K670" s="4" t="s">
        <v>739</v>
      </c>
      <c r="L670" s="4">
        <v>20.88</v>
      </c>
    </row>
    <row r="671" spans="2:15" x14ac:dyDescent="0.2">
      <c r="B671" s="696">
        <v>42598.782106481478</v>
      </c>
      <c r="C671" s="1" t="s">
        <v>741</v>
      </c>
      <c r="E671" t="s">
        <v>225</v>
      </c>
      <c r="F671" t="s">
        <v>305</v>
      </c>
      <c r="G671" s="1" t="s">
        <v>3</v>
      </c>
      <c r="H671" s="1">
        <v>553362</v>
      </c>
      <c r="I671" t="s">
        <v>467</v>
      </c>
      <c r="J671" s="110">
        <v>2110190586</v>
      </c>
      <c r="K671" s="4" t="s">
        <v>740</v>
      </c>
      <c r="L671" s="4">
        <v>23.46</v>
      </c>
    </row>
    <row r="672" spans="2:15" x14ac:dyDescent="0.2">
      <c r="B672" s="696">
        <v>42598.926180555558</v>
      </c>
      <c r="C672" s="1" t="s">
        <v>741</v>
      </c>
      <c r="E672" t="s">
        <v>225</v>
      </c>
      <c r="F672" t="s">
        <v>305</v>
      </c>
      <c r="G672" s="1" t="s">
        <v>3</v>
      </c>
      <c r="H672" s="1">
        <v>553362</v>
      </c>
      <c r="I672" t="s">
        <v>467</v>
      </c>
      <c r="J672" s="110">
        <v>2110130586</v>
      </c>
      <c r="K672" s="4" t="s">
        <v>564</v>
      </c>
      <c r="L672" s="4">
        <v>21.96</v>
      </c>
    </row>
    <row r="673" spans="2:12" x14ac:dyDescent="0.2">
      <c r="B673" s="696">
        <v>42598.932129629633</v>
      </c>
      <c r="C673" s="1" t="s">
        <v>741</v>
      </c>
      <c r="E673" t="s">
        <v>225</v>
      </c>
      <c r="F673" t="s">
        <v>305</v>
      </c>
      <c r="G673" s="1" t="s">
        <v>3</v>
      </c>
      <c r="H673" s="1">
        <v>553362</v>
      </c>
      <c r="I673" t="s">
        <v>467</v>
      </c>
      <c r="J673" s="110">
        <v>2110120586</v>
      </c>
      <c r="K673" s="4" t="s">
        <v>739</v>
      </c>
      <c r="L673" s="4">
        <v>22.4</v>
      </c>
    </row>
    <row r="674" spans="2:12" x14ac:dyDescent="0.2">
      <c r="B674" s="696">
        <v>42602.168807870374</v>
      </c>
      <c r="C674" s="1" t="s">
        <v>541</v>
      </c>
      <c r="E674" t="s">
        <v>225</v>
      </c>
      <c r="F674" t="s">
        <v>305</v>
      </c>
      <c r="G674" s="1" t="s">
        <v>3</v>
      </c>
      <c r="H674" s="1">
        <v>553578</v>
      </c>
      <c r="I674" t="s">
        <v>467</v>
      </c>
      <c r="J674" s="110">
        <v>7006</v>
      </c>
      <c r="K674" s="4" t="s">
        <v>564</v>
      </c>
      <c r="L674" s="4">
        <v>21.8</v>
      </c>
    </row>
    <row r="675" spans="2:12" x14ac:dyDescent="0.2">
      <c r="B675" s="696">
        <v>42602.270509259259</v>
      </c>
      <c r="C675" s="1" t="s">
        <v>541</v>
      </c>
      <c r="E675" t="s">
        <v>225</v>
      </c>
      <c r="F675" t="s">
        <v>305</v>
      </c>
      <c r="G675" s="1" t="s">
        <v>3</v>
      </c>
      <c r="H675" s="1">
        <v>553578</v>
      </c>
      <c r="I675" t="s">
        <v>467</v>
      </c>
      <c r="J675" s="110">
        <v>7000</v>
      </c>
      <c r="K675" s="4" t="s">
        <v>568</v>
      </c>
      <c r="L675" s="4">
        <v>25.38</v>
      </c>
    </row>
    <row r="676" spans="2:12" x14ac:dyDescent="0.2">
      <c r="B676" s="696">
        <v>42602.570949074077</v>
      </c>
      <c r="C676" s="1" t="s">
        <v>541</v>
      </c>
      <c r="E676" t="s">
        <v>225</v>
      </c>
      <c r="F676" t="s">
        <v>305</v>
      </c>
      <c r="G676" s="1" t="s">
        <v>3</v>
      </c>
      <c r="H676" s="1">
        <v>553578</v>
      </c>
      <c r="I676" t="s">
        <v>467</v>
      </c>
      <c r="J676" s="110">
        <v>7001</v>
      </c>
      <c r="K676" s="4" t="s">
        <v>572</v>
      </c>
      <c r="L676" s="4">
        <v>23.58</v>
      </c>
    </row>
    <row r="677" spans="2:12" x14ac:dyDescent="0.2">
      <c r="B677" s="696">
        <v>42603.198599537034</v>
      </c>
      <c r="C677" s="1" t="s">
        <v>541</v>
      </c>
      <c r="E677" t="s">
        <v>225</v>
      </c>
      <c r="F677" t="s">
        <v>305</v>
      </c>
      <c r="G677" s="1" t="s">
        <v>3</v>
      </c>
      <c r="H677" s="1">
        <v>553578</v>
      </c>
      <c r="I677" t="s">
        <v>467</v>
      </c>
      <c r="J677" s="110">
        <v>7007</v>
      </c>
      <c r="K677" s="4" t="s">
        <v>564</v>
      </c>
      <c r="L677" s="4">
        <v>22.02</v>
      </c>
    </row>
    <row r="678" spans="2:12" x14ac:dyDescent="0.2">
      <c r="B678" s="696">
        <v>42603.237013888887</v>
      </c>
      <c r="C678" s="1" t="s">
        <v>741</v>
      </c>
      <c r="E678" t="s">
        <v>225</v>
      </c>
      <c r="F678" t="s">
        <v>305</v>
      </c>
      <c r="G678" s="1" t="s">
        <v>3</v>
      </c>
      <c r="H678" s="1">
        <v>553362</v>
      </c>
      <c r="I678" t="s">
        <v>467</v>
      </c>
      <c r="J678" s="110">
        <v>43910397</v>
      </c>
      <c r="K678" s="4">
        <v>95532479</v>
      </c>
      <c r="L678" s="4">
        <v>69.8</v>
      </c>
    </row>
    <row r="679" spans="2:12" x14ac:dyDescent="0.2">
      <c r="B679" s="696">
        <v>42603.237384259257</v>
      </c>
      <c r="C679" s="1" t="s">
        <v>741</v>
      </c>
      <c r="E679" t="s">
        <v>225</v>
      </c>
      <c r="F679" t="s">
        <v>305</v>
      </c>
      <c r="G679" s="1" t="s">
        <v>3</v>
      </c>
      <c r="H679" s="1">
        <v>553362</v>
      </c>
      <c r="I679" t="s">
        <v>467</v>
      </c>
      <c r="J679" s="110">
        <v>43910397</v>
      </c>
      <c r="K679" s="4">
        <v>95640132</v>
      </c>
      <c r="L679" s="4">
        <v>68.849999999999994</v>
      </c>
    </row>
    <row r="680" spans="2:12" x14ac:dyDescent="0.2">
      <c r="B680" s="696">
        <v>42603.237673611111</v>
      </c>
      <c r="C680" s="1" t="s">
        <v>741</v>
      </c>
      <c r="E680" t="s">
        <v>225</v>
      </c>
      <c r="F680" t="s">
        <v>305</v>
      </c>
      <c r="G680" s="1" t="s">
        <v>3</v>
      </c>
      <c r="H680" s="1">
        <v>553362</v>
      </c>
      <c r="I680" t="s">
        <v>467</v>
      </c>
      <c r="J680" s="110">
        <v>43910397</v>
      </c>
      <c r="K680" s="4">
        <v>95751905</v>
      </c>
      <c r="L680" s="4">
        <v>69.900000000000006</v>
      </c>
    </row>
    <row r="681" spans="2:12" x14ac:dyDescent="0.2">
      <c r="B681" s="696">
        <v>42603.237974537034</v>
      </c>
      <c r="C681" s="1" t="s">
        <v>741</v>
      </c>
      <c r="E681" t="s">
        <v>225</v>
      </c>
      <c r="F681" t="s">
        <v>305</v>
      </c>
      <c r="G681" s="1" t="s">
        <v>3</v>
      </c>
      <c r="H681" s="1">
        <v>553362</v>
      </c>
      <c r="I681" t="s">
        <v>467</v>
      </c>
      <c r="J681" s="110">
        <v>43910397</v>
      </c>
      <c r="K681" s="4">
        <v>95649430</v>
      </c>
      <c r="L681" s="4">
        <v>69.599999999999994</v>
      </c>
    </row>
    <row r="682" spans="2:12" x14ac:dyDescent="0.2">
      <c r="B682" s="696">
        <v>42603.238263888888</v>
      </c>
      <c r="C682" s="1" t="s">
        <v>741</v>
      </c>
      <c r="E682" t="s">
        <v>225</v>
      </c>
      <c r="F682" t="s">
        <v>305</v>
      </c>
      <c r="G682" s="1" t="s">
        <v>3</v>
      </c>
      <c r="H682" s="1">
        <v>553362</v>
      </c>
      <c r="I682" t="s">
        <v>467</v>
      </c>
      <c r="J682" s="110">
        <v>43910397</v>
      </c>
      <c r="K682" s="4">
        <v>95712709</v>
      </c>
      <c r="L682" s="4">
        <v>70</v>
      </c>
    </row>
    <row r="683" spans="2:12" x14ac:dyDescent="0.2">
      <c r="B683" s="696">
        <v>42603.380439814813</v>
      </c>
      <c r="C683" s="1" t="s">
        <v>741</v>
      </c>
      <c r="E683" t="s">
        <v>225</v>
      </c>
      <c r="F683" t="s">
        <v>305</v>
      </c>
      <c r="G683" s="1" t="s">
        <v>3</v>
      </c>
      <c r="H683" s="1">
        <v>553362</v>
      </c>
      <c r="I683" t="s">
        <v>467</v>
      </c>
      <c r="J683" s="110">
        <v>43910397</v>
      </c>
      <c r="K683" s="4">
        <v>95617882</v>
      </c>
      <c r="L683" s="4">
        <v>68.099999999999994</v>
      </c>
    </row>
    <row r="684" spans="2:12" x14ac:dyDescent="0.2">
      <c r="B684" s="696">
        <v>42603.381215277775</v>
      </c>
      <c r="C684" s="1" t="s">
        <v>741</v>
      </c>
      <c r="E684" t="s">
        <v>225</v>
      </c>
      <c r="F684" t="s">
        <v>305</v>
      </c>
      <c r="G684" s="1" t="s">
        <v>3</v>
      </c>
      <c r="H684" s="1">
        <v>553362</v>
      </c>
      <c r="I684" t="s">
        <v>467</v>
      </c>
      <c r="J684" s="110">
        <v>43910397</v>
      </c>
      <c r="K684" s="4">
        <v>95615902</v>
      </c>
      <c r="L684" s="4">
        <v>68.25</v>
      </c>
    </row>
    <row r="685" spans="2:12" x14ac:dyDescent="0.2">
      <c r="B685" s="696">
        <v>42603.381863425922</v>
      </c>
      <c r="C685" s="1" t="s">
        <v>741</v>
      </c>
      <c r="E685" t="s">
        <v>225</v>
      </c>
      <c r="F685" t="s">
        <v>305</v>
      </c>
      <c r="G685" s="1" t="s">
        <v>3</v>
      </c>
      <c r="H685" s="1">
        <v>553362</v>
      </c>
      <c r="I685" t="s">
        <v>467</v>
      </c>
      <c r="J685" s="110">
        <v>43907922</v>
      </c>
      <c r="K685" s="4">
        <v>95538369</v>
      </c>
      <c r="L685" s="4">
        <v>66.599999999999994</v>
      </c>
    </row>
    <row r="686" spans="2:12" x14ac:dyDescent="0.2">
      <c r="B686" s="696">
        <v>42603.478136574071</v>
      </c>
      <c r="C686" s="1" t="s">
        <v>741</v>
      </c>
      <c r="E686" t="s">
        <v>225</v>
      </c>
      <c r="F686" t="s">
        <v>305</v>
      </c>
      <c r="G686" s="1" t="s">
        <v>3</v>
      </c>
      <c r="H686" s="1">
        <v>553362</v>
      </c>
      <c r="I686" t="s">
        <v>467</v>
      </c>
      <c r="J686" s="110">
        <v>43932383</v>
      </c>
      <c r="K686" s="4">
        <v>95830501</v>
      </c>
      <c r="L686" s="4">
        <v>69.650000000000006</v>
      </c>
    </row>
    <row r="687" spans="2:12" x14ac:dyDescent="0.2">
      <c r="B687" s="696">
        <v>42603.478750000002</v>
      </c>
      <c r="C687" s="1" t="s">
        <v>741</v>
      </c>
      <c r="E687" t="s">
        <v>225</v>
      </c>
      <c r="F687" t="s">
        <v>305</v>
      </c>
      <c r="G687" s="1" t="s">
        <v>3</v>
      </c>
      <c r="H687" s="1">
        <v>553362</v>
      </c>
      <c r="I687" t="s">
        <v>467</v>
      </c>
      <c r="J687" s="110">
        <v>43932383</v>
      </c>
      <c r="K687" s="4">
        <v>95620266</v>
      </c>
      <c r="L687" s="4">
        <v>68.3</v>
      </c>
    </row>
    <row r="688" spans="2:12" x14ac:dyDescent="0.2">
      <c r="B688" s="696">
        <v>42603.482766203706</v>
      </c>
      <c r="C688" s="1" t="s">
        <v>741</v>
      </c>
      <c r="E688" t="s">
        <v>225</v>
      </c>
      <c r="F688" t="s">
        <v>305</v>
      </c>
      <c r="G688" s="1" t="s">
        <v>3</v>
      </c>
      <c r="H688" s="1">
        <v>553362</v>
      </c>
      <c r="I688" t="s">
        <v>467</v>
      </c>
      <c r="J688" s="110">
        <v>43932383</v>
      </c>
      <c r="K688" s="4">
        <v>95928966</v>
      </c>
      <c r="L688" s="4">
        <v>69.349999999999994</v>
      </c>
    </row>
    <row r="689" spans="2:15" x14ac:dyDescent="0.2">
      <c r="B689" s="696">
        <v>42603.483356481483</v>
      </c>
      <c r="C689" s="1" t="s">
        <v>741</v>
      </c>
      <c r="E689" t="s">
        <v>225</v>
      </c>
      <c r="F689" t="s">
        <v>305</v>
      </c>
      <c r="G689" s="1" t="s">
        <v>3</v>
      </c>
      <c r="H689" s="1">
        <v>553362</v>
      </c>
      <c r="I689" t="s">
        <v>467</v>
      </c>
      <c r="J689" s="110">
        <v>43932383</v>
      </c>
      <c r="K689" s="4">
        <v>95303707</v>
      </c>
      <c r="L689" s="4">
        <v>67.75</v>
      </c>
    </row>
    <row r="690" spans="2:15" x14ac:dyDescent="0.2">
      <c r="B690" s="696">
        <v>42603.491076388891</v>
      </c>
      <c r="C690" s="1" t="s">
        <v>741</v>
      </c>
      <c r="E690" t="s">
        <v>225</v>
      </c>
      <c r="F690" t="s">
        <v>305</v>
      </c>
      <c r="G690" s="1" t="s">
        <v>3</v>
      </c>
      <c r="H690" s="1">
        <v>553362</v>
      </c>
      <c r="I690" t="s">
        <v>467</v>
      </c>
      <c r="J690" s="110">
        <v>43932383</v>
      </c>
      <c r="K690" s="4">
        <v>95539508</v>
      </c>
      <c r="L690" s="4">
        <v>68.95</v>
      </c>
    </row>
    <row r="691" spans="2:15" x14ac:dyDescent="0.2">
      <c r="B691" s="696">
        <v>42604.538159722222</v>
      </c>
      <c r="C691" s="1" t="s">
        <v>541</v>
      </c>
      <c r="E691" t="s">
        <v>225</v>
      </c>
      <c r="F691" t="s">
        <v>305</v>
      </c>
      <c r="G691" s="1" t="s">
        <v>3</v>
      </c>
      <c r="H691" s="1">
        <v>553578</v>
      </c>
      <c r="I691" t="s">
        <v>467</v>
      </c>
      <c r="J691" s="110">
        <v>43937473</v>
      </c>
      <c r="K691" s="4">
        <v>95638581</v>
      </c>
      <c r="L691" s="4">
        <v>68.099999999999994</v>
      </c>
    </row>
    <row r="692" spans="2:15" x14ac:dyDescent="0.2">
      <c r="B692" s="696">
        <v>42604.53875</v>
      </c>
      <c r="C692" s="1" t="s">
        <v>541</v>
      </c>
      <c r="E692" t="s">
        <v>225</v>
      </c>
      <c r="F692" t="s">
        <v>305</v>
      </c>
      <c r="G692" s="1" t="s">
        <v>3</v>
      </c>
      <c r="H692" s="1">
        <v>553578</v>
      </c>
      <c r="I692" t="s">
        <v>467</v>
      </c>
      <c r="J692" s="110">
        <v>43937473</v>
      </c>
      <c r="K692" s="4">
        <v>95532735</v>
      </c>
      <c r="L692" s="4">
        <v>67.7</v>
      </c>
    </row>
    <row r="693" spans="2:15" x14ac:dyDescent="0.2">
      <c r="B693" s="696">
        <v>42604.539189814815</v>
      </c>
      <c r="C693" s="1" t="s">
        <v>741</v>
      </c>
      <c r="E693" t="s">
        <v>225</v>
      </c>
      <c r="F693" t="s">
        <v>305</v>
      </c>
      <c r="G693" s="1" t="s">
        <v>3</v>
      </c>
      <c r="H693" s="1">
        <v>553362</v>
      </c>
      <c r="I693" t="s">
        <v>467</v>
      </c>
      <c r="J693" s="110">
        <v>43937465</v>
      </c>
      <c r="K693" s="4">
        <v>95792925</v>
      </c>
      <c r="L693" s="4">
        <v>68.75</v>
      </c>
    </row>
    <row r="694" spans="2:15" x14ac:dyDescent="0.2">
      <c r="B694" s="696">
        <v>42604.539675925924</v>
      </c>
      <c r="C694" s="1" t="s">
        <v>741</v>
      </c>
      <c r="E694" t="s">
        <v>225</v>
      </c>
      <c r="F694" t="s">
        <v>305</v>
      </c>
      <c r="G694" s="1" t="s">
        <v>3</v>
      </c>
      <c r="H694" s="1">
        <v>553362</v>
      </c>
      <c r="I694" t="s">
        <v>467</v>
      </c>
      <c r="J694" s="110">
        <v>43937465</v>
      </c>
      <c r="K694" s="4">
        <v>95361283</v>
      </c>
      <c r="L694" s="4">
        <v>68.7</v>
      </c>
    </row>
    <row r="695" spans="2:15" x14ac:dyDescent="0.2">
      <c r="B695" s="696">
        <v>42604.540590277778</v>
      </c>
      <c r="C695" s="1" t="s">
        <v>741</v>
      </c>
      <c r="E695" t="s">
        <v>225</v>
      </c>
      <c r="F695" t="s">
        <v>305</v>
      </c>
      <c r="G695" s="1" t="s">
        <v>3</v>
      </c>
      <c r="H695" s="1">
        <v>553362</v>
      </c>
      <c r="I695" t="s">
        <v>467</v>
      </c>
      <c r="J695" s="110">
        <v>43937465</v>
      </c>
      <c r="K695" s="4">
        <v>95493003</v>
      </c>
      <c r="L695" s="4">
        <v>68.150000000000006</v>
      </c>
    </row>
    <row r="696" spans="2:15" x14ac:dyDescent="0.2">
      <c r="B696" s="696">
        <v>42605.88113425926</v>
      </c>
      <c r="C696" s="1" t="s">
        <v>541</v>
      </c>
      <c r="E696" t="s">
        <v>225</v>
      </c>
      <c r="F696" t="s">
        <v>305</v>
      </c>
      <c r="G696" s="1" t="s">
        <v>3</v>
      </c>
      <c r="H696" s="1">
        <v>553578</v>
      </c>
      <c r="I696" t="s">
        <v>467</v>
      </c>
      <c r="J696" s="110">
        <v>43954262</v>
      </c>
      <c r="K696" s="4">
        <v>95693644</v>
      </c>
      <c r="L696" s="4">
        <v>70.099999999999994</v>
      </c>
    </row>
    <row r="697" spans="2:15" x14ac:dyDescent="0.2">
      <c r="B697" s="696">
        <v>42605.881631944445</v>
      </c>
      <c r="C697" s="1" t="s">
        <v>541</v>
      </c>
      <c r="E697" t="s">
        <v>225</v>
      </c>
      <c r="F697" t="s">
        <v>305</v>
      </c>
      <c r="G697" s="1" t="s">
        <v>3</v>
      </c>
      <c r="H697" s="1">
        <v>553578</v>
      </c>
      <c r="I697" t="s">
        <v>467</v>
      </c>
      <c r="J697" s="110">
        <v>43954262</v>
      </c>
      <c r="K697" s="4">
        <v>95793444</v>
      </c>
      <c r="L697" s="4">
        <v>69.75</v>
      </c>
    </row>
    <row r="698" spans="2:15" x14ac:dyDescent="0.2">
      <c r="B698" s="696">
        <v>42605.886759259258</v>
      </c>
      <c r="C698" s="1" t="s">
        <v>541</v>
      </c>
      <c r="E698" t="s">
        <v>225</v>
      </c>
      <c r="F698" t="s">
        <v>305</v>
      </c>
      <c r="G698" s="1" t="s">
        <v>3</v>
      </c>
      <c r="H698" s="1">
        <v>553578</v>
      </c>
      <c r="I698" t="s">
        <v>467</v>
      </c>
      <c r="J698" s="110">
        <v>43956119</v>
      </c>
      <c r="K698" s="4">
        <v>95379574</v>
      </c>
      <c r="L698" s="4">
        <v>67.599999999999994</v>
      </c>
    </row>
    <row r="699" spans="2:15" x14ac:dyDescent="0.2">
      <c r="B699" s="696">
        <v>42606.209039351852</v>
      </c>
      <c r="C699" s="1" t="s">
        <v>541</v>
      </c>
      <c r="E699" t="s">
        <v>225</v>
      </c>
      <c r="F699" t="s">
        <v>305</v>
      </c>
      <c r="G699" s="1" t="s">
        <v>3</v>
      </c>
      <c r="H699" s="1">
        <v>553578</v>
      </c>
      <c r="I699" t="s">
        <v>467</v>
      </c>
      <c r="J699" s="110">
        <v>43960103</v>
      </c>
      <c r="K699" s="4">
        <v>95756987</v>
      </c>
      <c r="L699" s="4">
        <v>70.650000000000006</v>
      </c>
    </row>
    <row r="700" spans="2:15" x14ac:dyDescent="0.2">
      <c r="B700" s="696">
        <v>42606.209641203706</v>
      </c>
      <c r="C700" s="1" t="s">
        <v>541</v>
      </c>
      <c r="E700" t="s">
        <v>225</v>
      </c>
      <c r="F700" t="s">
        <v>305</v>
      </c>
      <c r="G700" s="1" t="s">
        <v>3</v>
      </c>
      <c r="H700" s="1">
        <v>553578</v>
      </c>
      <c r="I700" t="s">
        <v>467</v>
      </c>
      <c r="J700" s="110">
        <v>43960103</v>
      </c>
      <c r="K700" s="4">
        <v>95352613</v>
      </c>
      <c r="L700" s="4">
        <v>65.099999999999994</v>
      </c>
    </row>
    <row r="701" spans="2:15" x14ac:dyDescent="0.2">
      <c r="B701" s="696">
        <v>42607.305462962962</v>
      </c>
      <c r="C701" s="1" t="s">
        <v>541</v>
      </c>
      <c r="E701" t="s">
        <v>225</v>
      </c>
      <c r="F701" t="s">
        <v>305</v>
      </c>
      <c r="G701" s="1" t="s">
        <v>3</v>
      </c>
      <c r="H701" s="1">
        <v>553578</v>
      </c>
      <c r="I701" t="s">
        <v>467</v>
      </c>
      <c r="J701" s="110">
        <v>43967710</v>
      </c>
      <c r="K701" s="4">
        <v>95771507</v>
      </c>
      <c r="L701" s="4">
        <v>69.150000000000006</v>
      </c>
    </row>
    <row r="702" spans="2:15" x14ac:dyDescent="0.2">
      <c r="B702" s="696">
        <v>42607.650937500002</v>
      </c>
      <c r="C702" s="1" t="s">
        <v>741</v>
      </c>
      <c r="E702" t="s">
        <v>225</v>
      </c>
      <c r="F702" t="s">
        <v>305</v>
      </c>
      <c r="G702" s="1" t="s">
        <v>3</v>
      </c>
      <c r="H702" s="1">
        <v>553362</v>
      </c>
      <c r="I702" t="s">
        <v>467</v>
      </c>
      <c r="J702" s="110">
        <v>43921378</v>
      </c>
      <c r="K702" s="4">
        <v>95758215</v>
      </c>
      <c r="L702" s="756">
        <v>69.650000000000006</v>
      </c>
      <c r="O702">
        <f t="shared" ref="O702:O709" si="2">L702*1000</f>
        <v>69650</v>
      </c>
    </row>
    <row r="703" spans="2:15" x14ac:dyDescent="0.2">
      <c r="B703" s="696">
        <v>42607.652465277781</v>
      </c>
      <c r="C703" s="1" t="s">
        <v>741</v>
      </c>
      <c r="E703" t="s">
        <v>225</v>
      </c>
      <c r="F703" t="s">
        <v>305</v>
      </c>
      <c r="G703" s="1" t="s">
        <v>3</v>
      </c>
      <c r="H703" s="1">
        <v>553362</v>
      </c>
      <c r="I703" t="s">
        <v>467</v>
      </c>
      <c r="J703" s="110">
        <v>43921915</v>
      </c>
      <c r="K703" s="4">
        <v>95371704</v>
      </c>
      <c r="L703" s="756">
        <v>64.8</v>
      </c>
      <c r="O703">
        <f t="shared" si="2"/>
        <v>64800</v>
      </c>
    </row>
    <row r="704" spans="2:15" x14ac:dyDescent="0.2">
      <c r="B704" s="696">
        <v>42607.653680555559</v>
      </c>
      <c r="C704" s="1" t="s">
        <v>741</v>
      </c>
      <c r="E704" t="s">
        <v>225</v>
      </c>
      <c r="F704" t="s">
        <v>305</v>
      </c>
      <c r="G704" s="1" t="s">
        <v>3</v>
      </c>
      <c r="H704" s="1">
        <v>553362</v>
      </c>
      <c r="I704" t="s">
        <v>467</v>
      </c>
      <c r="J704" s="110">
        <v>43921378</v>
      </c>
      <c r="K704" s="4">
        <v>95328803</v>
      </c>
      <c r="L704" s="756">
        <v>69.55</v>
      </c>
      <c r="O704">
        <f t="shared" si="2"/>
        <v>69550</v>
      </c>
    </row>
    <row r="705" spans="2:15" x14ac:dyDescent="0.2">
      <c r="B705" s="696">
        <v>42607.654398148145</v>
      </c>
      <c r="C705" s="1" t="s">
        <v>741</v>
      </c>
      <c r="E705" t="s">
        <v>225</v>
      </c>
      <c r="F705" t="s">
        <v>305</v>
      </c>
      <c r="G705" s="1" t="s">
        <v>3</v>
      </c>
      <c r="H705" s="1">
        <v>553362</v>
      </c>
      <c r="I705" t="s">
        <v>467</v>
      </c>
      <c r="J705" s="110">
        <v>43921378</v>
      </c>
      <c r="K705" s="4">
        <v>95932257</v>
      </c>
      <c r="L705" s="756">
        <v>70.05</v>
      </c>
      <c r="O705">
        <f t="shared" si="2"/>
        <v>70050</v>
      </c>
    </row>
    <row r="706" spans="2:15" x14ac:dyDescent="0.2">
      <c r="B706" s="696">
        <v>42607.655162037037</v>
      </c>
      <c r="C706" s="1" t="s">
        <v>741</v>
      </c>
      <c r="E706" t="s">
        <v>225</v>
      </c>
      <c r="F706" t="s">
        <v>305</v>
      </c>
      <c r="G706" s="1" t="s">
        <v>3</v>
      </c>
      <c r="H706" s="1">
        <v>553362</v>
      </c>
      <c r="I706" t="s">
        <v>467</v>
      </c>
      <c r="J706" s="110">
        <v>43921378</v>
      </c>
      <c r="K706" s="4">
        <v>95362273</v>
      </c>
      <c r="L706" s="756">
        <v>64.75</v>
      </c>
      <c r="O706">
        <f t="shared" si="2"/>
        <v>64750</v>
      </c>
    </row>
    <row r="707" spans="2:15" x14ac:dyDescent="0.2">
      <c r="B707" s="696">
        <v>42607.656076388892</v>
      </c>
      <c r="C707" s="1" t="s">
        <v>741</v>
      </c>
      <c r="E707" t="s">
        <v>225</v>
      </c>
      <c r="F707" t="s">
        <v>305</v>
      </c>
      <c r="G707" s="1" t="s">
        <v>3</v>
      </c>
      <c r="H707" s="1">
        <v>553362</v>
      </c>
      <c r="I707" t="s">
        <v>467</v>
      </c>
      <c r="J707" s="110">
        <v>43921378</v>
      </c>
      <c r="K707" s="4">
        <v>95536751</v>
      </c>
      <c r="L707" s="756">
        <v>69.400000000000006</v>
      </c>
      <c r="O707">
        <f t="shared" si="2"/>
        <v>69400</v>
      </c>
    </row>
    <row r="708" spans="2:15" x14ac:dyDescent="0.2">
      <c r="B708" s="696">
        <v>42607.656805555554</v>
      </c>
      <c r="C708" s="1" t="s">
        <v>741</v>
      </c>
      <c r="E708" t="s">
        <v>225</v>
      </c>
      <c r="F708" t="s">
        <v>305</v>
      </c>
      <c r="G708" s="1" t="s">
        <v>3</v>
      </c>
      <c r="H708" s="1">
        <v>553362</v>
      </c>
      <c r="I708" t="s">
        <v>467</v>
      </c>
      <c r="J708" s="110">
        <v>43921378</v>
      </c>
      <c r="K708" s="4">
        <v>95331054</v>
      </c>
      <c r="L708" s="756">
        <v>65.150000000000006</v>
      </c>
      <c r="O708">
        <f t="shared" si="2"/>
        <v>65150.000000000007</v>
      </c>
    </row>
    <row r="709" spans="2:15" x14ac:dyDescent="0.2">
      <c r="B709" s="696">
        <v>42607.658726851849</v>
      </c>
      <c r="C709" s="1" t="s">
        <v>541</v>
      </c>
      <c r="E709" t="s">
        <v>225</v>
      </c>
      <c r="F709" t="s">
        <v>305</v>
      </c>
      <c r="G709" s="1" t="s">
        <v>3</v>
      </c>
      <c r="H709" s="1">
        <v>553578</v>
      </c>
      <c r="I709" t="s">
        <v>467</v>
      </c>
      <c r="J709" s="110">
        <v>43967710</v>
      </c>
      <c r="K709" s="4">
        <v>95652012</v>
      </c>
      <c r="L709" s="756">
        <v>68.900000000000006</v>
      </c>
      <c r="O709">
        <f t="shared" si="2"/>
        <v>68900</v>
      </c>
    </row>
    <row r="710" spans="2:15" x14ac:dyDescent="0.2">
      <c r="B710" s="749">
        <v>42609</v>
      </c>
      <c r="C710" s="1" t="s">
        <v>644</v>
      </c>
      <c r="D710" t="s">
        <v>144</v>
      </c>
      <c r="E710" t="s">
        <v>225</v>
      </c>
      <c r="F710" t="s">
        <v>305</v>
      </c>
      <c r="G710" s="1" t="s">
        <v>3</v>
      </c>
      <c r="H710" s="1">
        <v>552518</v>
      </c>
      <c r="I710" t="s">
        <v>643</v>
      </c>
      <c r="J710" s="110">
        <v>47273354</v>
      </c>
      <c r="K710" s="4">
        <v>95103123</v>
      </c>
      <c r="L710" s="4">
        <v>70.3</v>
      </c>
    </row>
    <row r="711" spans="2:15" x14ac:dyDescent="0.2">
      <c r="B711" s="749">
        <v>42609</v>
      </c>
      <c r="C711" s="1" t="s">
        <v>644</v>
      </c>
      <c r="D711" t="s">
        <v>144</v>
      </c>
      <c r="E711" t="s">
        <v>225</v>
      </c>
      <c r="F711" t="s">
        <v>305</v>
      </c>
      <c r="G711" s="1" t="s">
        <v>3</v>
      </c>
      <c r="H711" s="1">
        <v>552518</v>
      </c>
      <c r="I711" t="s">
        <v>643</v>
      </c>
      <c r="J711" s="110">
        <v>47273354</v>
      </c>
      <c r="K711" s="4">
        <v>95153433</v>
      </c>
      <c r="L711" s="4">
        <v>70.400000000000006</v>
      </c>
    </row>
    <row r="712" spans="2:15" x14ac:dyDescent="0.2">
      <c r="B712" s="749">
        <v>42609</v>
      </c>
      <c r="C712" s="1" t="s">
        <v>644</v>
      </c>
      <c r="D712" t="s">
        <v>144</v>
      </c>
      <c r="E712" t="s">
        <v>225</v>
      </c>
      <c r="F712" t="s">
        <v>305</v>
      </c>
      <c r="G712" s="1" t="s">
        <v>3</v>
      </c>
      <c r="H712" s="1">
        <v>552518</v>
      </c>
      <c r="I712" t="s">
        <v>643</v>
      </c>
      <c r="J712" s="110">
        <v>47273354</v>
      </c>
      <c r="K712" s="4">
        <v>95110961</v>
      </c>
      <c r="L712" s="4">
        <v>70.05</v>
      </c>
    </row>
    <row r="713" spans="2:15" x14ac:dyDescent="0.2">
      <c r="B713" s="749">
        <v>42609</v>
      </c>
      <c r="C713" s="1" t="s">
        <v>644</v>
      </c>
      <c r="D713" t="s">
        <v>144</v>
      </c>
      <c r="E713" t="s">
        <v>225</v>
      </c>
      <c r="F713" t="s">
        <v>305</v>
      </c>
      <c r="G713" s="1" t="s">
        <v>3</v>
      </c>
      <c r="H713" s="1">
        <v>552518</v>
      </c>
      <c r="I713" t="s">
        <v>643</v>
      </c>
      <c r="J713" s="110">
        <v>47273354</v>
      </c>
      <c r="K713" s="4">
        <v>95189759</v>
      </c>
      <c r="L713" s="4">
        <v>69.2</v>
      </c>
    </row>
    <row r="714" spans="2:15" x14ac:dyDescent="0.2">
      <c r="B714" s="749">
        <v>42609</v>
      </c>
      <c r="C714" s="1" t="s">
        <v>644</v>
      </c>
      <c r="D714" t="s">
        <v>144</v>
      </c>
      <c r="E714" t="s">
        <v>225</v>
      </c>
      <c r="F714" t="s">
        <v>305</v>
      </c>
      <c r="G714" s="1" t="s">
        <v>3</v>
      </c>
      <c r="H714" s="1">
        <v>552518</v>
      </c>
      <c r="I714" t="s">
        <v>643</v>
      </c>
      <c r="J714" s="110">
        <v>47323118</v>
      </c>
      <c r="K714" s="4">
        <v>95190682</v>
      </c>
      <c r="L714" s="4">
        <v>69.05</v>
      </c>
    </row>
    <row r="715" spans="2:15" x14ac:dyDescent="0.2">
      <c r="B715" s="749">
        <v>42609</v>
      </c>
      <c r="C715" s="1" t="s">
        <v>644</v>
      </c>
      <c r="D715" t="s">
        <v>144</v>
      </c>
      <c r="E715" t="s">
        <v>225</v>
      </c>
      <c r="F715" t="s">
        <v>305</v>
      </c>
      <c r="G715" s="1" t="s">
        <v>3</v>
      </c>
      <c r="H715" s="1">
        <v>552518</v>
      </c>
      <c r="I715" t="s">
        <v>643</v>
      </c>
      <c r="J715" s="110">
        <v>47323118</v>
      </c>
      <c r="K715" s="4">
        <v>95149225</v>
      </c>
      <c r="L715" s="4">
        <v>69.8</v>
      </c>
    </row>
    <row r="716" spans="2:15" x14ac:dyDescent="0.2">
      <c r="B716" s="749">
        <v>42609</v>
      </c>
      <c r="C716" s="1" t="s">
        <v>644</v>
      </c>
      <c r="D716" t="s">
        <v>144</v>
      </c>
      <c r="E716" t="s">
        <v>225</v>
      </c>
      <c r="F716" t="s">
        <v>305</v>
      </c>
      <c r="G716" s="1" t="s">
        <v>3</v>
      </c>
      <c r="H716" s="1">
        <v>552518</v>
      </c>
      <c r="I716" t="s">
        <v>643</v>
      </c>
      <c r="J716" s="110">
        <v>47323118</v>
      </c>
      <c r="K716" s="4">
        <v>95154084</v>
      </c>
      <c r="L716" s="4">
        <v>70.8</v>
      </c>
    </row>
    <row r="717" spans="2:15" x14ac:dyDescent="0.2">
      <c r="B717" s="749">
        <v>42609</v>
      </c>
      <c r="C717" s="1" t="s">
        <v>644</v>
      </c>
      <c r="D717" t="s">
        <v>144</v>
      </c>
      <c r="E717" t="s">
        <v>225</v>
      </c>
      <c r="F717" t="s">
        <v>305</v>
      </c>
      <c r="G717" s="1" t="s">
        <v>3</v>
      </c>
      <c r="H717" s="1">
        <v>552518</v>
      </c>
      <c r="I717" t="s">
        <v>643</v>
      </c>
      <c r="J717" s="110">
        <v>47323118</v>
      </c>
      <c r="K717" s="4">
        <v>95100863</v>
      </c>
      <c r="L717" s="4">
        <v>69.349999999999994</v>
      </c>
    </row>
    <row r="718" spans="2:15" x14ac:dyDescent="0.2">
      <c r="B718" s="749">
        <v>42609</v>
      </c>
      <c r="C718" s="1" t="s">
        <v>421</v>
      </c>
      <c r="D718" t="s">
        <v>144</v>
      </c>
      <c r="E718" t="s">
        <v>225</v>
      </c>
      <c r="F718" t="s">
        <v>305</v>
      </c>
      <c r="G718" s="1" t="s">
        <v>3</v>
      </c>
      <c r="H718" s="1">
        <v>547342</v>
      </c>
      <c r="I718" t="s">
        <v>643</v>
      </c>
      <c r="J718" s="110">
        <v>43986306</v>
      </c>
      <c r="K718" s="4">
        <v>95635264</v>
      </c>
      <c r="L718" s="4">
        <v>68.25</v>
      </c>
    </row>
    <row r="719" spans="2:15" x14ac:dyDescent="0.2">
      <c r="B719" s="749">
        <v>42609</v>
      </c>
      <c r="C719" s="1" t="s">
        <v>421</v>
      </c>
      <c r="D719" t="s">
        <v>144</v>
      </c>
      <c r="E719" t="s">
        <v>225</v>
      </c>
      <c r="F719" t="s">
        <v>305</v>
      </c>
      <c r="G719" s="1" t="s">
        <v>3</v>
      </c>
      <c r="H719" s="1">
        <v>547342</v>
      </c>
      <c r="I719" t="s">
        <v>643</v>
      </c>
      <c r="J719" s="110">
        <v>43986306</v>
      </c>
      <c r="K719" s="4">
        <v>95678041</v>
      </c>
      <c r="L719" s="4">
        <v>68.849999999999994</v>
      </c>
    </row>
    <row r="720" spans="2:15" x14ac:dyDescent="0.2">
      <c r="B720" s="749">
        <v>42609</v>
      </c>
      <c r="C720" s="1" t="s">
        <v>421</v>
      </c>
      <c r="D720" t="s">
        <v>144</v>
      </c>
      <c r="E720" t="s">
        <v>225</v>
      </c>
      <c r="F720" t="s">
        <v>305</v>
      </c>
      <c r="G720" s="1" t="s">
        <v>3</v>
      </c>
      <c r="H720" s="1">
        <v>547342</v>
      </c>
      <c r="I720" t="s">
        <v>643</v>
      </c>
      <c r="J720" s="110">
        <v>43986306</v>
      </c>
      <c r="K720" s="4">
        <v>95532651</v>
      </c>
      <c r="L720" s="4">
        <v>68.099999999999994</v>
      </c>
    </row>
    <row r="721" spans="2:14" x14ac:dyDescent="0.2">
      <c r="B721" s="749">
        <v>42609</v>
      </c>
      <c r="C721" s="1" t="s">
        <v>421</v>
      </c>
      <c r="D721" t="s">
        <v>144</v>
      </c>
      <c r="E721" t="s">
        <v>225</v>
      </c>
      <c r="F721" t="s">
        <v>305</v>
      </c>
      <c r="G721" s="1" t="s">
        <v>3</v>
      </c>
      <c r="H721" s="1">
        <v>547342</v>
      </c>
      <c r="I721" t="s">
        <v>643</v>
      </c>
      <c r="J721" s="110">
        <v>43986306</v>
      </c>
      <c r="K721" s="4">
        <v>95797189</v>
      </c>
      <c r="L721" s="4">
        <v>68.25</v>
      </c>
    </row>
    <row r="722" spans="2:14" x14ac:dyDescent="0.2">
      <c r="B722" s="749">
        <v>42609</v>
      </c>
      <c r="C722" s="1" t="s">
        <v>421</v>
      </c>
      <c r="D722" t="s">
        <v>144</v>
      </c>
      <c r="E722" t="s">
        <v>225</v>
      </c>
      <c r="F722" t="s">
        <v>305</v>
      </c>
      <c r="G722" s="1" t="s">
        <v>3</v>
      </c>
      <c r="H722" s="1">
        <v>547342</v>
      </c>
      <c r="I722" t="s">
        <v>643</v>
      </c>
      <c r="J722" s="110">
        <v>43986306</v>
      </c>
      <c r="K722" s="4">
        <v>95752887</v>
      </c>
      <c r="L722" s="4">
        <v>67.8</v>
      </c>
    </row>
    <row r="723" spans="2:14" x14ac:dyDescent="0.2">
      <c r="B723" s="749">
        <v>42609</v>
      </c>
      <c r="C723" s="1" t="s">
        <v>421</v>
      </c>
      <c r="D723" t="s">
        <v>144</v>
      </c>
      <c r="E723" t="s">
        <v>225</v>
      </c>
      <c r="F723" t="s">
        <v>305</v>
      </c>
      <c r="G723" s="1" t="s">
        <v>3</v>
      </c>
      <c r="H723" s="1">
        <v>547342</v>
      </c>
      <c r="I723" t="s">
        <v>643</v>
      </c>
      <c r="J723" s="110">
        <v>43994185</v>
      </c>
      <c r="K723" s="4">
        <v>95331880</v>
      </c>
      <c r="L723" s="4">
        <v>63.9</v>
      </c>
    </row>
    <row r="724" spans="2:14" x14ac:dyDescent="0.2">
      <c r="B724" s="749">
        <v>42609</v>
      </c>
      <c r="C724" s="1" t="s">
        <v>421</v>
      </c>
      <c r="D724" t="s">
        <v>144</v>
      </c>
      <c r="E724" t="s">
        <v>225</v>
      </c>
      <c r="F724" t="s">
        <v>305</v>
      </c>
      <c r="G724" s="1" t="s">
        <v>3</v>
      </c>
      <c r="H724" s="1">
        <v>547342</v>
      </c>
      <c r="I724" t="s">
        <v>643</v>
      </c>
      <c r="J724" s="110">
        <v>43994185</v>
      </c>
      <c r="K724" s="4">
        <v>95390324</v>
      </c>
      <c r="L724" s="4">
        <v>64.45</v>
      </c>
    </row>
    <row r="725" spans="2:14" x14ac:dyDescent="0.2">
      <c r="B725" s="749">
        <v>42609</v>
      </c>
      <c r="C725" s="1" t="s">
        <v>421</v>
      </c>
      <c r="D725" t="s">
        <v>144</v>
      </c>
      <c r="E725" t="s">
        <v>225</v>
      </c>
      <c r="F725" t="s">
        <v>305</v>
      </c>
      <c r="G725" s="1" t="s">
        <v>3</v>
      </c>
      <c r="H725" s="1">
        <v>547342</v>
      </c>
      <c r="I725" t="s">
        <v>643</v>
      </c>
      <c r="J725" s="110">
        <v>43994185</v>
      </c>
      <c r="K725" s="4">
        <v>95667606</v>
      </c>
      <c r="L725" s="4">
        <v>69</v>
      </c>
    </row>
    <row r="726" spans="2:14" x14ac:dyDescent="0.2">
      <c r="B726" s="749">
        <v>42609</v>
      </c>
      <c r="C726" s="1" t="s">
        <v>421</v>
      </c>
      <c r="D726" t="s">
        <v>144</v>
      </c>
      <c r="E726" t="s">
        <v>225</v>
      </c>
      <c r="F726" t="s">
        <v>305</v>
      </c>
      <c r="G726" s="1" t="s">
        <v>3</v>
      </c>
      <c r="H726" s="1">
        <v>547342</v>
      </c>
      <c r="I726" t="s">
        <v>643</v>
      </c>
      <c r="J726" s="110">
        <v>43994185</v>
      </c>
      <c r="K726" s="4">
        <v>95652368</v>
      </c>
      <c r="L726" s="4">
        <v>69</v>
      </c>
    </row>
    <row r="727" spans="2:14" x14ac:dyDescent="0.2">
      <c r="B727" s="696">
        <v>42608.440671296295</v>
      </c>
      <c r="C727" s="1" t="s">
        <v>639</v>
      </c>
      <c r="D727" t="s">
        <v>144</v>
      </c>
      <c r="E727" t="s">
        <v>225</v>
      </c>
      <c r="F727" t="s">
        <v>305</v>
      </c>
      <c r="G727" s="1" t="s">
        <v>3</v>
      </c>
      <c r="H727" s="1">
        <v>552862</v>
      </c>
      <c r="I727" t="s">
        <v>467</v>
      </c>
      <c r="J727" s="110">
        <v>43977651</v>
      </c>
      <c r="K727" s="4">
        <v>95759015</v>
      </c>
      <c r="L727" s="4">
        <v>69.900000000000006</v>
      </c>
      <c r="M727" s="4">
        <v>12</v>
      </c>
      <c r="N727">
        <v>1.58</v>
      </c>
    </row>
    <row r="728" spans="2:14" x14ac:dyDescent="0.2">
      <c r="B728" s="696">
        <v>42608.441284722219</v>
      </c>
      <c r="C728" s="1" t="s">
        <v>541</v>
      </c>
      <c r="D728" t="s">
        <v>144</v>
      </c>
      <c r="E728" t="s">
        <v>225</v>
      </c>
      <c r="F728" t="s">
        <v>305</v>
      </c>
      <c r="G728" s="1" t="s">
        <v>3</v>
      </c>
      <c r="H728" s="1">
        <v>553578</v>
      </c>
      <c r="I728" t="s">
        <v>467</v>
      </c>
      <c r="J728" s="110">
        <v>43978634</v>
      </c>
      <c r="K728" s="4">
        <v>95614327</v>
      </c>
      <c r="L728" s="4">
        <v>69.900000000000006</v>
      </c>
      <c r="M728" s="4">
        <v>12.7</v>
      </c>
      <c r="N728">
        <v>1.3</v>
      </c>
    </row>
    <row r="729" spans="2:14" x14ac:dyDescent="0.2">
      <c r="B729" s="696">
        <v>42608.442094907405</v>
      </c>
      <c r="C729" s="1" t="s">
        <v>541</v>
      </c>
      <c r="D729" t="s">
        <v>144</v>
      </c>
      <c r="E729" t="s">
        <v>225</v>
      </c>
      <c r="F729" t="s">
        <v>305</v>
      </c>
      <c r="G729" s="1" t="s">
        <v>3</v>
      </c>
      <c r="H729" s="1">
        <v>553578</v>
      </c>
      <c r="I729" t="s">
        <v>467</v>
      </c>
      <c r="J729" s="110">
        <v>43978634</v>
      </c>
      <c r="K729" s="4">
        <v>95321832</v>
      </c>
      <c r="L729" s="4">
        <v>70.150000000000006</v>
      </c>
      <c r="M729" s="4">
        <v>12.7</v>
      </c>
      <c r="N729">
        <v>1.28</v>
      </c>
    </row>
    <row r="730" spans="2:14" x14ac:dyDescent="0.2">
      <c r="B730" s="696">
        <v>42608.44259259259</v>
      </c>
      <c r="C730" s="1" t="s">
        <v>541</v>
      </c>
      <c r="D730" t="s">
        <v>144</v>
      </c>
      <c r="E730" t="s">
        <v>225</v>
      </c>
      <c r="F730" t="s">
        <v>305</v>
      </c>
      <c r="G730" s="1" t="s">
        <v>3</v>
      </c>
      <c r="H730" s="1">
        <v>553578</v>
      </c>
      <c r="I730" t="s">
        <v>467</v>
      </c>
      <c r="J730" s="110">
        <v>43978634</v>
      </c>
      <c r="K730" s="4">
        <v>95335212</v>
      </c>
      <c r="L730" s="4">
        <v>65.55</v>
      </c>
      <c r="M730" s="4">
        <v>12.7</v>
      </c>
      <c r="N730">
        <v>1.22</v>
      </c>
    </row>
    <row r="731" spans="2:14" x14ac:dyDescent="0.2">
      <c r="B731" s="696">
        <v>42608.443229166667</v>
      </c>
      <c r="C731" s="1" t="s">
        <v>639</v>
      </c>
      <c r="D731" t="s">
        <v>144</v>
      </c>
      <c r="E731" t="s">
        <v>225</v>
      </c>
      <c r="F731" t="s">
        <v>305</v>
      </c>
      <c r="G731" s="1" t="s">
        <v>3</v>
      </c>
      <c r="H731" s="1">
        <v>552862</v>
      </c>
      <c r="I731" t="s">
        <v>467</v>
      </c>
      <c r="J731" s="110">
        <v>43977644</v>
      </c>
      <c r="K731" s="4">
        <v>95389177</v>
      </c>
      <c r="L731" s="4">
        <v>65.349999999999994</v>
      </c>
      <c r="M731" s="4">
        <v>12.1</v>
      </c>
      <c r="N731">
        <v>1.64</v>
      </c>
    </row>
    <row r="732" spans="2:14" x14ac:dyDescent="0.2">
      <c r="B732" s="696">
        <v>42608.443993055553</v>
      </c>
      <c r="C732" s="1" t="s">
        <v>639</v>
      </c>
      <c r="D732" t="s">
        <v>144</v>
      </c>
      <c r="E732" t="s">
        <v>225</v>
      </c>
      <c r="F732" t="s">
        <v>305</v>
      </c>
      <c r="G732" s="1" t="s">
        <v>3</v>
      </c>
      <c r="H732" s="1">
        <v>552862</v>
      </c>
      <c r="I732" t="s">
        <v>467</v>
      </c>
      <c r="J732" s="110">
        <v>43977651</v>
      </c>
      <c r="K732" s="4">
        <v>95532776</v>
      </c>
      <c r="L732" s="4">
        <v>69.95</v>
      </c>
      <c r="M732" s="4">
        <v>12</v>
      </c>
      <c r="N732">
        <v>1.54</v>
      </c>
    </row>
    <row r="733" spans="2:14" x14ac:dyDescent="0.2">
      <c r="B733" s="696">
        <v>42608.444699074076</v>
      </c>
      <c r="C733" s="1" t="s">
        <v>639</v>
      </c>
      <c r="D733" t="s">
        <v>144</v>
      </c>
      <c r="E733" t="s">
        <v>225</v>
      </c>
      <c r="F733" t="s">
        <v>305</v>
      </c>
      <c r="G733" s="1" t="s">
        <v>3</v>
      </c>
      <c r="H733" s="1">
        <v>552862</v>
      </c>
      <c r="I733" t="s">
        <v>467</v>
      </c>
      <c r="J733" s="110">
        <v>43977651</v>
      </c>
      <c r="K733" s="4">
        <v>95801171</v>
      </c>
      <c r="L733" s="4">
        <v>69.95</v>
      </c>
      <c r="M733" s="4">
        <v>12.1</v>
      </c>
      <c r="N733">
        <v>1.62</v>
      </c>
    </row>
    <row r="734" spans="2:14" x14ac:dyDescent="0.2">
      <c r="B734" s="696">
        <v>42608.445324074077</v>
      </c>
      <c r="C734" s="1" t="s">
        <v>639</v>
      </c>
      <c r="D734" t="s">
        <v>144</v>
      </c>
      <c r="E734" t="s">
        <v>225</v>
      </c>
      <c r="F734" t="s">
        <v>305</v>
      </c>
      <c r="G734" s="1" t="s">
        <v>3</v>
      </c>
      <c r="H734" s="1">
        <v>552862</v>
      </c>
      <c r="I734" t="s">
        <v>467</v>
      </c>
      <c r="J734" s="110">
        <v>43977651</v>
      </c>
      <c r="K734" s="4">
        <v>95754503</v>
      </c>
      <c r="L734" s="4">
        <v>69.849999999999994</v>
      </c>
      <c r="M734" s="4">
        <v>12</v>
      </c>
      <c r="N734">
        <v>1.58</v>
      </c>
    </row>
    <row r="735" spans="2:14" x14ac:dyDescent="0.2">
      <c r="B735" s="696">
        <v>42608.445798611108</v>
      </c>
      <c r="C735" s="1" t="s">
        <v>639</v>
      </c>
      <c r="D735" t="s">
        <v>144</v>
      </c>
      <c r="E735" t="s">
        <v>225</v>
      </c>
      <c r="F735" t="s">
        <v>305</v>
      </c>
      <c r="G735" s="1" t="s">
        <v>3</v>
      </c>
      <c r="H735" s="1">
        <v>552862</v>
      </c>
      <c r="I735" t="s">
        <v>467</v>
      </c>
      <c r="J735" s="110">
        <v>43977651</v>
      </c>
      <c r="K735" s="4">
        <v>95449435</v>
      </c>
      <c r="L735" s="4">
        <v>69.75</v>
      </c>
      <c r="M735" s="4">
        <v>12</v>
      </c>
      <c r="N735">
        <v>1.6</v>
      </c>
    </row>
    <row r="736" spans="2:14" x14ac:dyDescent="0.2">
      <c r="B736" s="696">
        <v>42609.135115740741</v>
      </c>
      <c r="C736" s="1" t="s">
        <v>495</v>
      </c>
      <c r="D736" t="s">
        <v>144</v>
      </c>
      <c r="E736" t="s">
        <v>225</v>
      </c>
      <c r="F736" t="s">
        <v>305</v>
      </c>
      <c r="G736" s="1" t="s">
        <v>3</v>
      </c>
      <c r="H736" s="1">
        <v>553496</v>
      </c>
      <c r="I736" t="s">
        <v>467</v>
      </c>
      <c r="J736" s="110">
        <v>47322821</v>
      </c>
      <c r="K736" s="4">
        <v>95682571</v>
      </c>
      <c r="L736" s="802">
        <v>68.849999999999994</v>
      </c>
      <c r="M736" s="4">
        <v>11.2</v>
      </c>
      <c r="N736">
        <v>1.08</v>
      </c>
    </row>
    <row r="737" spans="2:14" x14ac:dyDescent="0.2">
      <c r="B737" s="696">
        <v>42609.135821759257</v>
      </c>
      <c r="C737" s="1" t="s">
        <v>495</v>
      </c>
      <c r="D737" t="s">
        <v>144</v>
      </c>
      <c r="E737" t="s">
        <v>225</v>
      </c>
      <c r="F737" t="s">
        <v>305</v>
      </c>
      <c r="G737" s="1" t="s">
        <v>3</v>
      </c>
      <c r="H737" s="1">
        <v>553496</v>
      </c>
      <c r="I737" t="s">
        <v>467</v>
      </c>
      <c r="J737" s="110">
        <v>47322821</v>
      </c>
      <c r="K737" s="4">
        <v>95357414</v>
      </c>
      <c r="L737" s="802">
        <v>67.650000000000006</v>
      </c>
      <c r="M737" s="4">
        <v>10.8</v>
      </c>
      <c r="N737">
        <v>1</v>
      </c>
    </row>
    <row r="738" spans="2:14" x14ac:dyDescent="0.2">
      <c r="B738" s="696">
        <v>42609.136319444442</v>
      </c>
      <c r="C738" s="1" t="s">
        <v>495</v>
      </c>
      <c r="D738" t="s">
        <v>144</v>
      </c>
      <c r="E738" t="s">
        <v>225</v>
      </c>
      <c r="F738" t="s">
        <v>305</v>
      </c>
      <c r="G738" s="1" t="s">
        <v>3</v>
      </c>
      <c r="H738" s="1">
        <v>553496</v>
      </c>
      <c r="I738" t="s">
        <v>467</v>
      </c>
      <c r="J738" s="110">
        <v>47322821</v>
      </c>
      <c r="K738" s="4">
        <v>95696175</v>
      </c>
      <c r="L738" s="802">
        <v>68.95</v>
      </c>
      <c r="M738" s="4">
        <v>10.7</v>
      </c>
      <c r="N738">
        <v>1</v>
      </c>
    </row>
    <row r="739" spans="2:14" x14ac:dyDescent="0.2">
      <c r="B739" s="696">
        <v>42609.136805555558</v>
      </c>
      <c r="C739" s="1" t="s">
        <v>495</v>
      </c>
      <c r="D739" t="s">
        <v>144</v>
      </c>
      <c r="E739" t="s">
        <v>225</v>
      </c>
      <c r="F739" t="s">
        <v>305</v>
      </c>
      <c r="G739" s="1" t="s">
        <v>3</v>
      </c>
      <c r="H739" s="1">
        <v>553496</v>
      </c>
      <c r="I739" t="s">
        <v>467</v>
      </c>
      <c r="J739" s="110">
        <v>47322821</v>
      </c>
      <c r="K739" s="4">
        <v>95453676</v>
      </c>
      <c r="L739" s="802">
        <v>67.2</v>
      </c>
      <c r="M739" s="4">
        <v>10.6</v>
      </c>
      <c r="N739">
        <v>1</v>
      </c>
    </row>
    <row r="740" spans="2:14" x14ac:dyDescent="0.2">
      <c r="B740" s="696">
        <v>42609.137361111112</v>
      </c>
      <c r="C740" s="1" t="s">
        <v>495</v>
      </c>
      <c r="D740" t="s">
        <v>144</v>
      </c>
      <c r="E740" t="s">
        <v>225</v>
      </c>
      <c r="F740" t="s">
        <v>305</v>
      </c>
      <c r="G740" s="1" t="s">
        <v>3</v>
      </c>
      <c r="H740" s="1">
        <v>553496</v>
      </c>
      <c r="I740" t="s">
        <v>467</v>
      </c>
      <c r="J740" s="110">
        <v>47322821</v>
      </c>
      <c r="K740" s="4">
        <v>95829305</v>
      </c>
      <c r="L740" s="802">
        <v>68.5</v>
      </c>
      <c r="M740" s="4">
        <v>10.9</v>
      </c>
      <c r="N740">
        <v>1.08</v>
      </c>
    </row>
    <row r="741" spans="2:14" x14ac:dyDescent="0.2">
      <c r="B741" s="696">
        <v>42609.209548611114</v>
      </c>
      <c r="C741" s="1" t="s">
        <v>624</v>
      </c>
      <c r="D741" t="s">
        <v>144</v>
      </c>
      <c r="E741" t="s">
        <v>225</v>
      </c>
      <c r="F741" t="s">
        <v>305</v>
      </c>
      <c r="G741" s="1" t="s">
        <v>3</v>
      </c>
      <c r="H741" s="1">
        <v>553408</v>
      </c>
      <c r="I741" t="s">
        <v>467</v>
      </c>
      <c r="J741" s="110">
        <v>1</v>
      </c>
      <c r="K741" s="4" t="s">
        <v>713</v>
      </c>
      <c r="L741" s="4">
        <v>23.5</v>
      </c>
      <c r="M741" s="4">
        <v>11.9</v>
      </c>
      <c r="N741">
        <v>0.82</v>
      </c>
    </row>
    <row r="742" spans="2:14" x14ac:dyDescent="0.2">
      <c r="B742" s="696">
        <v>42609.216851851852</v>
      </c>
      <c r="C742" s="1" t="s">
        <v>624</v>
      </c>
      <c r="D742" t="s">
        <v>144</v>
      </c>
      <c r="E742" t="s">
        <v>225</v>
      </c>
      <c r="F742" t="s">
        <v>305</v>
      </c>
      <c r="G742" s="1" t="s">
        <v>3</v>
      </c>
      <c r="H742" s="1">
        <v>553408</v>
      </c>
      <c r="I742" t="s">
        <v>467</v>
      </c>
      <c r="J742" s="110">
        <v>2</v>
      </c>
      <c r="K742" s="4" t="s">
        <v>502</v>
      </c>
      <c r="L742" s="4">
        <v>23.14</v>
      </c>
      <c r="M742" s="4">
        <v>11.8</v>
      </c>
      <c r="N742">
        <v>0.88</v>
      </c>
    </row>
    <row r="743" spans="2:14" x14ac:dyDescent="0.2">
      <c r="B743" s="696">
        <v>42609.221388888887</v>
      </c>
      <c r="C743" s="1" t="s">
        <v>541</v>
      </c>
      <c r="D743" t="s">
        <v>144</v>
      </c>
      <c r="E743" t="s">
        <v>225</v>
      </c>
      <c r="F743" t="s">
        <v>305</v>
      </c>
      <c r="G743" s="1" t="s">
        <v>3</v>
      </c>
      <c r="H743" s="1">
        <v>553578</v>
      </c>
      <c r="I743" t="s">
        <v>467</v>
      </c>
      <c r="J743" s="110">
        <v>43988120</v>
      </c>
      <c r="K743" s="4">
        <v>95776761</v>
      </c>
      <c r="L743" s="4">
        <v>70</v>
      </c>
      <c r="M743" s="4">
        <v>11.9</v>
      </c>
      <c r="N743">
        <v>1</v>
      </c>
    </row>
    <row r="744" spans="2:14" x14ac:dyDescent="0.2">
      <c r="B744" s="696">
        <v>42609.222013888888</v>
      </c>
      <c r="C744" s="1" t="s">
        <v>541</v>
      </c>
      <c r="D744" t="s">
        <v>144</v>
      </c>
      <c r="E744" t="s">
        <v>225</v>
      </c>
      <c r="F744" t="s">
        <v>305</v>
      </c>
      <c r="G744" s="1" t="s">
        <v>3</v>
      </c>
      <c r="H744" s="1">
        <v>553578</v>
      </c>
      <c r="I744" t="s">
        <v>467</v>
      </c>
      <c r="J744" s="110">
        <v>43988120</v>
      </c>
      <c r="K744" s="4">
        <v>95300729</v>
      </c>
      <c r="L744" s="4">
        <v>64.8</v>
      </c>
      <c r="M744" s="4">
        <v>11.2</v>
      </c>
      <c r="N744">
        <v>0.88</v>
      </c>
    </row>
    <row r="745" spans="2:14" x14ac:dyDescent="0.2">
      <c r="B745" s="696">
        <v>42609.222870370373</v>
      </c>
      <c r="C745" s="1" t="s">
        <v>541</v>
      </c>
      <c r="D745" t="s">
        <v>144</v>
      </c>
      <c r="E745" t="s">
        <v>225</v>
      </c>
      <c r="F745" t="s">
        <v>305</v>
      </c>
      <c r="G745" s="1" t="s">
        <v>3</v>
      </c>
      <c r="H745" s="1">
        <v>553578</v>
      </c>
      <c r="I745" t="s">
        <v>467</v>
      </c>
      <c r="J745" s="110">
        <v>43988120</v>
      </c>
      <c r="K745" s="4">
        <v>95375226</v>
      </c>
      <c r="L745" s="4">
        <v>70.3</v>
      </c>
      <c r="M745" s="4">
        <v>11.7</v>
      </c>
      <c r="N745">
        <v>0.92</v>
      </c>
    </row>
    <row r="746" spans="2:14" x14ac:dyDescent="0.2">
      <c r="B746" s="696">
        <v>42609.224386574075</v>
      </c>
      <c r="C746" s="1" t="s">
        <v>624</v>
      </c>
      <c r="D746" t="s">
        <v>144</v>
      </c>
      <c r="E746" t="s">
        <v>225</v>
      </c>
      <c r="F746" t="s">
        <v>305</v>
      </c>
      <c r="G746" s="1" t="s">
        <v>3</v>
      </c>
      <c r="H746" s="1">
        <v>553408</v>
      </c>
      <c r="I746" t="s">
        <v>467</v>
      </c>
      <c r="J746" s="110">
        <v>3</v>
      </c>
      <c r="K746" s="4" t="s">
        <v>506</v>
      </c>
      <c r="L746" s="4">
        <v>22.86</v>
      </c>
      <c r="M746" s="4">
        <v>11.8</v>
      </c>
      <c r="N746">
        <v>0.84</v>
      </c>
    </row>
    <row r="747" spans="2:14" x14ac:dyDescent="0.2">
      <c r="B747" s="696">
        <v>42609.230694444443</v>
      </c>
      <c r="C747" s="1" t="s">
        <v>624</v>
      </c>
      <c r="D747" t="s">
        <v>144</v>
      </c>
      <c r="E747" t="s">
        <v>225</v>
      </c>
      <c r="F747" t="s">
        <v>305</v>
      </c>
      <c r="G747" s="1" t="s">
        <v>3</v>
      </c>
      <c r="H747" s="1">
        <v>553408</v>
      </c>
      <c r="I747" t="s">
        <v>467</v>
      </c>
      <c r="J747" s="110">
        <v>4</v>
      </c>
      <c r="K747" s="4" t="s">
        <v>632</v>
      </c>
      <c r="L747" s="4">
        <v>20.260000000000002</v>
      </c>
      <c r="M747" s="4">
        <v>11.9</v>
      </c>
      <c r="N747">
        <v>0.82</v>
      </c>
    </row>
    <row r="748" spans="2:14" x14ac:dyDescent="0.2">
      <c r="B748" s="696">
        <v>42609.237569444442</v>
      </c>
      <c r="C748" s="1" t="s">
        <v>624</v>
      </c>
      <c r="D748" t="s">
        <v>144</v>
      </c>
      <c r="E748" t="s">
        <v>225</v>
      </c>
      <c r="F748" t="s">
        <v>305</v>
      </c>
      <c r="G748" s="1" t="s">
        <v>3</v>
      </c>
      <c r="H748" s="1">
        <v>553408</v>
      </c>
      <c r="I748" t="s">
        <v>467</v>
      </c>
      <c r="J748" s="110">
        <v>5</v>
      </c>
      <c r="K748" s="4" t="s">
        <v>590</v>
      </c>
      <c r="L748" s="4">
        <v>21.76</v>
      </c>
      <c r="M748" s="4">
        <v>12.2</v>
      </c>
      <c r="N748">
        <v>1.02</v>
      </c>
    </row>
    <row r="749" spans="2:14" x14ac:dyDescent="0.2">
      <c r="B749" s="696">
        <v>42609.254340277781</v>
      </c>
      <c r="C749" s="1" t="s">
        <v>408</v>
      </c>
      <c r="D749" t="s">
        <v>144</v>
      </c>
      <c r="E749" t="s">
        <v>225</v>
      </c>
      <c r="F749" t="s">
        <v>305</v>
      </c>
      <c r="G749" s="1" t="s">
        <v>3</v>
      </c>
      <c r="H749" s="1">
        <v>553759</v>
      </c>
      <c r="I749" t="s">
        <v>467</v>
      </c>
      <c r="J749" s="110">
        <v>358702</v>
      </c>
      <c r="K749" s="4" t="s">
        <v>745</v>
      </c>
      <c r="L749" s="4">
        <v>27.12</v>
      </c>
      <c r="M749" s="4">
        <v>13.1</v>
      </c>
      <c r="N749">
        <v>0.82</v>
      </c>
    </row>
    <row r="750" spans="2:14" x14ac:dyDescent="0.2">
      <c r="B750" s="696">
        <v>42609.259895833333</v>
      </c>
      <c r="C750" s="1" t="s">
        <v>408</v>
      </c>
      <c r="D750" t="s">
        <v>144</v>
      </c>
      <c r="E750" t="s">
        <v>225</v>
      </c>
      <c r="F750" t="s">
        <v>305</v>
      </c>
      <c r="G750" s="1" t="s">
        <v>3</v>
      </c>
      <c r="H750" s="1">
        <v>553759</v>
      </c>
      <c r="I750" t="s">
        <v>467</v>
      </c>
      <c r="J750" s="110">
        <v>358701</v>
      </c>
      <c r="K750" s="4" t="s">
        <v>746</v>
      </c>
      <c r="L750" s="4">
        <v>24.44</v>
      </c>
      <c r="M750" s="4">
        <v>13</v>
      </c>
      <c r="N750">
        <v>0.78</v>
      </c>
    </row>
    <row r="751" spans="2:14" x14ac:dyDescent="0.2">
      <c r="B751" s="696">
        <v>42609.265914351854</v>
      </c>
      <c r="C751" s="1" t="s">
        <v>408</v>
      </c>
      <c r="D751" t="s">
        <v>144</v>
      </c>
      <c r="E751" t="s">
        <v>225</v>
      </c>
      <c r="F751" t="s">
        <v>305</v>
      </c>
      <c r="G751" s="1" t="s">
        <v>3</v>
      </c>
      <c r="H751" s="1">
        <v>553759</v>
      </c>
      <c r="I751" t="s">
        <v>467</v>
      </c>
      <c r="J751" s="110">
        <v>358704</v>
      </c>
      <c r="K751" s="4" t="s">
        <v>747</v>
      </c>
      <c r="L751" s="4">
        <v>25.52</v>
      </c>
      <c r="M751" s="4">
        <v>13.1</v>
      </c>
      <c r="N751">
        <v>0.8</v>
      </c>
    </row>
    <row r="752" spans="2:14" x14ac:dyDescent="0.2">
      <c r="B752" s="696">
        <v>42609.508472222224</v>
      </c>
      <c r="C752" s="1" t="s">
        <v>541</v>
      </c>
      <c r="D752" t="s">
        <v>144</v>
      </c>
      <c r="E752" t="s">
        <v>225</v>
      </c>
      <c r="F752" t="s">
        <v>305</v>
      </c>
      <c r="G752" s="1" t="s">
        <v>3</v>
      </c>
      <c r="H752" s="1">
        <v>553578</v>
      </c>
      <c r="I752" t="s">
        <v>467</v>
      </c>
      <c r="J752" s="110">
        <v>43988120</v>
      </c>
      <c r="K752" s="4">
        <v>95372553</v>
      </c>
      <c r="L752" s="4">
        <v>69.5</v>
      </c>
      <c r="M752" s="4">
        <v>11.9</v>
      </c>
      <c r="N752">
        <v>0.98</v>
      </c>
    </row>
    <row r="753" spans="2:14" x14ac:dyDescent="0.2">
      <c r="B753" s="696">
        <v>42609.509004629632</v>
      </c>
      <c r="C753" s="1" t="s">
        <v>541</v>
      </c>
      <c r="D753" t="s">
        <v>144</v>
      </c>
      <c r="E753" t="s">
        <v>225</v>
      </c>
      <c r="F753" t="s">
        <v>305</v>
      </c>
      <c r="G753" s="1" t="s">
        <v>3</v>
      </c>
      <c r="H753" s="1">
        <v>553578</v>
      </c>
      <c r="I753" t="s">
        <v>467</v>
      </c>
      <c r="J753" s="110">
        <v>43988120</v>
      </c>
      <c r="K753" s="4">
        <v>95447108</v>
      </c>
      <c r="L753" s="4">
        <v>70.150000000000006</v>
      </c>
      <c r="M753" s="4">
        <v>11.5</v>
      </c>
      <c r="N753">
        <v>1</v>
      </c>
    </row>
    <row r="754" spans="2:14" x14ac:dyDescent="0.2">
      <c r="B754" s="696">
        <v>42609.509421296294</v>
      </c>
      <c r="C754" s="1" t="s">
        <v>541</v>
      </c>
      <c r="D754" t="s">
        <v>144</v>
      </c>
      <c r="E754" t="s">
        <v>225</v>
      </c>
      <c r="F754" t="s">
        <v>305</v>
      </c>
      <c r="G754" s="1" t="s">
        <v>3</v>
      </c>
      <c r="H754" s="1">
        <v>553578</v>
      </c>
      <c r="I754" t="s">
        <v>467</v>
      </c>
      <c r="J754" s="110">
        <v>43988120</v>
      </c>
      <c r="K754" s="4">
        <v>95795787</v>
      </c>
      <c r="L754" s="4">
        <v>69.95</v>
      </c>
      <c r="M754" s="4">
        <v>10.9</v>
      </c>
      <c r="N754">
        <v>0.96</v>
      </c>
    </row>
    <row r="755" spans="2:14" x14ac:dyDescent="0.2">
      <c r="B755" s="696">
        <v>42609.509814814817</v>
      </c>
      <c r="C755" s="1" t="s">
        <v>541</v>
      </c>
      <c r="D755" t="s">
        <v>144</v>
      </c>
      <c r="E755" t="s">
        <v>225</v>
      </c>
      <c r="F755" t="s">
        <v>305</v>
      </c>
      <c r="G755" s="1" t="s">
        <v>3</v>
      </c>
      <c r="H755" s="1">
        <v>553578</v>
      </c>
      <c r="I755" t="s">
        <v>467</v>
      </c>
      <c r="J755" s="110">
        <v>43989466</v>
      </c>
      <c r="K755" s="4">
        <v>95620050</v>
      </c>
      <c r="L755" s="4">
        <v>68.7</v>
      </c>
      <c r="M755" s="4">
        <v>13.4</v>
      </c>
      <c r="N755">
        <v>1</v>
      </c>
    </row>
    <row r="756" spans="2:14" x14ac:dyDescent="0.2">
      <c r="B756" s="696">
        <v>42609.510254629633</v>
      </c>
      <c r="C756" s="1" t="s">
        <v>541</v>
      </c>
      <c r="D756" t="s">
        <v>144</v>
      </c>
      <c r="E756" t="s">
        <v>225</v>
      </c>
      <c r="F756" t="s">
        <v>305</v>
      </c>
      <c r="G756" s="1" t="s">
        <v>3</v>
      </c>
      <c r="H756" s="1">
        <v>553578</v>
      </c>
      <c r="I756" t="s">
        <v>467</v>
      </c>
      <c r="J756" s="110">
        <v>43989466</v>
      </c>
      <c r="K756" s="4">
        <v>95527081</v>
      </c>
      <c r="L756" s="4">
        <v>69.900000000000006</v>
      </c>
      <c r="M756" s="4">
        <v>13.5</v>
      </c>
      <c r="N756">
        <v>1.28</v>
      </c>
    </row>
    <row r="757" spans="2:14" x14ac:dyDescent="0.2">
      <c r="B757" s="696">
        <v>42609.510706018518</v>
      </c>
      <c r="C757" s="1" t="s">
        <v>541</v>
      </c>
      <c r="D757" t="s">
        <v>144</v>
      </c>
      <c r="E757" t="s">
        <v>225</v>
      </c>
      <c r="F757" t="s">
        <v>305</v>
      </c>
      <c r="G757" s="1" t="s">
        <v>3</v>
      </c>
      <c r="H757" s="1">
        <v>553578</v>
      </c>
      <c r="I757" t="s">
        <v>467</v>
      </c>
      <c r="J757" s="110">
        <v>43989466</v>
      </c>
      <c r="K757" s="4">
        <v>95539862</v>
      </c>
      <c r="L757" s="4">
        <v>69.900000000000006</v>
      </c>
      <c r="M757" s="4">
        <v>13.7</v>
      </c>
      <c r="N757">
        <v>1.06</v>
      </c>
    </row>
    <row r="758" spans="2:14" x14ac:dyDescent="0.2">
      <c r="B758" s="696">
        <v>42609.511111111111</v>
      </c>
      <c r="C758" s="1" t="s">
        <v>541</v>
      </c>
      <c r="D758" t="s">
        <v>144</v>
      </c>
      <c r="E758" t="s">
        <v>225</v>
      </c>
      <c r="F758" t="s">
        <v>305</v>
      </c>
      <c r="G758" s="1" t="s">
        <v>3</v>
      </c>
      <c r="H758" s="1">
        <v>553578</v>
      </c>
      <c r="I758" t="s">
        <v>467</v>
      </c>
      <c r="J758" s="110">
        <v>43989466</v>
      </c>
      <c r="K758" s="4">
        <v>95455044</v>
      </c>
      <c r="L758" s="4">
        <v>68.650000000000006</v>
      </c>
      <c r="M758" s="4">
        <v>11.9</v>
      </c>
      <c r="N758">
        <v>1.1000000000000001</v>
      </c>
    </row>
    <row r="759" spans="2:14" x14ac:dyDescent="0.2">
      <c r="B759" s="696">
        <v>42609.51152777778</v>
      </c>
      <c r="C759" s="1" t="s">
        <v>541</v>
      </c>
      <c r="D759" t="s">
        <v>144</v>
      </c>
      <c r="E759" t="s">
        <v>225</v>
      </c>
      <c r="F759" t="s">
        <v>305</v>
      </c>
      <c r="G759" s="1" t="s">
        <v>3</v>
      </c>
      <c r="H759" s="1">
        <v>553578</v>
      </c>
      <c r="I759" t="s">
        <v>467</v>
      </c>
      <c r="J759" s="110">
        <v>43997360</v>
      </c>
      <c r="K759" s="4">
        <v>95833034</v>
      </c>
      <c r="L759" s="4">
        <v>68</v>
      </c>
      <c r="M759" s="4">
        <v>13.5</v>
      </c>
      <c r="N759">
        <v>1.08</v>
      </c>
    </row>
    <row r="760" spans="2:14" x14ac:dyDescent="0.2">
      <c r="B760" s="696">
        <v>42609.579756944448</v>
      </c>
      <c r="C760" s="1" t="s">
        <v>541</v>
      </c>
      <c r="D760" t="s">
        <v>144</v>
      </c>
      <c r="E760" t="s">
        <v>225</v>
      </c>
      <c r="F760" t="s">
        <v>305</v>
      </c>
      <c r="G760" s="1" t="s">
        <v>3</v>
      </c>
      <c r="H760" s="1">
        <v>553578</v>
      </c>
      <c r="I760" t="s">
        <v>467</v>
      </c>
      <c r="J760" s="110">
        <v>43992270</v>
      </c>
      <c r="K760" s="4">
        <v>95651857</v>
      </c>
      <c r="L760" s="4">
        <v>69.95</v>
      </c>
      <c r="M760" s="4">
        <v>13.3</v>
      </c>
      <c r="N760">
        <v>1.1000000000000001</v>
      </c>
    </row>
    <row r="761" spans="2:14" x14ac:dyDescent="0.2">
      <c r="B761" s="696">
        <v>42609.580358796295</v>
      </c>
      <c r="C761" s="1" t="s">
        <v>541</v>
      </c>
      <c r="D761" t="s">
        <v>144</v>
      </c>
      <c r="E761" t="s">
        <v>225</v>
      </c>
      <c r="F761" t="s">
        <v>305</v>
      </c>
      <c r="G761" s="1" t="s">
        <v>3</v>
      </c>
      <c r="H761" s="1">
        <v>553578</v>
      </c>
      <c r="I761" t="s">
        <v>467</v>
      </c>
      <c r="J761" s="110">
        <v>43992270</v>
      </c>
      <c r="K761" s="4">
        <v>95348769</v>
      </c>
      <c r="L761" s="4">
        <v>70.25</v>
      </c>
      <c r="M761" s="4">
        <v>12.6</v>
      </c>
      <c r="N761">
        <v>0.94</v>
      </c>
    </row>
    <row r="762" spans="2:14" x14ac:dyDescent="0.2">
      <c r="B762" s="696">
        <v>42609.581006944441</v>
      </c>
      <c r="C762" s="1" t="s">
        <v>541</v>
      </c>
      <c r="D762" t="s">
        <v>144</v>
      </c>
      <c r="E762" t="s">
        <v>225</v>
      </c>
      <c r="F762" t="s">
        <v>305</v>
      </c>
      <c r="G762" s="1" t="s">
        <v>3</v>
      </c>
      <c r="H762" s="1">
        <v>553578</v>
      </c>
      <c r="I762" t="s">
        <v>467</v>
      </c>
      <c r="J762" s="110">
        <v>43992270</v>
      </c>
      <c r="K762" s="4">
        <v>95617247</v>
      </c>
      <c r="L762" s="4">
        <v>70.099999999999994</v>
      </c>
      <c r="M762" s="4">
        <v>13</v>
      </c>
      <c r="N762">
        <v>1.06</v>
      </c>
    </row>
    <row r="763" spans="2:14" x14ac:dyDescent="0.2">
      <c r="B763" s="696">
        <v>42609.581724537034</v>
      </c>
      <c r="C763" s="1" t="s">
        <v>541</v>
      </c>
      <c r="D763" t="s">
        <v>144</v>
      </c>
      <c r="E763" t="s">
        <v>225</v>
      </c>
      <c r="F763" t="s">
        <v>305</v>
      </c>
      <c r="G763" s="1" t="s">
        <v>3</v>
      </c>
      <c r="H763" s="1">
        <v>553578</v>
      </c>
      <c r="I763" t="s">
        <v>467</v>
      </c>
      <c r="J763" s="110">
        <v>43992270</v>
      </c>
      <c r="K763" s="4">
        <v>95833380</v>
      </c>
      <c r="L763" s="4">
        <v>70.2</v>
      </c>
      <c r="M763" s="4">
        <v>12.5</v>
      </c>
      <c r="N763">
        <v>1.08</v>
      </c>
    </row>
    <row r="764" spans="2:14" x14ac:dyDescent="0.2">
      <c r="B764" s="696">
        <v>42609.582442129627</v>
      </c>
      <c r="C764" s="1" t="s">
        <v>712</v>
      </c>
      <c r="D764" t="s">
        <v>144</v>
      </c>
      <c r="E764" t="s">
        <v>225</v>
      </c>
      <c r="F764" t="s">
        <v>305</v>
      </c>
      <c r="G764" s="1" t="s">
        <v>3</v>
      </c>
      <c r="H764" s="1">
        <v>553450</v>
      </c>
      <c r="I764" t="s">
        <v>467</v>
      </c>
      <c r="J764" s="110">
        <v>40265019</v>
      </c>
      <c r="K764" s="4">
        <v>95640215</v>
      </c>
      <c r="L764" s="4">
        <v>69.3</v>
      </c>
      <c r="M764" s="4">
        <v>12.3</v>
      </c>
      <c r="N764">
        <v>1.02</v>
      </c>
    </row>
    <row r="765" spans="2:14" x14ac:dyDescent="0.2">
      <c r="B765" s="696">
        <v>42609.583090277774</v>
      </c>
      <c r="C765" s="1" t="s">
        <v>712</v>
      </c>
      <c r="D765" t="s">
        <v>144</v>
      </c>
      <c r="E765" t="s">
        <v>225</v>
      </c>
      <c r="F765" t="s">
        <v>305</v>
      </c>
      <c r="G765" s="1" t="s">
        <v>3</v>
      </c>
      <c r="H765" s="1">
        <v>553450</v>
      </c>
      <c r="I765" t="s">
        <v>467</v>
      </c>
      <c r="J765" s="110">
        <v>40265019</v>
      </c>
      <c r="K765" s="4">
        <v>95653150</v>
      </c>
      <c r="L765" s="4">
        <v>68</v>
      </c>
      <c r="M765" s="4">
        <v>12.3</v>
      </c>
      <c r="N765">
        <v>1.24</v>
      </c>
    </row>
    <row r="766" spans="2:14" x14ac:dyDescent="0.2">
      <c r="B766" s="696">
        <v>42609.583645833336</v>
      </c>
      <c r="C766" s="1" t="s">
        <v>712</v>
      </c>
      <c r="D766" t="s">
        <v>144</v>
      </c>
      <c r="E766" t="s">
        <v>225</v>
      </c>
      <c r="F766" t="s">
        <v>305</v>
      </c>
      <c r="G766" s="1" t="s">
        <v>3</v>
      </c>
      <c r="H766" s="1">
        <v>553450</v>
      </c>
      <c r="I766" t="s">
        <v>467</v>
      </c>
      <c r="J766" s="110">
        <v>40265019</v>
      </c>
      <c r="K766" s="4">
        <v>95650156</v>
      </c>
      <c r="L766" s="4">
        <v>68.2</v>
      </c>
      <c r="M766" s="4">
        <v>12.3</v>
      </c>
      <c r="N766">
        <v>1.1000000000000001</v>
      </c>
    </row>
    <row r="767" spans="2:14" x14ac:dyDescent="0.2">
      <c r="B767" s="696">
        <v>42609.584097222221</v>
      </c>
      <c r="C767" s="1" t="s">
        <v>712</v>
      </c>
      <c r="D767" t="s">
        <v>144</v>
      </c>
      <c r="E767" t="s">
        <v>225</v>
      </c>
      <c r="F767" t="s">
        <v>305</v>
      </c>
      <c r="G767" s="1" t="s">
        <v>3</v>
      </c>
      <c r="H767" s="1">
        <v>553450</v>
      </c>
      <c r="I767" t="s">
        <v>467</v>
      </c>
      <c r="J767" s="110">
        <v>40265019</v>
      </c>
      <c r="K767" s="4">
        <v>95682381</v>
      </c>
      <c r="L767" s="4">
        <v>68.8</v>
      </c>
      <c r="M767" s="4">
        <v>12.2</v>
      </c>
      <c r="N767">
        <v>1.18</v>
      </c>
    </row>
    <row r="768" spans="2:14" x14ac:dyDescent="0.2">
      <c r="B768" s="696">
        <v>42609.584629629629</v>
      </c>
      <c r="C768" s="1" t="s">
        <v>712</v>
      </c>
      <c r="D768" t="s">
        <v>144</v>
      </c>
      <c r="E768" t="s">
        <v>225</v>
      </c>
      <c r="F768" t="s">
        <v>305</v>
      </c>
      <c r="G768" s="1" t="s">
        <v>3</v>
      </c>
      <c r="H768" s="1">
        <v>553450</v>
      </c>
      <c r="I768" t="s">
        <v>467</v>
      </c>
      <c r="J768" s="110">
        <v>40265019</v>
      </c>
      <c r="K768" s="4">
        <v>95493276</v>
      </c>
      <c r="L768" s="4">
        <v>66.45</v>
      </c>
      <c r="M768" s="4">
        <v>12.3</v>
      </c>
      <c r="N768">
        <v>1</v>
      </c>
    </row>
    <row r="769" spans="2:14" x14ac:dyDescent="0.2">
      <c r="B769" s="696">
        <v>42609.585034722222</v>
      </c>
      <c r="C769" s="1" t="s">
        <v>712</v>
      </c>
      <c r="D769" t="s">
        <v>144</v>
      </c>
      <c r="E769" t="s">
        <v>225</v>
      </c>
      <c r="F769" t="s">
        <v>305</v>
      </c>
      <c r="G769" s="1" t="s">
        <v>3</v>
      </c>
      <c r="H769" s="1">
        <v>553450</v>
      </c>
      <c r="I769" t="s">
        <v>467</v>
      </c>
      <c r="J769" s="110">
        <v>40265019</v>
      </c>
      <c r="K769" s="4">
        <v>95651469</v>
      </c>
      <c r="L769" s="4">
        <v>68.3</v>
      </c>
      <c r="M769" s="4">
        <v>12.5</v>
      </c>
      <c r="N769">
        <v>1.6</v>
      </c>
    </row>
    <row r="770" spans="2:14" x14ac:dyDescent="0.2">
      <c r="B770" s="696">
        <v>42609.704247685186</v>
      </c>
      <c r="C770" s="1" t="s">
        <v>408</v>
      </c>
      <c r="D770" t="s">
        <v>144</v>
      </c>
      <c r="E770" t="s">
        <v>225</v>
      </c>
      <c r="F770" t="s">
        <v>305</v>
      </c>
      <c r="G770" s="1" t="s">
        <v>3</v>
      </c>
      <c r="H770" s="1">
        <v>553759</v>
      </c>
      <c r="I770" t="s">
        <v>467</v>
      </c>
      <c r="J770" s="110">
        <v>350931</v>
      </c>
      <c r="K770" s="4" t="s">
        <v>564</v>
      </c>
      <c r="L770" s="4">
        <v>22.04</v>
      </c>
      <c r="M770" s="4">
        <v>11.9</v>
      </c>
      <c r="N770">
        <v>2</v>
      </c>
    </row>
    <row r="771" spans="2:14" x14ac:dyDescent="0.2">
      <c r="B771" s="696">
        <v>42609.708298611113</v>
      </c>
      <c r="C771" s="1" t="s">
        <v>541</v>
      </c>
      <c r="D771" t="s">
        <v>144</v>
      </c>
      <c r="E771" t="s">
        <v>225</v>
      </c>
      <c r="F771" t="s">
        <v>305</v>
      </c>
      <c r="G771" s="1" t="s">
        <v>3</v>
      </c>
      <c r="H771" s="1">
        <v>553578</v>
      </c>
      <c r="I771" t="s">
        <v>467</v>
      </c>
      <c r="J771" s="110">
        <v>43992270</v>
      </c>
      <c r="K771" s="4">
        <v>95454245</v>
      </c>
      <c r="L771" s="4">
        <v>69.900000000000006</v>
      </c>
      <c r="M771" s="4">
        <v>13.5</v>
      </c>
      <c r="N771">
        <v>1.1200000000000001</v>
      </c>
    </row>
    <row r="772" spans="2:14" x14ac:dyDescent="0.2">
      <c r="B772" s="696">
        <v>42609.708784722221</v>
      </c>
      <c r="C772" s="1" t="s">
        <v>541</v>
      </c>
      <c r="D772" t="s">
        <v>144</v>
      </c>
      <c r="E772" t="s">
        <v>225</v>
      </c>
      <c r="F772" t="s">
        <v>305</v>
      </c>
      <c r="G772" s="1" t="s">
        <v>3</v>
      </c>
      <c r="H772" s="1">
        <v>553578</v>
      </c>
      <c r="I772" t="s">
        <v>467</v>
      </c>
      <c r="J772" s="110">
        <v>43992270</v>
      </c>
      <c r="K772" s="4">
        <v>95448759</v>
      </c>
      <c r="L772" s="4">
        <v>69.7</v>
      </c>
      <c r="M772" s="4">
        <v>13.5</v>
      </c>
      <c r="N772">
        <v>1.3</v>
      </c>
    </row>
    <row r="773" spans="2:14" x14ac:dyDescent="0.2">
      <c r="B773" s="696">
        <v>42609.71533564815</v>
      </c>
      <c r="C773" s="1" t="s">
        <v>408</v>
      </c>
      <c r="D773" t="s">
        <v>144</v>
      </c>
      <c r="E773" t="s">
        <v>225</v>
      </c>
      <c r="F773" t="s">
        <v>305</v>
      </c>
      <c r="G773" s="1" t="s">
        <v>3</v>
      </c>
      <c r="H773" s="1">
        <v>553759</v>
      </c>
      <c r="I773" t="s">
        <v>467</v>
      </c>
      <c r="J773" s="110">
        <v>350770</v>
      </c>
      <c r="K773" s="4" t="s">
        <v>748</v>
      </c>
      <c r="L773" s="4">
        <v>23.78</v>
      </c>
      <c r="M773" s="4">
        <v>12.2</v>
      </c>
      <c r="N773">
        <v>1.22</v>
      </c>
    </row>
    <row r="774" spans="2:14" x14ac:dyDescent="0.2">
      <c r="B774" s="696">
        <v>42609.736006944448</v>
      </c>
      <c r="C774" s="1" t="s">
        <v>712</v>
      </c>
      <c r="D774" t="s">
        <v>144</v>
      </c>
      <c r="E774" t="s">
        <v>225</v>
      </c>
      <c r="F774" t="s">
        <v>305</v>
      </c>
      <c r="G774" s="1" t="s">
        <v>3</v>
      </c>
      <c r="H774" s="1">
        <v>553450</v>
      </c>
      <c r="I774" t="s">
        <v>467</v>
      </c>
      <c r="J774" s="110">
        <v>40265019</v>
      </c>
      <c r="K774" s="4">
        <v>95668786</v>
      </c>
      <c r="L774" s="4">
        <v>69.2</v>
      </c>
      <c r="M774" s="4">
        <v>12.1</v>
      </c>
      <c r="N774">
        <v>1.1200000000000001</v>
      </c>
    </row>
    <row r="775" spans="2:14" x14ac:dyDescent="0.2">
      <c r="B775" s="696">
        <v>42609.741851851853</v>
      </c>
      <c r="C775" s="1" t="s">
        <v>712</v>
      </c>
      <c r="D775" t="s">
        <v>144</v>
      </c>
      <c r="E775" t="s">
        <v>225</v>
      </c>
      <c r="F775" t="s">
        <v>305</v>
      </c>
      <c r="G775" s="1" t="s">
        <v>3</v>
      </c>
      <c r="H775" s="1">
        <v>553450</v>
      </c>
      <c r="I775" t="s">
        <v>467</v>
      </c>
      <c r="J775" s="110">
        <v>40265019</v>
      </c>
      <c r="K775" s="4">
        <v>95330304</v>
      </c>
      <c r="L775" s="4">
        <v>68.05</v>
      </c>
      <c r="M775" s="4">
        <v>12.2</v>
      </c>
      <c r="N775">
        <v>1.18</v>
      </c>
    </row>
    <row r="776" spans="2:14" x14ac:dyDescent="0.2">
      <c r="B776" s="696">
        <v>42609.742418981485</v>
      </c>
      <c r="C776" s="1" t="s">
        <v>712</v>
      </c>
      <c r="D776" t="s">
        <v>144</v>
      </c>
      <c r="E776" t="s">
        <v>225</v>
      </c>
      <c r="F776" t="s">
        <v>305</v>
      </c>
      <c r="G776" s="1" t="s">
        <v>3</v>
      </c>
      <c r="H776" s="1">
        <v>553450</v>
      </c>
      <c r="I776" t="s">
        <v>467</v>
      </c>
      <c r="J776" s="110">
        <v>40265019</v>
      </c>
      <c r="K776" s="4">
        <v>95653960</v>
      </c>
      <c r="L776" s="4">
        <v>67.849999999999994</v>
      </c>
      <c r="M776" s="4">
        <v>12</v>
      </c>
      <c r="N776">
        <v>1.1599999999999999</v>
      </c>
    </row>
    <row r="777" spans="2:14" x14ac:dyDescent="0.2">
      <c r="B777" s="696">
        <v>42609.742881944447</v>
      </c>
      <c r="C777" s="1" t="s">
        <v>712</v>
      </c>
      <c r="D777" t="s">
        <v>144</v>
      </c>
      <c r="E777" t="s">
        <v>225</v>
      </c>
      <c r="F777" t="s">
        <v>305</v>
      </c>
      <c r="G777" s="1" t="s">
        <v>3</v>
      </c>
      <c r="H777" s="1">
        <v>553450</v>
      </c>
      <c r="I777" t="s">
        <v>467</v>
      </c>
      <c r="J777" s="110">
        <v>40265019</v>
      </c>
      <c r="K777" s="4">
        <v>95833232</v>
      </c>
      <c r="L777" s="4">
        <v>65.95</v>
      </c>
      <c r="M777" s="4">
        <v>12</v>
      </c>
      <c r="N777">
        <v>1.34</v>
      </c>
    </row>
    <row r="778" spans="2:14" x14ac:dyDescent="0.2">
      <c r="B778" s="696">
        <v>42609.743958333333</v>
      </c>
      <c r="C778" s="1" t="s">
        <v>712</v>
      </c>
      <c r="D778" t="s">
        <v>144</v>
      </c>
      <c r="E778" t="s">
        <v>225</v>
      </c>
      <c r="F778" t="s">
        <v>305</v>
      </c>
      <c r="G778" s="1" t="s">
        <v>3</v>
      </c>
      <c r="H778" s="1">
        <v>553450</v>
      </c>
      <c r="I778" t="s">
        <v>467</v>
      </c>
      <c r="J778" s="110">
        <v>40265019</v>
      </c>
      <c r="K778" s="4">
        <v>95452561</v>
      </c>
      <c r="L778" s="4">
        <v>68.3</v>
      </c>
      <c r="M778" s="4">
        <v>12.1</v>
      </c>
      <c r="N778">
        <v>1.1200000000000001</v>
      </c>
    </row>
    <row r="779" spans="2:14" x14ac:dyDescent="0.2">
      <c r="B779" s="696">
        <v>42609.744652777779</v>
      </c>
      <c r="C779" s="1" t="s">
        <v>712</v>
      </c>
      <c r="D779" t="s">
        <v>144</v>
      </c>
      <c r="E779" t="s">
        <v>225</v>
      </c>
      <c r="F779" t="s">
        <v>305</v>
      </c>
      <c r="G779" s="1" t="s">
        <v>3</v>
      </c>
      <c r="H779" s="1">
        <v>553450</v>
      </c>
      <c r="I779" t="s">
        <v>467</v>
      </c>
      <c r="J779" s="110">
        <v>40265019</v>
      </c>
      <c r="K779" s="4">
        <v>95352910</v>
      </c>
      <c r="L779" s="4">
        <v>67.099999999999994</v>
      </c>
      <c r="M779" s="4">
        <v>12</v>
      </c>
      <c r="N779">
        <v>1.08</v>
      </c>
    </row>
    <row r="780" spans="2:14" x14ac:dyDescent="0.2">
      <c r="B780" s="696">
        <v>42609.745150462964</v>
      </c>
      <c r="C780" s="1" t="s">
        <v>712</v>
      </c>
      <c r="D780" t="s">
        <v>144</v>
      </c>
      <c r="E780" t="s">
        <v>225</v>
      </c>
      <c r="F780" t="s">
        <v>305</v>
      </c>
      <c r="G780" s="1" t="s">
        <v>3</v>
      </c>
      <c r="H780" s="1">
        <v>553450</v>
      </c>
      <c r="I780" t="s">
        <v>467</v>
      </c>
      <c r="J780" s="110">
        <v>40265019</v>
      </c>
      <c r="K780" s="4">
        <v>95679585</v>
      </c>
      <c r="L780" s="4">
        <v>69.650000000000006</v>
      </c>
      <c r="M780" s="4">
        <v>12.2</v>
      </c>
      <c r="N780">
        <v>0.98</v>
      </c>
    </row>
    <row r="781" spans="2:14" x14ac:dyDescent="0.2">
      <c r="B781" s="696">
        <v>42609.745625000003</v>
      </c>
      <c r="C781" s="1" t="s">
        <v>541</v>
      </c>
      <c r="D781" t="s">
        <v>144</v>
      </c>
      <c r="E781" t="s">
        <v>225</v>
      </c>
      <c r="F781" t="s">
        <v>305</v>
      </c>
      <c r="G781" s="1" t="s">
        <v>3</v>
      </c>
      <c r="H781" s="1">
        <v>553578</v>
      </c>
      <c r="I781" t="s">
        <v>467</v>
      </c>
      <c r="J781" s="110">
        <v>43997360</v>
      </c>
      <c r="K781" s="4">
        <v>95668943</v>
      </c>
      <c r="L781" s="4">
        <v>69.650000000000006</v>
      </c>
      <c r="M781" s="4">
        <v>13</v>
      </c>
      <c r="N781">
        <v>0.84</v>
      </c>
    </row>
    <row r="782" spans="2:14" x14ac:dyDescent="0.2">
      <c r="B782" s="696">
        <v>42609.746134259258</v>
      </c>
      <c r="C782" s="1" t="s">
        <v>541</v>
      </c>
      <c r="D782" t="s">
        <v>144</v>
      </c>
      <c r="E782" t="s">
        <v>225</v>
      </c>
      <c r="F782" t="s">
        <v>305</v>
      </c>
      <c r="G782" s="1" t="s">
        <v>3</v>
      </c>
      <c r="H782" s="1">
        <v>553578</v>
      </c>
      <c r="I782" t="s">
        <v>467</v>
      </c>
      <c r="J782" s="110">
        <v>43997360</v>
      </c>
      <c r="K782" s="4">
        <v>95667218</v>
      </c>
      <c r="L782" s="4">
        <v>69.900000000000006</v>
      </c>
      <c r="M782" s="4">
        <v>12.1</v>
      </c>
      <c r="N782">
        <v>0.82</v>
      </c>
    </row>
    <row r="783" spans="2:14" x14ac:dyDescent="0.2">
      <c r="B783" s="696">
        <v>42609.886250000003</v>
      </c>
      <c r="C783" s="1" t="s">
        <v>762</v>
      </c>
      <c r="D783" t="s">
        <v>144</v>
      </c>
      <c r="E783" t="s">
        <v>225</v>
      </c>
      <c r="F783" t="s">
        <v>305</v>
      </c>
      <c r="G783" s="1" t="s">
        <v>3</v>
      </c>
      <c r="H783" s="1">
        <v>553667</v>
      </c>
      <c r="I783" t="s">
        <v>467</v>
      </c>
      <c r="J783" s="110">
        <v>47359443</v>
      </c>
      <c r="K783" s="4">
        <v>95692216</v>
      </c>
      <c r="L783" s="4">
        <v>69.099999999999994</v>
      </c>
      <c r="M783" s="4">
        <v>11.5</v>
      </c>
      <c r="N783">
        <v>1.64</v>
      </c>
    </row>
    <row r="784" spans="2:14" x14ac:dyDescent="0.2">
      <c r="B784" s="696">
        <v>42609.88689814815</v>
      </c>
      <c r="C784" s="1" t="s">
        <v>762</v>
      </c>
      <c r="D784" t="s">
        <v>144</v>
      </c>
      <c r="E784" t="s">
        <v>225</v>
      </c>
      <c r="F784" t="s">
        <v>305</v>
      </c>
      <c r="G784" s="1" t="s">
        <v>3</v>
      </c>
      <c r="H784" s="1">
        <v>553667</v>
      </c>
      <c r="I784" t="s">
        <v>467</v>
      </c>
      <c r="J784" s="110">
        <v>47359443</v>
      </c>
      <c r="K784" s="4">
        <v>95641742</v>
      </c>
      <c r="L784" s="4">
        <v>68.8</v>
      </c>
      <c r="M784" s="4">
        <v>11.6</v>
      </c>
      <c r="N784">
        <v>1</v>
      </c>
    </row>
    <row r="785" spans="2:14" x14ac:dyDescent="0.2">
      <c r="B785" s="696">
        <v>42609.887569444443</v>
      </c>
      <c r="C785" s="1" t="s">
        <v>762</v>
      </c>
      <c r="D785" t="s">
        <v>144</v>
      </c>
      <c r="E785" t="s">
        <v>225</v>
      </c>
      <c r="F785" t="s">
        <v>305</v>
      </c>
      <c r="G785" s="1" t="s">
        <v>3</v>
      </c>
      <c r="H785" s="1">
        <v>553667</v>
      </c>
      <c r="I785" t="s">
        <v>467</v>
      </c>
      <c r="J785" s="110">
        <v>47359443</v>
      </c>
      <c r="K785" s="4">
        <v>95797551</v>
      </c>
      <c r="L785" s="4">
        <v>69.3</v>
      </c>
      <c r="M785" s="4">
        <v>11.6</v>
      </c>
      <c r="N785">
        <v>2</v>
      </c>
    </row>
    <row r="786" spans="2:14" x14ac:dyDescent="0.2">
      <c r="B786" s="696">
        <v>42609.888298611113</v>
      </c>
      <c r="C786" s="1" t="s">
        <v>762</v>
      </c>
      <c r="D786" t="s">
        <v>144</v>
      </c>
      <c r="E786" t="s">
        <v>225</v>
      </c>
      <c r="F786" t="s">
        <v>305</v>
      </c>
      <c r="G786" s="1" t="s">
        <v>3</v>
      </c>
      <c r="H786" s="1">
        <v>553667</v>
      </c>
      <c r="I786" t="s">
        <v>467</v>
      </c>
      <c r="J786" s="110">
        <v>47359443</v>
      </c>
      <c r="K786" s="4">
        <v>95826749</v>
      </c>
      <c r="L786" s="4">
        <v>68.099999999999994</v>
      </c>
      <c r="M786" s="4">
        <v>11.6</v>
      </c>
      <c r="N786">
        <v>2</v>
      </c>
    </row>
    <row r="787" spans="2:14" x14ac:dyDescent="0.2">
      <c r="B787" s="696">
        <v>42610.078842592593</v>
      </c>
      <c r="C787" s="1" t="s">
        <v>541</v>
      </c>
      <c r="D787" t="s">
        <v>144</v>
      </c>
      <c r="E787" t="s">
        <v>225</v>
      </c>
      <c r="F787" t="s">
        <v>305</v>
      </c>
      <c r="G787" s="1" t="s">
        <v>3</v>
      </c>
      <c r="H787" s="1">
        <v>553578</v>
      </c>
      <c r="I787" t="s">
        <v>467</v>
      </c>
      <c r="J787" s="110">
        <v>44004935</v>
      </c>
      <c r="K787" s="4">
        <v>95446456</v>
      </c>
      <c r="L787" s="4">
        <v>69.349999999999994</v>
      </c>
      <c r="M787" s="4">
        <v>11.8</v>
      </c>
      <c r="N787">
        <v>1.3</v>
      </c>
    </row>
    <row r="788" spans="2:14" x14ac:dyDescent="0.2">
      <c r="B788" s="696">
        <v>42610.07949074074</v>
      </c>
      <c r="C788" s="1" t="s">
        <v>730</v>
      </c>
      <c r="E788" t="s">
        <v>225</v>
      </c>
      <c r="F788" t="s">
        <v>305</v>
      </c>
      <c r="G788" s="1" t="s">
        <v>3</v>
      </c>
      <c r="H788" s="110">
        <v>552825</v>
      </c>
      <c r="I788" s="4" t="s">
        <v>467</v>
      </c>
      <c r="J788" s="110">
        <v>34906859</v>
      </c>
      <c r="K788" s="4">
        <v>95620688</v>
      </c>
      <c r="L788" s="4">
        <v>68.650000000000006</v>
      </c>
      <c r="M788" s="4">
        <v>13</v>
      </c>
      <c r="N788">
        <v>1.4</v>
      </c>
    </row>
    <row r="789" spans="2:14" x14ac:dyDescent="0.2">
      <c r="B789" s="696">
        <v>42610.079988425925</v>
      </c>
      <c r="C789" s="1" t="s">
        <v>730</v>
      </c>
      <c r="E789" t="s">
        <v>225</v>
      </c>
      <c r="F789" t="s">
        <v>305</v>
      </c>
      <c r="G789" s="1" t="s">
        <v>3</v>
      </c>
      <c r="H789" s="110">
        <v>552825</v>
      </c>
      <c r="I789" s="4" t="s">
        <v>467</v>
      </c>
      <c r="J789" s="110">
        <v>34906859</v>
      </c>
      <c r="K789" s="4">
        <v>95351235</v>
      </c>
      <c r="L789" s="4">
        <v>69.45</v>
      </c>
      <c r="M789" s="4">
        <v>13.2</v>
      </c>
      <c r="N789">
        <v>1.26</v>
      </c>
    </row>
    <row r="790" spans="2:14" x14ac:dyDescent="0.2">
      <c r="B790" s="696">
        <v>42610.080509259256</v>
      </c>
      <c r="C790" s="1" t="s">
        <v>730</v>
      </c>
      <c r="E790" t="s">
        <v>225</v>
      </c>
      <c r="F790" t="s">
        <v>305</v>
      </c>
      <c r="G790" s="1" t="s">
        <v>3</v>
      </c>
      <c r="H790" s="110">
        <v>552825</v>
      </c>
      <c r="I790" s="4" t="s">
        <v>467</v>
      </c>
      <c r="J790" s="110">
        <v>34906859</v>
      </c>
      <c r="K790" s="4">
        <v>95833133</v>
      </c>
      <c r="L790" s="4">
        <v>69.849999999999994</v>
      </c>
      <c r="M790" s="4">
        <v>13.3</v>
      </c>
      <c r="N790">
        <v>1.52</v>
      </c>
    </row>
    <row r="791" spans="2:14" x14ac:dyDescent="0.2">
      <c r="B791" s="696">
        <v>42610.081412037034</v>
      </c>
      <c r="C791" s="1" t="s">
        <v>730</v>
      </c>
      <c r="E791" t="s">
        <v>225</v>
      </c>
      <c r="F791" t="s">
        <v>305</v>
      </c>
      <c r="G791" s="1" t="s">
        <v>3</v>
      </c>
      <c r="H791" s="110">
        <v>552825</v>
      </c>
      <c r="I791" s="4" t="s">
        <v>467</v>
      </c>
      <c r="J791" s="110">
        <v>34906859</v>
      </c>
      <c r="K791" s="4">
        <v>95620928</v>
      </c>
      <c r="L791" s="4">
        <v>69.75</v>
      </c>
      <c r="M791" s="4">
        <v>14</v>
      </c>
      <c r="N791">
        <v>1.42</v>
      </c>
    </row>
    <row r="792" spans="2:14" x14ac:dyDescent="0.2">
      <c r="B792" s="696">
        <v>42610.081932870373</v>
      </c>
      <c r="C792" s="1" t="s">
        <v>730</v>
      </c>
      <c r="E792" t="s">
        <v>225</v>
      </c>
      <c r="F792" t="s">
        <v>305</v>
      </c>
      <c r="G792" s="1" t="s">
        <v>3</v>
      </c>
      <c r="H792" s="110">
        <v>552825</v>
      </c>
      <c r="I792" s="4" t="s">
        <v>467</v>
      </c>
      <c r="J792" s="110">
        <v>34906859</v>
      </c>
      <c r="K792" s="4">
        <v>95449252</v>
      </c>
      <c r="L792" s="4">
        <v>70.05</v>
      </c>
      <c r="M792" s="4">
        <v>14</v>
      </c>
      <c r="N792">
        <v>0.92</v>
      </c>
    </row>
    <row r="793" spans="2:14" x14ac:dyDescent="0.2">
      <c r="B793" s="696">
        <v>42610.082395833335</v>
      </c>
      <c r="C793" s="1" t="s">
        <v>712</v>
      </c>
      <c r="D793" t="s">
        <v>144</v>
      </c>
      <c r="E793" t="s">
        <v>225</v>
      </c>
      <c r="F793" t="s">
        <v>305</v>
      </c>
      <c r="G793" s="1" t="s">
        <v>3</v>
      </c>
      <c r="H793" s="1">
        <v>553450</v>
      </c>
      <c r="I793" t="s">
        <v>467</v>
      </c>
      <c r="J793" s="110">
        <v>40265019</v>
      </c>
      <c r="K793" s="4">
        <v>95781944</v>
      </c>
      <c r="L793" s="4">
        <v>67.75</v>
      </c>
      <c r="M793" s="4">
        <v>12</v>
      </c>
      <c r="N793">
        <v>1.42</v>
      </c>
    </row>
    <row r="794" spans="2:14" x14ac:dyDescent="0.2">
      <c r="B794" s="696">
        <v>42610.087361111109</v>
      </c>
      <c r="C794" s="1" t="s">
        <v>408</v>
      </c>
      <c r="D794" t="s">
        <v>144</v>
      </c>
      <c r="E794" t="s">
        <v>225</v>
      </c>
      <c r="F794" t="s">
        <v>305</v>
      </c>
      <c r="G794" s="1" t="s">
        <v>3</v>
      </c>
      <c r="H794" s="1">
        <v>553759</v>
      </c>
      <c r="I794" t="s">
        <v>467</v>
      </c>
      <c r="J794" s="110">
        <v>350763</v>
      </c>
      <c r="K794" s="4" t="s">
        <v>749</v>
      </c>
      <c r="L794" s="4">
        <v>20</v>
      </c>
      <c r="M794" s="4">
        <v>12</v>
      </c>
      <c r="N794">
        <v>0.9</v>
      </c>
    </row>
    <row r="795" spans="2:14" x14ac:dyDescent="0.2">
      <c r="B795" s="696">
        <v>42610.094594907408</v>
      </c>
      <c r="C795" s="1" t="s">
        <v>624</v>
      </c>
      <c r="D795" t="s">
        <v>144</v>
      </c>
      <c r="E795" t="s">
        <v>225</v>
      </c>
      <c r="F795" t="s">
        <v>305</v>
      </c>
      <c r="G795" s="1" t="s">
        <v>3</v>
      </c>
      <c r="H795" s="1">
        <v>553408</v>
      </c>
      <c r="I795" t="s">
        <v>467</v>
      </c>
      <c r="J795" s="110">
        <v>6</v>
      </c>
      <c r="K795" s="4" t="s">
        <v>504</v>
      </c>
      <c r="L795" s="4">
        <v>23.12</v>
      </c>
      <c r="M795" s="4">
        <v>12.1</v>
      </c>
      <c r="N795">
        <v>1</v>
      </c>
    </row>
    <row r="796" spans="2:14" x14ac:dyDescent="0.2">
      <c r="B796" s="696">
        <v>42610.101493055554</v>
      </c>
      <c r="C796" s="1" t="s">
        <v>408</v>
      </c>
      <c r="D796" t="s">
        <v>144</v>
      </c>
      <c r="E796" t="s">
        <v>225</v>
      </c>
      <c r="F796" t="s">
        <v>305</v>
      </c>
      <c r="G796" s="1" t="s">
        <v>3</v>
      </c>
      <c r="H796" s="1">
        <v>553759</v>
      </c>
      <c r="I796" t="s">
        <v>467</v>
      </c>
      <c r="J796" s="110">
        <v>350772</v>
      </c>
      <c r="K796" s="4" t="s">
        <v>733</v>
      </c>
      <c r="L796" s="4">
        <v>24.86</v>
      </c>
      <c r="M796" s="4">
        <v>12</v>
      </c>
      <c r="N796">
        <v>1.26</v>
      </c>
    </row>
    <row r="797" spans="2:14" x14ac:dyDescent="0.2">
      <c r="B797" s="696">
        <v>42610.507291666669</v>
      </c>
      <c r="C797" s="1" t="s">
        <v>730</v>
      </c>
      <c r="E797" t="s">
        <v>225</v>
      </c>
      <c r="F797" t="s">
        <v>305</v>
      </c>
      <c r="G797" s="1" t="s">
        <v>3</v>
      </c>
      <c r="H797" s="110">
        <v>552825</v>
      </c>
      <c r="I797" s="4" t="s">
        <v>467</v>
      </c>
      <c r="J797" s="110">
        <v>34919530</v>
      </c>
      <c r="K797" s="4">
        <v>95447819</v>
      </c>
      <c r="L797" s="4">
        <v>69.150000000000006</v>
      </c>
      <c r="M797" s="4">
        <v>13.1</v>
      </c>
      <c r="N797">
        <v>2</v>
      </c>
    </row>
    <row r="798" spans="2:14" x14ac:dyDescent="0.2">
      <c r="B798" s="696">
        <v>42610.507881944446</v>
      </c>
      <c r="C798" s="1" t="s">
        <v>730</v>
      </c>
      <c r="E798" t="s">
        <v>225</v>
      </c>
      <c r="F798" t="s">
        <v>305</v>
      </c>
      <c r="G798" s="1" t="s">
        <v>3</v>
      </c>
      <c r="H798" s="110">
        <v>552825</v>
      </c>
      <c r="I798" s="4" t="s">
        <v>467</v>
      </c>
      <c r="J798" s="110">
        <v>34919530</v>
      </c>
      <c r="K798" s="4">
        <v>95758264</v>
      </c>
      <c r="L798" s="4">
        <v>69.650000000000006</v>
      </c>
      <c r="M798" s="4">
        <v>14</v>
      </c>
      <c r="N798">
        <v>2</v>
      </c>
    </row>
    <row r="799" spans="2:14" x14ac:dyDescent="0.2">
      <c r="B799" s="696">
        <v>42610.508402777778</v>
      </c>
      <c r="C799" s="1" t="s">
        <v>730</v>
      </c>
      <c r="E799" t="s">
        <v>225</v>
      </c>
      <c r="F799" t="s">
        <v>305</v>
      </c>
      <c r="G799" s="1" t="s">
        <v>3</v>
      </c>
      <c r="H799" s="110">
        <v>552825</v>
      </c>
      <c r="I799" s="4" t="s">
        <v>467</v>
      </c>
      <c r="J799" s="110">
        <v>34919530</v>
      </c>
      <c r="K799" s="4">
        <v>95525564</v>
      </c>
      <c r="L799" s="4">
        <v>69.3</v>
      </c>
      <c r="M799" s="4">
        <v>13.9</v>
      </c>
      <c r="N799">
        <v>1.98</v>
      </c>
    </row>
    <row r="800" spans="2:14" x14ac:dyDescent="0.2">
      <c r="B800" s="696">
        <v>42610.601493055554</v>
      </c>
      <c r="C800" s="1" t="s">
        <v>408</v>
      </c>
      <c r="D800" t="s">
        <v>144</v>
      </c>
      <c r="E800" t="s">
        <v>225</v>
      </c>
      <c r="F800" t="s">
        <v>305</v>
      </c>
      <c r="G800" s="1" t="s">
        <v>3</v>
      </c>
      <c r="H800" s="1">
        <v>553759</v>
      </c>
      <c r="I800" t="s">
        <v>467</v>
      </c>
      <c r="J800" s="110">
        <v>350771</v>
      </c>
      <c r="K800" s="4" t="s">
        <v>750</v>
      </c>
      <c r="L800" s="4">
        <v>23.18</v>
      </c>
      <c r="M800" s="4">
        <v>12.1</v>
      </c>
      <c r="N800">
        <v>1.38</v>
      </c>
    </row>
    <row r="801" spans="2:14" x14ac:dyDescent="0.2">
      <c r="B801" s="696">
        <v>42610.606817129628</v>
      </c>
      <c r="C801" s="1" t="s">
        <v>408</v>
      </c>
      <c r="D801" t="s">
        <v>144</v>
      </c>
      <c r="E801" t="s">
        <v>225</v>
      </c>
      <c r="F801" t="s">
        <v>305</v>
      </c>
      <c r="G801" s="1" t="s">
        <v>3</v>
      </c>
      <c r="H801" s="1">
        <v>553759</v>
      </c>
      <c r="I801" t="s">
        <v>467</v>
      </c>
      <c r="J801" s="110">
        <v>358705</v>
      </c>
      <c r="K801" s="4" t="s">
        <v>751</v>
      </c>
      <c r="L801" s="4">
        <v>25.76</v>
      </c>
      <c r="M801" s="4">
        <v>11.6</v>
      </c>
      <c r="N801">
        <v>0.92</v>
      </c>
    </row>
    <row r="802" spans="2:14" x14ac:dyDescent="0.2">
      <c r="B802" s="696">
        <v>42610.612222222226</v>
      </c>
      <c r="C802" s="1" t="s">
        <v>408</v>
      </c>
      <c r="D802" t="s">
        <v>144</v>
      </c>
      <c r="E802" t="s">
        <v>225</v>
      </c>
      <c r="F802" t="s">
        <v>305</v>
      </c>
      <c r="G802" s="1" t="s">
        <v>3</v>
      </c>
      <c r="H802" s="1">
        <v>553759</v>
      </c>
      <c r="I802" t="s">
        <v>467</v>
      </c>
      <c r="J802" s="110">
        <v>358706</v>
      </c>
      <c r="K802" s="4" t="s">
        <v>752</v>
      </c>
      <c r="L802" s="4">
        <v>25.92</v>
      </c>
      <c r="M802" s="4">
        <v>11.5</v>
      </c>
      <c r="N802">
        <v>1.08</v>
      </c>
    </row>
    <row r="803" spans="2:14" x14ac:dyDescent="0.2">
      <c r="B803" s="696">
        <v>42610.619837962964</v>
      </c>
      <c r="C803" s="1" t="s">
        <v>624</v>
      </c>
      <c r="D803" t="s">
        <v>144</v>
      </c>
      <c r="E803" t="s">
        <v>225</v>
      </c>
      <c r="F803" t="s">
        <v>305</v>
      </c>
      <c r="G803" s="1" t="s">
        <v>3</v>
      </c>
      <c r="H803" s="1">
        <v>553408</v>
      </c>
      <c r="I803" t="s">
        <v>467</v>
      </c>
      <c r="J803" s="110">
        <v>8</v>
      </c>
      <c r="K803" s="4" t="s">
        <v>502</v>
      </c>
      <c r="L803" s="4">
        <v>23.34</v>
      </c>
      <c r="M803" s="4">
        <v>12.5</v>
      </c>
      <c r="N803">
        <v>0.88</v>
      </c>
    </row>
    <row r="804" spans="2:14" x14ac:dyDescent="0.2">
      <c r="B804" s="696">
        <v>42610.627233796295</v>
      </c>
      <c r="C804" s="1" t="s">
        <v>624</v>
      </c>
      <c r="D804" t="s">
        <v>144</v>
      </c>
      <c r="E804" t="s">
        <v>225</v>
      </c>
      <c r="F804" t="s">
        <v>305</v>
      </c>
      <c r="G804" s="1" t="s">
        <v>3</v>
      </c>
      <c r="H804" s="1">
        <v>553408</v>
      </c>
      <c r="I804" t="s">
        <v>467</v>
      </c>
      <c r="J804" s="110">
        <v>9</v>
      </c>
      <c r="K804" s="4" t="s">
        <v>590</v>
      </c>
      <c r="L804" s="4">
        <v>21.34</v>
      </c>
      <c r="M804" s="4">
        <v>12.4</v>
      </c>
      <c r="N804">
        <v>0.88</v>
      </c>
    </row>
    <row r="805" spans="2:14" x14ac:dyDescent="0.2">
      <c r="B805" s="696">
        <v>42610.635011574072</v>
      </c>
      <c r="C805" s="1" t="s">
        <v>624</v>
      </c>
      <c r="D805" t="s">
        <v>144</v>
      </c>
      <c r="E805" t="s">
        <v>225</v>
      </c>
      <c r="F805" t="s">
        <v>305</v>
      </c>
      <c r="G805" s="1" t="s">
        <v>3</v>
      </c>
      <c r="H805" s="1">
        <v>553408</v>
      </c>
      <c r="I805" t="s">
        <v>467</v>
      </c>
      <c r="J805" s="110">
        <v>7</v>
      </c>
      <c r="K805" s="4" t="s">
        <v>506</v>
      </c>
      <c r="L805" s="4">
        <v>22.86</v>
      </c>
      <c r="M805" s="4">
        <v>12</v>
      </c>
      <c r="N805">
        <v>1.2</v>
      </c>
    </row>
    <row r="806" spans="2:14" x14ac:dyDescent="0.2">
      <c r="B806" s="696">
        <v>42610.663923611108</v>
      </c>
      <c r="C806" s="1" t="s">
        <v>730</v>
      </c>
      <c r="E806" t="s">
        <v>225</v>
      </c>
      <c r="F806" t="s">
        <v>305</v>
      </c>
      <c r="G806" s="1" t="s">
        <v>3</v>
      </c>
      <c r="H806" s="110">
        <v>552825</v>
      </c>
      <c r="I806" s="4" t="s">
        <v>467</v>
      </c>
      <c r="J806" s="110">
        <v>34926592</v>
      </c>
      <c r="K806" s="4">
        <v>95390415</v>
      </c>
      <c r="L806" s="4">
        <v>68.349999999999994</v>
      </c>
      <c r="M806" s="4">
        <v>12.9</v>
      </c>
      <c r="N806">
        <v>2</v>
      </c>
    </row>
    <row r="807" spans="2:14" x14ac:dyDescent="0.2">
      <c r="B807" s="696">
        <v>42610.664513888885</v>
      </c>
      <c r="C807" s="1" t="s">
        <v>730</v>
      </c>
      <c r="E807" t="s">
        <v>225</v>
      </c>
      <c r="F807" t="s">
        <v>305</v>
      </c>
      <c r="G807" s="1" t="s">
        <v>3</v>
      </c>
      <c r="H807" s="110">
        <v>552825</v>
      </c>
      <c r="I807" s="4" t="s">
        <v>467</v>
      </c>
      <c r="J807" s="110">
        <v>34926592</v>
      </c>
      <c r="K807" s="4">
        <v>95800413</v>
      </c>
      <c r="L807" s="4">
        <v>68.3</v>
      </c>
      <c r="M807" s="4">
        <v>12.6</v>
      </c>
      <c r="N807">
        <v>2</v>
      </c>
    </row>
    <row r="808" spans="2:14" x14ac:dyDescent="0.2">
      <c r="B808" s="696">
        <v>42610.664953703701</v>
      </c>
      <c r="C808" s="1" t="s">
        <v>730</v>
      </c>
      <c r="E808" t="s">
        <v>225</v>
      </c>
      <c r="F808" t="s">
        <v>305</v>
      </c>
      <c r="G808" s="1" t="s">
        <v>3</v>
      </c>
      <c r="H808" s="110">
        <v>552825</v>
      </c>
      <c r="I808" s="4" t="s">
        <v>467</v>
      </c>
      <c r="J808" s="110">
        <v>34926592</v>
      </c>
      <c r="K808" s="4">
        <v>95517066</v>
      </c>
      <c r="L808" s="4">
        <v>68.349999999999994</v>
      </c>
      <c r="M808" s="4">
        <v>12.9</v>
      </c>
      <c r="N808">
        <v>1.94</v>
      </c>
    </row>
    <row r="809" spans="2:14" x14ac:dyDescent="0.2">
      <c r="B809" s="696">
        <v>42610.665393518517</v>
      </c>
      <c r="C809" s="1" t="s">
        <v>730</v>
      </c>
      <c r="E809" t="s">
        <v>225</v>
      </c>
      <c r="F809" t="s">
        <v>305</v>
      </c>
      <c r="G809" s="1" t="s">
        <v>3</v>
      </c>
      <c r="H809" s="110">
        <v>552825</v>
      </c>
      <c r="I809" s="4" t="s">
        <v>467</v>
      </c>
      <c r="J809" s="110">
        <v>34926592</v>
      </c>
      <c r="K809" s="4">
        <v>95449443</v>
      </c>
      <c r="L809" s="4">
        <v>68.2</v>
      </c>
      <c r="M809" s="4">
        <v>12</v>
      </c>
      <c r="N809">
        <v>2</v>
      </c>
    </row>
    <row r="810" spans="2:14" x14ac:dyDescent="0.2">
      <c r="B810" s="696">
        <v>42611.155960648146</v>
      </c>
      <c r="C810" s="1" t="s">
        <v>495</v>
      </c>
      <c r="D810" t="s">
        <v>144</v>
      </c>
      <c r="E810" t="s">
        <v>225</v>
      </c>
      <c r="F810" t="s">
        <v>305</v>
      </c>
      <c r="G810" s="1" t="s">
        <v>3</v>
      </c>
      <c r="H810" s="1">
        <v>552936</v>
      </c>
      <c r="I810" t="s">
        <v>467</v>
      </c>
      <c r="J810" s="110">
        <v>50472927</v>
      </c>
      <c r="K810" s="4">
        <v>95801759</v>
      </c>
      <c r="L810" s="4">
        <v>68.650000000000006</v>
      </c>
      <c r="M810" s="4">
        <v>11.4</v>
      </c>
      <c r="N810">
        <v>1.8</v>
      </c>
    </row>
    <row r="811" spans="2:14" x14ac:dyDescent="0.2">
      <c r="B811" s="696">
        <v>42611.156493055554</v>
      </c>
      <c r="C811" s="1" t="s">
        <v>495</v>
      </c>
      <c r="D811" t="s">
        <v>144</v>
      </c>
      <c r="E811" t="s">
        <v>225</v>
      </c>
      <c r="F811" t="s">
        <v>305</v>
      </c>
      <c r="G811" s="1" t="s">
        <v>3</v>
      </c>
      <c r="H811" s="1">
        <v>552936</v>
      </c>
      <c r="I811" t="s">
        <v>467</v>
      </c>
      <c r="J811" s="110">
        <v>50472927</v>
      </c>
      <c r="K811" s="4">
        <v>95756656</v>
      </c>
      <c r="L811" s="4">
        <v>69.2</v>
      </c>
      <c r="M811" s="4">
        <v>12.2</v>
      </c>
      <c r="N811">
        <v>1.6</v>
      </c>
    </row>
    <row r="812" spans="2:14" x14ac:dyDescent="0.2">
      <c r="B812" s="696">
        <v>42608.432557870372</v>
      </c>
      <c r="C812" s="1" t="s">
        <v>641</v>
      </c>
      <c r="D812" t="s">
        <v>144</v>
      </c>
      <c r="E812" t="s">
        <v>225</v>
      </c>
      <c r="F812" t="s">
        <v>305</v>
      </c>
      <c r="G812" s="1" t="s">
        <v>3</v>
      </c>
      <c r="H812" s="1">
        <v>551439</v>
      </c>
      <c r="I812" t="s">
        <v>292</v>
      </c>
      <c r="J812" s="110">
        <v>43970920</v>
      </c>
      <c r="K812" s="4">
        <v>95795829</v>
      </c>
      <c r="L812" s="4">
        <v>58.8</v>
      </c>
      <c r="M812" s="4">
        <v>13.4</v>
      </c>
      <c r="N812">
        <v>2</v>
      </c>
    </row>
    <row r="813" spans="2:14" x14ac:dyDescent="0.2">
      <c r="B813" s="696">
        <v>42608.433518518519</v>
      </c>
      <c r="C813" s="1" t="s">
        <v>641</v>
      </c>
      <c r="D813" t="s">
        <v>144</v>
      </c>
      <c r="E813" t="s">
        <v>225</v>
      </c>
      <c r="F813" t="s">
        <v>305</v>
      </c>
      <c r="G813" s="1" t="s">
        <v>3</v>
      </c>
      <c r="H813" s="1">
        <v>551439</v>
      </c>
      <c r="I813" t="s">
        <v>292</v>
      </c>
      <c r="J813" s="110">
        <v>43970920</v>
      </c>
      <c r="K813" s="4">
        <v>95697561</v>
      </c>
      <c r="L813" s="4">
        <v>57.75</v>
      </c>
      <c r="M813" s="4">
        <v>13.2</v>
      </c>
      <c r="N813">
        <v>2</v>
      </c>
    </row>
    <row r="814" spans="2:14" x14ac:dyDescent="0.2">
      <c r="B814" s="696">
        <v>42608.434120370373</v>
      </c>
      <c r="C814" s="1" t="s">
        <v>641</v>
      </c>
      <c r="D814" t="s">
        <v>144</v>
      </c>
      <c r="E814" t="s">
        <v>225</v>
      </c>
      <c r="F814" t="s">
        <v>305</v>
      </c>
      <c r="G814" s="1" t="s">
        <v>3</v>
      </c>
      <c r="H814" s="1">
        <v>551439</v>
      </c>
      <c r="I814" t="s">
        <v>292</v>
      </c>
      <c r="J814" s="110">
        <v>43970920</v>
      </c>
      <c r="K814" s="4">
        <v>95831111</v>
      </c>
      <c r="L814" s="4">
        <v>57.2</v>
      </c>
      <c r="M814" s="4">
        <v>13.4</v>
      </c>
      <c r="N814">
        <v>1.9</v>
      </c>
    </row>
    <row r="815" spans="2:14" x14ac:dyDescent="0.2">
      <c r="B815" s="696">
        <v>42608.434756944444</v>
      </c>
      <c r="C815" s="1" t="s">
        <v>641</v>
      </c>
      <c r="D815" t="s">
        <v>144</v>
      </c>
      <c r="E815" t="s">
        <v>225</v>
      </c>
      <c r="F815" t="s">
        <v>305</v>
      </c>
      <c r="G815" s="1" t="s">
        <v>3</v>
      </c>
      <c r="H815" s="1">
        <v>551439</v>
      </c>
      <c r="I815" t="s">
        <v>292</v>
      </c>
      <c r="J815" s="110">
        <v>43970920</v>
      </c>
      <c r="K815" s="4">
        <v>95828802</v>
      </c>
      <c r="L815" s="4">
        <v>57.5</v>
      </c>
      <c r="M815" s="4">
        <v>13.3</v>
      </c>
      <c r="N815">
        <v>2</v>
      </c>
    </row>
    <row r="816" spans="2:14" x14ac:dyDescent="0.2">
      <c r="B816" s="696">
        <v>42608.438356481478</v>
      </c>
      <c r="C816" s="1" t="s">
        <v>641</v>
      </c>
      <c r="D816" t="s">
        <v>144</v>
      </c>
      <c r="E816" t="s">
        <v>225</v>
      </c>
      <c r="F816" t="s">
        <v>305</v>
      </c>
      <c r="G816" s="1" t="s">
        <v>3</v>
      </c>
      <c r="H816" s="1">
        <v>551439</v>
      </c>
      <c r="I816" t="s">
        <v>292</v>
      </c>
      <c r="J816" s="110">
        <v>43970920</v>
      </c>
      <c r="K816" s="4">
        <v>95541652</v>
      </c>
      <c r="L816" s="4">
        <v>60.1</v>
      </c>
      <c r="M816" s="4">
        <v>13.3</v>
      </c>
      <c r="N816">
        <v>1.9</v>
      </c>
    </row>
    <row r="817" spans="2:14" x14ac:dyDescent="0.2">
      <c r="B817" s="696">
        <v>42608.439016203702</v>
      </c>
      <c r="C817" s="1" t="s">
        <v>641</v>
      </c>
      <c r="D817" t="s">
        <v>144</v>
      </c>
      <c r="E817" t="s">
        <v>225</v>
      </c>
      <c r="F817" t="s">
        <v>305</v>
      </c>
      <c r="G817" s="1" t="s">
        <v>3</v>
      </c>
      <c r="H817" s="1">
        <v>551439</v>
      </c>
      <c r="I817" t="s">
        <v>292</v>
      </c>
      <c r="J817" s="110">
        <v>43970920</v>
      </c>
      <c r="K817" s="4">
        <v>95371324</v>
      </c>
      <c r="L817" s="4">
        <v>56.45</v>
      </c>
      <c r="M817" s="4">
        <v>13.3</v>
      </c>
      <c r="N817">
        <v>2</v>
      </c>
    </row>
    <row r="818" spans="2:14" x14ac:dyDescent="0.2">
      <c r="B818" s="696">
        <v>42608.44</v>
      </c>
      <c r="C818" s="1" t="s">
        <v>641</v>
      </c>
      <c r="D818" t="s">
        <v>144</v>
      </c>
      <c r="E818" t="s">
        <v>225</v>
      </c>
      <c r="F818" t="s">
        <v>305</v>
      </c>
      <c r="G818" s="1" t="s">
        <v>3</v>
      </c>
      <c r="H818" s="1">
        <v>551439</v>
      </c>
      <c r="I818" t="s">
        <v>292</v>
      </c>
      <c r="J818" s="110">
        <v>43970920</v>
      </c>
      <c r="K818" s="4">
        <v>95680914</v>
      </c>
      <c r="L818" s="4">
        <v>61.65</v>
      </c>
      <c r="M818" s="4">
        <v>13.4</v>
      </c>
      <c r="N818">
        <v>2</v>
      </c>
    </row>
    <row r="819" spans="2:14" x14ac:dyDescent="0.2">
      <c r="B819" s="696">
        <v>42608.530729166669</v>
      </c>
      <c r="C819" s="1" t="s">
        <v>641</v>
      </c>
      <c r="D819" t="s">
        <v>144</v>
      </c>
      <c r="E819" t="s">
        <v>225</v>
      </c>
      <c r="F819" t="s">
        <v>305</v>
      </c>
      <c r="G819" s="1" t="s">
        <v>3</v>
      </c>
      <c r="H819" s="1">
        <v>551439</v>
      </c>
      <c r="I819" t="s">
        <v>292</v>
      </c>
      <c r="J819" s="110">
        <v>43970920</v>
      </c>
      <c r="K819" s="4">
        <v>95337572</v>
      </c>
      <c r="L819" s="4">
        <v>61</v>
      </c>
      <c r="M819" s="4">
        <v>13.3</v>
      </c>
      <c r="N819">
        <v>1.98</v>
      </c>
    </row>
    <row r="820" spans="2:14" x14ac:dyDescent="0.2">
      <c r="B820" s="696">
        <v>42608.531666666669</v>
      </c>
      <c r="C820" s="1" t="s">
        <v>641</v>
      </c>
      <c r="D820" t="s">
        <v>144</v>
      </c>
      <c r="E820" t="s">
        <v>225</v>
      </c>
      <c r="F820" t="s">
        <v>305</v>
      </c>
      <c r="G820" s="1" t="s">
        <v>3</v>
      </c>
      <c r="H820" s="1">
        <v>551439</v>
      </c>
      <c r="I820" t="s">
        <v>292</v>
      </c>
      <c r="J820" s="110">
        <v>43970920</v>
      </c>
      <c r="K820" s="4">
        <v>95452470</v>
      </c>
      <c r="L820" s="4">
        <v>60.75</v>
      </c>
      <c r="M820" s="4">
        <v>13.3</v>
      </c>
      <c r="N820">
        <v>2</v>
      </c>
    </row>
    <row r="821" spans="2:14" x14ac:dyDescent="0.2">
      <c r="B821" s="696">
        <v>42608.532488425924</v>
      </c>
      <c r="C821" s="1" t="s">
        <v>641</v>
      </c>
      <c r="D821" t="s">
        <v>144</v>
      </c>
      <c r="E821" t="s">
        <v>225</v>
      </c>
      <c r="F821" t="s">
        <v>305</v>
      </c>
      <c r="G821" s="1" t="s">
        <v>3</v>
      </c>
      <c r="H821" s="1">
        <v>551439</v>
      </c>
      <c r="I821" t="s">
        <v>292</v>
      </c>
      <c r="J821" s="110">
        <v>43970920</v>
      </c>
      <c r="K821" s="4">
        <v>95712931</v>
      </c>
      <c r="L821" s="4">
        <v>60.15</v>
      </c>
      <c r="M821" s="4">
        <v>13.3</v>
      </c>
      <c r="N821">
        <v>1.98</v>
      </c>
    </row>
    <row r="822" spans="2:14" x14ac:dyDescent="0.2">
      <c r="B822" s="696">
        <v>42608.533310185187</v>
      </c>
      <c r="C822" s="1" t="s">
        <v>641</v>
      </c>
      <c r="D822" t="s">
        <v>144</v>
      </c>
      <c r="E822" t="s">
        <v>225</v>
      </c>
      <c r="F822" t="s">
        <v>305</v>
      </c>
      <c r="G822" s="1" t="s">
        <v>3</v>
      </c>
      <c r="H822" s="1">
        <v>551439</v>
      </c>
      <c r="I822" t="s">
        <v>292</v>
      </c>
      <c r="J822" s="110">
        <v>43970920</v>
      </c>
      <c r="K822" s="4">
        <v>95614368</v>
      </c>
      <c r="L822" s="4">
        <v>56.95</v>
      </c>
      <c r="M822" s="4">
        <v>13.3</v>
      </c>
      <c r="N822">
        <v>2</v>
      </c>
    </row>
    <row r="823" spans="2:14" x14ac:dyDescent="0.2">
      <c r="B823" s="696">
        <v>42608.534039351849</v>
      </c>
      <c r="C823" s="1" t="s">
        <v>641</v>
      </c>
      <c r="D823" t="s">
        <v>144</v>
      </c>
      <c r="E823" t="s">
        <v>225</v>
      </c>
      <c r="F823" t="s">
        <v>305</v>
      </c>
      <c r="G823" s="1" t="s">
        <v>3</v>
      </c>
      <c r="H823" s="1">
        <v>551439</v>
      </c>
      <c r="I823" t="s">
        <v>292</v>
      </c>
      <c r="J823" s="110">
        <v>43970920</v>
      </c>
      <c r="K823" s="4">
        <v>95634903</v>
      </c>
      <c r="L823" s="4">
        <v>55.25</v>
      </c>
      <c r="M823" s="4">
        <v>13.3</v>
      </c>
      <c r="N823">
        <v>1.98</v>
      </c>
    </row>
    <row r="824" spans="2:14" x14ac:dyDescent="0.2">
      <c r="B824" s="696">
        <v>42608.728888888887</v>
      </c>
      <c r="C824" s="1" t="s">
        <v>641</v>
      </c>
      <c r="D824" t="s">
        <v>144</v>
      </c>
      <c r="E824" t="s">
        <v>225</v>
      </c>
      <c r="F824" t="s">
        <v>305</v>
      </c>
      <c r="G824" s="1" t="s">
        <v>3</v>
      </c>
      <c r="H824" s="1">
        <v>551439</v>
      </c>
      <c r="I824" t="s">
        <v>292</v>
      </c>
      <c r="J824" s="110">
        <v>43986827</v>
      </c>
      <c r="K824" s="4">
        <v>95696159</v>
      </c>
      <c r="L824" s="4">
        <v>57</v>
      </c>
      <c r="M824" s="4">
        <v>13.9</v>
      </c>
      <c r="N824">
        <v>2</v>
      </c>
    </row>
    <row r="825" spans="2:14" x14ac:dyDescent="0.2">
      <c r="B825" s="696">
        <v>42608.730370370373</v>
      </c>
      <c r="C825" s="1" t="s">
        <v>641</v>
      </c>
      <c r="D825" t="s">
        <v>144</v>
      </c>
      <c r="E825" t="s">
        <v>225</v>
      </c>
      <c r="F825" t="s">
        <v>305</v>
      </c>
      <c r="G825" s="1" t="s">
        <v>3</v>
      </c>
      <c r="H825" s="1">
        <v>551439</v>
      </c>
      <c r="I825" t="s">
        <v>292</v>
      </c>
      <c r="J825" s="110">
        <v>43986827</v>
      </c>
      <c r="K825" s="4">
        <v>95650685</v>
      </c>
      <c r="L825" s="4">
        <v>56.4</v>
      </c>
      <c r="M825" s="4">
        <v>13.3</v>
      </c>
      <c r="N825">
        <v>2</v>
      </c>
    </row>
    <row r="826" spans="2:14" x14ac:dyDescent="0.2">
      <c r="B826" s="696">
        <v>42608.730833333335</v>
      </c>
      <c r="C826" s="1" t="s">
        <v>641</v>
      </c>
      <c r="D826" t="s">
        <v>144</v>
      </c>
      <c r="E826" t="s">
        <v>225</v>
      </c>
      <c r="F826" t="s">
        <v>305</v>
      </c>
      <c r="G826" s="1" t="s">
        <v>3</v>
      </c>
      <c r="H826" s="1">
        <v>551439</v>
      </c>
      <c r="I826" t="s">
        <v>292</v>
      </c>
      <c r="J826" s="110">
        <v>43986827</v>
      </c>
      <c r="K826" s="4">
        <v>95451944</v>
      </c>
      <c r="L826" s="4">
        <v>56.8</v>
      </c>
      <c r="M826" s="4">
        <v>13.4</v>
      </c>
      <c r="N826">
        <v>2</v>
      </c>
    </row>
    <row r="827" spans="2:14" x14ac:dyDescent="0.2">
      <c r="B827" s="696">
        <v>42608.731307870374</v>
      </c>
      <c r="C827" s="1" t="s">
        <v>641</v>
      </c>
      <c r="D827" t="s">
        <v>144</v>
      </c>
      <c r="E827" t="s">
        <v>225</v>
      </c>
      <c r="F827" t="s">
        <v>305</v>
      </c>
      <c r="G827" s="1" t="s">
        <v>3</v>
      </c>
      <c r="H827" s="1">
        <v>551439</v>
      </c>
      <c r="I827" t="s">
        <v>292</v>
      </c>
      <c r="J827" s="110">
        <v>43986827</v>
      </c>
      <c r="K827" s="4">
        <v>95353751</v>
      </c>
      <c r="L827" s="4">
        <v>57.85</v>
      </c>
      <c r="M827" s="4">
        <v>13.4</v>
      </c>
      <c r="N827">
        <v>1.98</v>
      </c>
    </row>
    <row r="828" spans="2:14" x14ac:dyDescent="0.2">
      <c r="B828" s="696">
        <v>42608.731782407405</v>
      </c>
      <c r="C828" s="1" t="s">
        <v>641</v>
      </c>
      <c r="D828" t="s">
        <v>144</v>
      </c>
      <c r="E828" t="s">
        <v>225</v>
      </c>
      <c r="F828" t="s">
        <v>305</v>
      </c>
      <c r="G828" s="1" t="s">
        <v>3</v>
      </c>
      <c r="H828" s="1">
        <v>551439</v>
      </c>
      <c r="I828" t="s">
        <v>292</v>
      </c>
      <c r="J828" s="110">
        <v>43986827</v>
      </c>
      <c r="K828" s="4">
        <v>95529327</v>
      </c>
      <c r="L828" s="4">
        <v>59.3</v>
      </c>
      <c r="M828" s="4">
        <v>13.4</v>
      </c>
      <c r="N828">
        <v>1.98</v>
      </c>
    </row>
    <row r="829" spans="2:14" x14ac:dyDescent="0.2">
      <c r="B829" s="696">
        <v>42608.911747685182</v>
      </c>
      <c r="C829" s="1" t="s">
        <v>641</v>
      </c>
      <c r="D829" t="s">
        <v>144</v>
      </c>
      <c r="E829" t="s">
        <v>225</v>
      </c>
      <c r="F829" t="s">
        <v>305</v>
      </c>
      <c r="G829" s="1" t="s">
        <v>3</v>
      </c>
      <c r="H829" s="1">
        <v>551439</v>
      </c>
      <c r="I829" t="s">
        <v>292</v>
      </c>
      <c r="J829" s="110">
        <v>43986827</v>
      </c>
      <c r="K829" s="4">
        <v>95447926</v>
      </c>
      <c r="L829" s="4">
        <v>58</v>
      </c>
      <c r="M829" s="4">
        <v>13.9</v>
      </c>
      <c r="N829">
        <v>1.98</v>
      </c>
    </row>
    <row r="830" spans="2:14" x14ac:dyDescent="0.2">
      <c r="B830" s="696">
        <v>42608.912523148145</v>
      </c>
      <c r="C830" s="1" t="s">
        <v>641</v>
      </c>
      <c r="D830" t="s">
        <v>144</v>
      </c>
      <c r="E830" t="s">
        <v>225</v>
      </c>
      <c r="F830" t="s">
        <v>305</v>
      </c>
      <c r="G830" s="1" t="s">
        <v>3</v>
      </c>
      <c r="H830" s="1">
        <v>551439</v>
      </c>
      <c r="I830" t="s">
        <v>292</v>
      </c>
      <c r="J830" s="110">
        <v>43986827</v>
      </c>
      <c r="K830" s="4">
        <v>95795738</v>
      </c>
      <c r="L830" s="4">
        <v>60.05</v>
      </c>
      <c r="M830" s="4">
        <v>13.5</v>
      </c>
      <c r="N830">
        <v>2</v>
      </c>
    </row>
    <row r="831" spans="2:14" x14ac:dyDescent="0.2">
      <c r="B831" s="696">
        <v>42609.107245370367</v>
      </c>
      <c r="C831" s="1" t="s">
        <v>641</v>
      </c>
      <c r="D831" t="s">
        <v>144</v>
      </c>
      <c r="E831" t="s">
        <v>225</v>
      </c>
      <c r="F831" t="s">
        <v>305</v>
      </c>
      <c r="G831" s="1" t="s">
        <v>3</v>
      </c>
      <c r="H831" s="1">
        <v>551439</v>
      </c>
      <c r="I831" t="s">
        <v>292</v>
      </c>
      <c r="J831" s="110">
        <v>34880393</v>
      </c>
      <c r="K831" s="4">
        <v>95654240</v>
      </c>
      <c r="L831" s="4">
        <v>61.85</v>
      </c>
      <c r="M831" s="4">
        <v>13.8</v>
      </c>
      <c r="N831">
        <v>2</v>
      </c>
    </row>
    <row r="832" spans="2:14" x14ac:dyDescent="0.2">
      <c r="B832" s="696">
        <v>42609.107847222222</v>
      </c>
      <c r="C832" s="1" t="s">
        <v>641</v>
      </c>
      <c r="D832" t="s">
        <v>144</v>
      </c>
      <c r="E832" t="s">
        <v>225</v>
      </c>
      <c r="F832" t="s">
        <v>305</v>
      </c>
      <c r="G832" s="1" t="s">
        <v>3</v>
      </c>
      <c r="H832" s="1">
        <v>551439</v>
      </c>
      <c r="I832" t="s">
        <v>292</v>
      </c>
      <c r="J832" s="110">
        <v>34880393</v>
      </c>
      <c r="K832" s="4">
        <v>95140018</v>
      </c>
      <c r="L832" s="4">
        <v>58.85</v>
      </c>
      <c r="M832" s="4">
        <v>13</v>
      </c>
      <c r="N832">
        <v>2</v>
      </c>
    </row>
    <row r="833" spans="2:14" x14ac:dyDescent="0.2">
      <c r="B833" s="696">
        <v>42609.677060185182</v>
      </c>
      <c r="C833" s="1" t="s">
        <v>464</v>
      </c>
      <c r="D833" t="s">
        <v>144</v>
      </c>
      <c r="E833" t="s">
        <v>225</v>
      </c>
      <c r="F833" t="s">
        <v>305</v>
      </c>
      <c r="G833" s="1" t="s">
        <v>3</v>
      </c>
      <c r="H833" s="1">
        <v>553731</v>
      </c>
      <c r="I833" t="s">
        <v>292</v>
      </c>
      <c r="J833" s="110">
        <v>216</v>
      </c>
      <c r="K833" s="4" t="s">
        <v>654</v>
      </c>
      <c r="L833" s="4">
        <v>25.12</v>
      </c>
      <c r="M833" s="4">
        <v>10.7</v>
      </c>
      <c r="N833">
        <v>0.84</v>
      </c>
    </row>
    <row r="834" spans="2:14" x14ac:dyDescent="0.2">
      <c r="B834" s="696">
        <v>42609.684305555558</v>
      </c>
      <c r="C834" s="1" t="s">
        <v>464</v>
      </c>
      <c r="D834" t="s">
        <v>144</v>
      </c>
      <c r="E834" t="s">
        <v>225</v>
      </c>
      <c r="F834" t="s">
        <v>305</v>
      </c>
      <c r="G834" s="1" t="s">
        <v>3</v>
      </c>
      <c r="H834" s="1">
        <v>553731</v>
      </c>
      <c r="I834" t="s">
        <v>292</v>
      </c>
      <c r="J834" s="110">
        <v>214</v>
      </c>
      <c r="K834" s="4" t="s">
        <v>530</v>
      </c>
      <c r="L834" s="4">
        <v>25.74</v>
      </c>
      <c r="M834" s="4">
        <v>10.5</v>
      </c>
      <c r="N834">
        <v>0.92</v>
      </c>
    </row>
    <row r="835" spans="2:14" x14ac:dyDescent="0.2">
      <c r="B835" s="696">
        <v>42609.705034722225</v>
      </c>
      <c r="C835" s="1" t="s">
        <v>641</v>
      </c>
      <c r="D835" t="s">
        <v>144</v>
      </c>
      <c r="E835" t="s">
        <v>225</v>
      </c>
      <c r="F835" t="s">
        <v>305</v>
      </c>
      <c r="G835" s="1" t="s">
        <v>3</v>
      </c>
      <c r="H835" s="1">
        <v>551439</v>
      </c>
      <c r="I835" t="s">
        <v>292</v>
      </c>
      <c r="J835" s="110">
        <v>43999879</v>
      </c>
      <c r="K835" s="4">
        <v>95450334</v>
      </c>
      <c r="L835" s="4">
        <v>60.85</v>
      </c>
      <c r="M835" s="4">
        <v>13.5</v>
      </c>
      <c r="N835">
        <v>2</v>
      </c>
    </row>
    <row r="836" spans="2:14" x14ac:dyDescent="0.2">
      <c r="B836" s="696">
        <v>42609.706053240741</v>
      </c>
      <c r="C836" s="1" t="s">
        <v>641</v>
      </c>
      <c r="D836" t="s">
        <v>144</v>
      </c>
      <c r="E836" t="s">
        <v>225</v>
      </c>
      <c r="F836" t="s">
        <v>305</v>
      </c>
      <c r="G836" s="1" t="s">
        <v>3</v>
      </c>
      <c r="H836" s="1">
        <v>551439</v>
      </c>
      <c r="I836" t="s">
        <v>292</v>
      </c>
      <c r="J836" s="110">
        <v>43999879</v>
      </c>
      <c r="K836" s="4">
        <v>95532941</v>
      </c>
      <c r="L836" s="4">
        <v>60.35</v>
      </c>
      <c r="M836" s="4">
        <v>13.6</v>
      </c>
      <c r="N836">
        <v>2</v>
      </c>
    </row>
    <row r="837" spans="2:14" x14ac:dyDescent="0.2">
      <c r="B837" s="696">
        <v>42609.706469907411</v>
      </c>
      <c r="C837" s="1" t="s">
        <v>641</v>
      </c>
      <c r="D837" t="s">
        <v>144</v>
      </c>
      <c r="E837" t="s">
        <v>225</v>
      </c>
      <c r="F837" t="s">
        <v>305</v>
      </c>
      <c r="G837" s="1" t="s">
        <v>3</v>
      </c>
      <c r="H837" s="1">
        <v>551439</v>
      </c>
      <c r="I837" t="s">
        <v>292</v>
      </c>
      <c r="J837" s="110">
        <v>43999879</v>
      </c>
      <c r="K837" s="4">
        <v>95628046</v>
      </c>
      <c r="L837" s="4">
        <v>59.65</v>
      </c>
      <c r="M837" s="4">
        <v>13.9</v>
      </c>
      <c r="N837">
        <v>2</v>
      </c>
    </row>
    <row r="838" spans="2:14" x14ac:dyDescent="0.2">
      <c r="B838" s="696">
        <v>42609.706944444442</v>
      </c>
      <c r="C838" s="1" t="s">
        <v>641</v>
      </c>
      <c r="D838" t="s">
        <v>144</v>
      </c>
      <c r="E838" t="s">
        <v>225</v>
      </c>
      <c r="F838" t="s">
        <v>305</v>
      </c>
      <c r="G838" s="1" t="s">
        <v>3</v>
      </c>
      <c r="H838" s="1">
        <v>551439</v>
      </c>
      <c r="I838" t="s">
        <v>292</v>
      </c>
      <c r="J838" s="110">
        <v>43999879</v>
      </c>
      <c r="K838" s="4">
        <v>95641916</v>
      </c>
      <c r="L838" s="4">
        <v>59.7</v>
      </c>
      <c r="M838" s="4">
        <v>13.3</v>
      </c>
      <c r="N838">
        <v>2</v>
      </c>
    </row>
    <row r="839" spans="2:14" x14ac:dyDescent="0.2">
      <c r="B839" s="696">
        <v>42609.707384259258</v>
      </c>
      <c r="C839" s="1" t="s">
        <v>641</v>
      </c>
      <c r="D839" t="s">
        <v>144</v>
      </c>
      <c r="E839" t="s">
        <v>225</v>
      </c>
      <c r="F839" t="s">
        <v>305</v>
      </c>
      <c r="G839" s="1" t="s">
        <v>3</v>
      </c>
      <c r="H839" s="1">
        <v>551439</v>
      </c>
      <c r="I839" t="s">
        <v>292</v>
      </c>
      <c r="J839" s="110">
        <v>43999879</v>
      </c>
      <c r="K839" s="4">
        <v>95681664</v>
      </c>
      <c r="L839" s="4">
        <v>58.55</v>
      </c>
      <c r="M839" s="4">
        <v>13.4</v>
      </c>
      <c r="N839">
        <v>2</v>
      </c>
    </row>
    <row r="840" spans="2:14" x14ac:dyDescent="0.2">
      <c r="B840" s="696">
        <v>42609.707905092589</v>
      </c>
      <c r="C840" s="1" t="s">
        <v>641</v>
      </c>
      <c r="D840" t="s">
        <v>144</v>
      </c>
      <c r="E840" t="s">
        <v>225</v>
      </c>
      <c r="F840" t="s">
        <v>305</v>
      </c>
      <c r="G840" s="1" t="s">
        <v>3</v>
      </c>
      <c r="H840" s="1">
        <v>551439</v>
      </c>
      <c r="I840" t="s">
        <v>292</v>
      </c>
      <c r="J840" s="110">
        <v>43999879</v>
      </c>
      <c r="K840" s="4">
        <v>95794202</v>
      </c>
      <c r="L840" s="4">
        <v>58.2</v>
      </c>
      <c r="M840" s="4">
        <v>13.4</v>
      </c>
      <c r="N840">
        <v>2</v>
      </c>
    </row>
    <row r="841" spans="2:14" x14ac:dyDescent="0.2">
      <c r="B841" s="696">
        <v>42609.730231481481</v>
      </c>
      <c r="C841" s="1" t="s">
        <v>464</v>
      </c>
      <c r="D841" t="s">
        <v>144</v>
      </c>
      <c r="E841" t="s">
        <v>225</v>
      </c>
      <c r="F841" t="s">
        <v>305</v>
      </c>
      <c r="G841" s="1" t="s">
        <v>3</v>
      </c>
      <c r="H841" s="1">
        <v>553731</v>
      </c>
      <c r="I841" t="s">
        <v>643</v>
      </c>
      <c r="J841" s="110">
        <v>215</v>
      </c>
      <c r="K841" s="4" t="s">
        <v>531</v>
      </c>
      <c r="L841" s="4">
        <v>24.04</v>
      </c>
      <c r="M841" s="4">
        <v>11.1</v>
      </c>
      <c r="N841">
        <v>0.98</v>
      </c>
    </row>
    <row r="842" spans="2:14" x14ac:dyDescent="0.2">
      <c r="B842" s="696">
        <v>42609.888912037037</v>
      </c>
      <c r="C842" s="1" t="s">
        <v>641</v>
      </c>
      <c r="D842" t="s">
        <v>144</v>
      </c>
      <c r="E842" t="s">
        <v>225</v>
      </c>
      <c r="F842" t="s">
        <v>305</v>
      </c>
      <c r="G842" s="1" t="s">
        <v>3</v>
      </c>
      <c r="H842" s="1">
        <v>551439</v>
      </c>
      <c r="I842" t="s">
        <v>292</v>
      </c>
      <c r="J842" s="110">
        <v>43999887</v>
      </c>
      <c r="K842" s="4">
        <v>95525937</v>
      </c>
      <c r="L842" s="4">
        <v>58.2</v>
      </c>
      <c r="M842" s="4">
        <v>13.9</v>
      </c>
      <c r="N842">
        <v>1.6</v>
      </c>
    </row>
    <row r="843" spans="2:14" x14ac:dyDescent="0.2">
      <c r="B843" s="696">
        <v>42609.889594907407</v>
      </c>
      <c r="C843" s="1" t="s">
        <v>641</v>
      </c>
      <c r="D843" t="s">
        <v>144</v>
      </c>
      <c r="E843" t="s">
        <v>225</v>
      </c>
      <c r="F843" t="s">
        <v>305</v>
      </c>
      <c r="G843" s="1" t="s">
        <v>3</v>
      </c>
      <c r="H843" s="1">
        <v>551439</v>
      </c>
      <c r="I843" t="s">
        <v>292</v>
      </c>
      <c r="J843" s="110">
        <v>43999887</v>
      </c>
      <c r="K843" s="4">
        <v>95538658</v>
      </c>
      <c r="L843" s="4">
        <v>56.4</v>
      </c>
      <c r="M843" s="4">
        <v>13.5</v>
      </c>
      <c r="N843">
        <v>1.32</v>
      </c>
    </row>
    <row r="844" spans="2:14" x14ac:dyDescent="0.2">
      <c r="B844" s="696">
        <v>42609.890347222223</v>
      </c>
      <c r="C844" s="1" t="s">
        <v>641</v>
      </c>
      <c r="D844" t="s">
        <v>144</v>
      </c>
      <c r="E844" t="s">
        <v>225</v>
      </c>
      <c r="F844" t="s">
        <v>305</v>
      </c>
      <c r="G844" s="1" t="s">
        <v>3</v>
      </c>
      <c r="H844" s="1">
        <v>551439</v>
      </c>
      <c r="I844" t="s">
        <v>292</v>
      </c>
      <c r="J844" s="110">
        <v>43999887</v>
      </c>
      <c r="K844" s="4">
        <v>95140075</v>
      </c>
      <c r="L844" s="4">
        <v>57.55</v>
      </c>
      <c r="M844" s="4">
        <v>13.7</v>
      </c>
      <c r="N844">
        <v>1.28</v>
      </c>
    </row>
    <row r="845" spans="2:14" x14ac:dyDescent="0.2">
      <c r="B845" s="696">
        <v>42609.890914351854</v>
      </c>
      <c r="C845" s="1" t="s">
        <v>641</v>
      </c>
      <c r="D845" t="s">
        <v>144</v>
      </c>
      <c r="E845" t="s">
        <v>225</v>
      </c>
      <c r="F845" t="s">
        <v>305</v>
      </c>
      <c r="G845" s="1" t="s">
        <v>3</v>
      </c>
      <c r="H845" s="1">
        <v>551439</v>
      </c>
      <c r="I845" t="s">
        <v>292</v>
      </c>
      <c r="J845" s="110">
        <v>43999887</v>
      </c>
      <c r="K845" s="4">
        <v>95651550</v>
      </c>
      <c r="L845" s="4">
        <v>62.25</v>
      </c>
      <c r="M845" s="4">
        <v>13.8</v>
      </c>
      <c r="N845">
        <v>1.34</v>
      </c>
    </row>
    <row r="846" spans="2:14" x14ac:dyDescent="0.2">
      <c r="B846" s="696">
        <v>42610.287476851852</v>
      </c>
      <c r="C846" s="1" t="s">
        <v>641</v>
      </c>
      <c r="D846" t="s">
        <v>144</v>
      </c>
      <c r="E846" t="s">
        <v>225</v>
      </c>
      <c r="F846" t="s">
        <v>305</v>
      </c>
      <c r="G846" s="1" t="s">
        <v>3</v>
      </c>
      <c r="H846" s="1">
        <v>551439</v>
      </c>
      <c r="I846" t="s">
        <v>292</v>
      </c>
      <c r="J846" s="110">
        <v>44007243</v>
      </c>
      <c r="K846" s="4">
        <v>95450029</v>
      </c>
      <c r="L846" s="4">
        <v>61.85</v>
      </c>
      <c r="M846" s="4">
        <v>13.5</v>
      </c>
      <c r="N846">
        <v>1.98</v>
      </c>
    </row>
    <row r="847" spans="2:14" x14ac:dyDescent="0.2">
      <c r="B847" s="696">
        <v>42610.288784722223</v>
      </c>
      <c r="C847" s="1" t="s">
        <v>641</v>
      </c>
      <c r="D847" t="s">
        <v>144</v>
      </c>
      <c r="E847" t="s">
        <v>225</v>
      </c>
      <c r="F847" t="s">
        <v>305</v>
      </c>
      <c r="G847" s="1" t="s">
        <v>3</v>
      </c>
      <c r="H847" s="1">
        <v>551439</v>
      </c>
      <c r="I847" t="s">
        <v>292</v>
      </c>
      <c r="J847" s="110">
        <v>44007243</v>
      </c>
      <c r="K847" s="4">
        <v>95649778</v>
      </c>
      <c r="L847" s="4">
        <v>61.35</v>
      </c>
      <c r="M847" s="4">
        <v>13.7</v>
      </c>
      <c r="N847">
        <v>1.98</v>
      </c>
    </row>
    <row r="848" spans="2:14" x14ac:dyDescent="0.2">
      <c r="B848" s="696">
        <v>42610.289259259262</v>
      </c>
      <c r="C848" s="1" t="s">
        <v>641</v>
      </c>
      <c r="D848" t="s">
        <v>144</v>
      </c>
      <c r="E848" t="s">
        <v>225</v>
      </c>
      <c r="F848" t="s">
        <v>305</v>
      </c>
      <c r="G848" s="1" t="s">
        <v>3</v>
      </c>
      <c r="H848" s="1">
        <v>551439</v>
      </c>
      <c r="I848" t="s">
        <v>292</v>
      </c>
      <c r="J848" s="110">
        <v>44007243</v>
      </c>
      <c r="K848" s="4">
        <v>95757571</v>
      </c>
      <c r="L848" s="4">
        <v>60.7</v>
      </c>
      <c r="M848" s="4">
        <v>13.9</v>
      </c>
      <c r="N848">
        <v>1.98</v>
      </c>
    </row>
    <row r="849" spans="2:14" x14ac:dyDescent="0.2">
      <c r="B849" s="696">
        <v>42610.290023148147</v>
      </c>
      <c r="C849" s="1" t="s">
        <v>641</v>
      </c>
      <c r="D849" t="s">
        <v>144</v>
      </c>
      <c r="E849" t="s">
        <v>225</v>
      </c>
      <c r="F849" t="s">
        <v>305</v>
      </c>
      <c r="G849" s="1" t="s">
        <v>3</v>
      </c>
      <c r="H849" s="1">
        <v>551439</v>
      </c>
      <c r="I849" t="s">
        <v>292</v>
      </c>
      <c r="J849" s="110">
        <v>44007243</v>
      </c>
      <c r="K849" s="4">
        <v>95370565</v>
      </c>
      <c r="L849" s="4">
        <v>59.55</v>
      </c>
      <c r="M849" s="4">
        <v>13.7</v>
      </c>
      <c r="N849">
        <v>1.98</v>
      </c>
    </row>
    <row r="850" spans="2:14" x14ac:dyDescent="0.2">
      <c r="B850" s="696">
        <v>42610.290486111109</v>
      </c>
      <c r="C850" s="1" t="s">
        <v>641</v>
      </c>
      <c r="D850" t="s">
        <v>144</v>
      </c>
      <c r="E850" t="s">
        <v>225</v>
      </c>
      <c r="F850" t="s">
        <v>305</v>
      </c>
      <c r="G850" s="1" t="s">
        <v>3</v>
      </c>
      <c r="H850" s="1">
        <v>551439</v>
      </c>
      <c r="I850" t="s">
        <v>292</v>
      </c>
      <c r="J850" s="110">
        <v>44003911</v>
      </c>
      <c r="K850" s="4">
        <v>95304143</v>
      </c>
      <c r="L850" s="4">
        <v>60.45</v>
      </c>
      <c r="M850" s="4">
        <v>13.4</v>
      </c>
      <c r="N850">
        <v>1.98</v>
      </c>
    </row>
    <row r="851" spans="2:14" x14ac:dyDescent="0.2">
      <c r="B851" s="696">
        <v>42610.290925925925</v>
      </c>
      <c r="C851" s="1" t="s">
        <v>641</v>
      </c>
      <c r="D851" t="s">
        <v>144</v>
      </c>
      <c r="E851" t="s">
        <v>225</v>
      </c>
      <c r="F851" t="s">
        <v>305</v>
      </c>
      <c r="G851" s="1" t="s">
        <v>3</v>
      </c>
      <c r="H851" s="1">
        <v>551439</v>
      </c>
      <c r="I851" t="s">
        <v>292</v>
      </c>
      <c r="J851" s="110">
        <v>44003911</v>
      </c>
      <c r="K851" s="4">
        <v>95328373</v>
      </c>
      <c r="L851" s="4">
        <v>60.65</v>
      </c>
      <c r="M851" s="4">
        <v>14</v>
      </c>
      <c r="N851">
        <v>1.98</v>
      </c>
    </row>
    <row r="852" spans="2:14" x14ac:dyDescent="0.2">
      <c r="B852" s="696">
        <v>42610.291493055556</v>
      </c>
      <c r="C852" s="1" t="s">
        <v>641</v>
      </c>
      <c r="D852" t="s">
        <v>144</v>
      </c>
      <c r="E852" t="s">
        <v>225</v>
      </c>
      <c r="F852" t="s">
        <v>305</v>
      </c>
      <c r="G852" s="1" t="s">
        <v>3</v>
      </c>
      <c r="H852" s="1">
        <v>551439</v>
      </c>
      <c r="I852" t="s">
        <v>292</v>
      </c>
      <c r="J852" s="110">
        <v>44003911</v>
      </c>
      <c r="K852" s="4">
        <v>95291613</v>
      </c>
      <c r="L852" s="4">
        <v>61</v>
      </c>
      <c r="M852" s="4">
        <v>13.8</v>
      </c>
      <c r="N852">
        <v>1.98</v>
      </c>
    </row>
    <row r="853" spans="2:14" x14ac:dyDescent="0.2">
      <c r="B853" s="696">
        <v>42610.292037037034</v>
      </c>
      <c r="C853" s="1" t="s">
        <v>641</v>
      </c>
      <c r="D853" t="s">
        <v>144</v>
      </c>
      <c r="E853" t="s">
        <v>225</v>
      </c>
      <c r="F853" t="s">
        <v>305</v>
      </c>
      <c r="G853" s="1" t="s">
        <v>3</v>
      </c>
      <c r="H853" s="1">
        <v>551439</v>
      </c>
      <c r="I853" t="s">
        <v>292</v>
      </c>
      <c r="J853" s="110">
        <v>44003911</v>
      </c>
      <c r="K853" s="4">
        <v>95822839</v>
      </c>
      <c r="L853" s="4">
        <v>59.6</v>
      </c>
      <c r="M853" s="4">
        <v>13.5</v>
      </c>
      <c r="N853">
        <v>1.98</v>
      </c>
    </row>
    <row r="854" spans="2:14" x14ac:dyDescent="0.2">
      <c r="B854" s="696">
        <v>42610.292442129627</v>
      </c>
      <c r="C854" s="1" t="s">
        <v>641</v>
      </c>
      <c r="D854" t="s">
        <v>144</v>
      </c>
      <c r="E854" t="s">
        <v>225</v>
      </c>
      <c r="F854" t="s">
        <v>305</v>
      </c>
      <c r="G854" s="1" t="s">
        <v>3</v>
      </c>
      <c r="H854" s="1">
        <v>551439</v>
      </c>
      <c r="I854" t="s">
        <v>292</v>
      </c>
      <c r="J854" s="110">
        <v>44003911</v>
      </c>
      <c r="K854" s="4">
        <v>95525614</v>
      </c>
      <c r="L854" s="4">
        <v>59.15</v>
      </c>
      <c r="M854" s="4">
        <v>13.9</v>
      </c>
      <c r="N854">
        <v>1.98</v>
      </c>
    </row>
    <row r="855" spans="2:14" x14ac:dyDescent="0.2">
      <c r="B855" s="696">
        <v>42610.292928240742</v>
      </c>
      <c r="C855" s="1" t="s">
        <v>641</v>
      </c>
      <c r="D855" t="s">
        <v>144</v>
      </c>
      <c r="E855" t="s">
        <v>225</v>
      </c>
      <c r="F855" t="s">
        <v>305</v>
      </c>
      <c r="G855" s="1" t="s">
        <v>3</v>
      </c>
      <c r="H855" s="1">
        <v>551439</v>
      </c>
      <c r="I855" t="s">
        <v>292</v>
      </c>
      <c r="J855" s="110">
        <v>44003911</v>
      </c>
      <c r="K855" s="4">
        <v>95800231</v>
      </c>
      <c r="L855" s="4">
        <v>58.9</v>
      </c>
      <c r="M855" s="4">
        <v>13.7</v>
      </c>
      <c r="N855">
        <v>1.98</v>
      </c>
    </row>
    <row r="856" spans="2:14" x14ac:dyDescent="0.2">
      <c r="B856" s="696">
        <v>42610.315462962964</v>
      </c>
      <c r="C856" s="1" t="s">
        <v>641</v>
      </c>
      <c r="D856" t="s">
        <v>144</v>
      </c>
      <c r="E856" t="s">
        <v>225</v>
      </c>
      <c r="F856" t="s">
        <v>305</v>
      </c>
      <c r="G856" s="1" t="s">
        <v>3</v>
      </c>
      <c r="H856" s="1">
        <v>551439</v>
      </c>
      <c r="I856" t="s">
        <v>292</v>
      </c>
      <c r="J856" s="110">
        <v>43999887</v>
      </c>
      <c r="K856" s="4">
        <v>95712949</v>
      </c>
      <c r="L856" s="4">
        <v>61.45</v>
      </c>
      <c r="M856" s="4">
        <v>13.5</v>
      </c>
      <c r="N856">
        <v>1.1000000000000001</v>
      </c>
    </row>
    <row r="857" spans="2:14" x14ac:dyDescent="0.2">
      <c r="B857" s="696">
        <v>42610.316111111111</v>
      </c>
      <c r="C857" s="1" t="s">
        <v>641</v>
      </c>
      <c r="D857" t="s">
        <v>144</v>
      </c>
      <c r="E857" t="s">
        <v>225</v>
      </c>
      <c r="F857" t="s">
        <v>305</v>
      </c>
      <c r="G857" s="1" t="s">
        <v>3</v>
      </c>
      <c r="H857" s="1">
        <v>551439</v>
      </c>
      <c r="I857" t="s">
        <v>292</v>
      </c>
      <c r="J857" s="110">
        <v>43999887</v>
      </c>
      <c r="K857" s="4">
        <v>95683256</v>
      </c>
      <c r="L857" s="4">
        <v>61.75</v>
      </c>
      <c r="M857" s="4">
        <v>13.5</v>
      </c>
      <c r="N857">
        <v>1.18</v>
      </c>
    </row>
    <row r="858" spans="2:14" x14ac:dyDescent="0.2">
      <c r="B858" s="696">
        <v>42610.488935185182</v>
      </c>
      <c r="C858" s="1" t="s">
        <v>408</v>
      </c>
      <c r="D858" t="s">
        <v>144</v>
      </c>
      <c r="E858" t="s">
        <v>225</v>
      </c>
      <c r="F858" t="s">
        <v>305</v>
      </c>
      <c r="G858" s="1" t="s">
        <v>3</v>
      </c>
      <c r="H858" s="1">
        <v>553894</v>
      </c>
      <c r="I858" t="s">
        <v>292</v>
      </c>
      <c r="J858" s="110">
        <v>354674</v>
      </c>
      <c r="K858" s="4" t="s">
        <v>554</v>
      </c>
      <c r="L858" s="4">
        <v>25.48</v>
      </c>
      <c r="M858" s="4">
        <v>13.5</v>
      </c>
      <c r="N858">
        <v>1.1399999999999999</v>
      </c>
    </row>
    <row r="859" spans="2:14" x14ac:dyDescent="0.2">
      <c r="B859" s="696">
        <v>42610.504976851851</v>
      </c>
      <c r="C859" s="1" t="s">
        <v>641</v>
      </c>
      <c r="D859" t="s">
        <v>144</v>
      </c>
      <c r="E859" t="s">
        <v>225</v>
      </c>
      <c r="F859" t="s">
        <v>305</v>
      </c>
      <c r="G859" s="1" t="s">
        <v>3</v>
      </c>
      <c r="H859" s="1">
        <v>551439</v>
      </c>
      <c r="I859" t="s">
        <v>292</v>
      </c>
      <c r="J859" s="110">
        <v>44007243</v>
      </c>
      <c r="K859" s="4">
        <v>95448940</v>
      </c>
      <c r="L859" s="4">
        <v>63.45</v>
      </c>
      <c r="M859" s="4">
        <v>13.4</v>
      </c>
      <c r="N859">
        <v>1.98</v>
      </c>
    </row>
    <row r="860" spans="2:14" x14ac:dyDescent="0.2">
      <c r="B860" s="696">
        <v>42610.65115740741</v>
      </c>
      <c r="C860" s="1" t="s">
        <v>464</v>
      </c>
      <c r="D860" t="s">
        <v>144</v>
      </c>
      <c r="E860" t="s">
        <v>225</v>
      </c>
      <c r="F860" t="s">
        <v>305</v>
      </c>
      <c r="G860" s="1" t="s">
        <v>3</v>
      </c>
      <c r="H860" s="1">
        <v>553731</v>
      </c>
      <c r="I860" t="s">
        <v>292</v>
      </c>
      <c r="J860" s="110">
        <v>217</v>
      </c>
      <c r="K860" s="4" t="s">
        <v>720</v>
      </c>
      <c r="L860" s="4">
        <v>25.72</v>
      </c>
      <c r="M860" s="4">
        <v>10.6</v>
      </c>
      <c r="N860">
        <v>0.98</v>
      </c>
    </row>
    <row r="861" spans="2:14" x14ac:dyDescent="0.2">
      <c r="B861" s="696">
        <v>42610.747199074074</v>
      </c>
      <c r="C861" s="1" t="s">
        <v>464</v>
      </c>
      <c r="D861" t="s">
        <v>144</v>
      </c>
      <c r="E861" t="s">
        <v>225</v>
      </c>
      <c r="F861" t="s">
        <v>305</v>
      </c>
      <c r="G861" s="1" t="s">
        <v>3</v>
      </c>
      <c r="H861" s="1">
        <v>553731</v>
      </c>
      <c r="I861" t="s">
        <v>643</v>
      </c>
      <c r="J861" s="110">
        <v>218</v>
      </c>
      <c r="K861" s="4" t="s">
        <v>719</v>
      </c>
      <c r="L861" s="4">
        <v>25.34</v>
      </c>
      <c r="M861" s="4">
        <v>10.7</v>
      </c>
      <c r="N861">
        <v>1</v>
      </c>
    </row>
    <row r="862" spans="2:14" x14ac:dyDescent="0.2">
      <c r="B862" s="696">
        <v>42610.756412037037</v>
      </c>
      <c r="C862" s="1" t="s">
        <v>495</v>
      </c>
      <c r="D862" t="s">
        <v>144</v>
      </c>
      <c r="E862" t="s">
        <v>225</v>
      </c>
      <c r="F862" t="s">
        <v>305</v>
      </c>
      <c r="G862" s="1" t="s">
        <v>3</v>
      </c>
      <c r="H862" s="1">
        <v>552782</v>
      </c>
      <c r="I862" t="s">
        <v>643</v>
      </c>
      <c r="J862" s="110">
        <v>600505</v>
      </c>
      <c r="K862" s="4" t="s">
        <v>753</v>
      </c>
      <c r="L862" s="4">
        <v>16.04</v>
      </c>
      <c r="M862" s="4">
        <v>11</v>
      </c>
      <c r="N862">
        <v>1.18</v>
      </c>
    </row>
    <row r="863" spans="2:14" x14ac:dyDescent="0.2">
      <c r="B863" s="696">
        <v>42611.145821759259</v>
      </c>
      <c r="C863" s="1" t="s">
        <v>462</v>
      </c>
      <c r="D863" t="s">
        <v>144</v>
      </c>
      <c r="E863" t="s">
        <v>225</v>
      </c>
      <c r="F863" t="s">
        <v>305</v>
      </c>
      <c r="G863" s="1" t="s">
        <v>3</v>
      </c>
      <c r="H863" s="1">
        <v>553729</v>
      </c>
      <c r="I863" t="s">
        <v>643</v>
      </c>
      <c r="J863" s="110">
        <v>51</v>
      </c>
      <c r="K863" s="4" t="s">
        <v>504</v>
      </c>
      <c r="L863" s="4">
        <v>22.94</v>
      </c>
      <c r="M863" s="4">
        <v>11.2</v>
      </c>
      <c r="N863">
        <v>0.96</v>
      </c>
    </row>
    <row r="864" spans="2:14" x14ac:dyDescent="0.2">
      <c r="B864" s="696">
        <v>42611.153680555559</v>
      </c>
      <c r="C864" s="1" t="s">
        <v>462</v>
      </c>
      <c r="D864" t="s">
        <v>144</v>
      </c>
      <c r="E864" t="s">
        <v>225</v>
      </c>
      <c r="F864" t="s">
        <v>305</v>
      </c>
      <c r="G864" s="1" t="s">
        <v>3</v>
      </c>
      <c r="H864" s="1">
        <v>553729</v>
      </c>
      <c r="I864" t="s">
        <v>643</v>
      </c>
      <c r="J864" s="110">
        <v>50</v>
      </c>
      <c r="K864" s="4" t="s">
        <v>754</v>
      </c>
      <c r="L864" s="4">
        <v>21.46</v>
      </c>
      <c r="M864" s="4">
        <v>10.3</v>
      </c>
      <c r="N864">
        <v>0.98</v>
      </c>
    </row>
    <row r="865" spans="2:14" x14ac:dyDescent="0.2">
      <c r="B865" s="696">
        <v>42611.162430555552</v>
      </c>
      <c r="C865" s="1" t="s">
        <v>464</v>
      </c>
      <c r="D865" t="s">
        <v>144</v>
      </c>
      <c r="E865" t="s">
        <v>225</v>
      </c>
      <c r="F865" t="s">
        <v>305</v>
      </c>
      <c r="G865" s="1" t="s">
        <v>3</v>
      </c>
      <c r="H865" s="1">
        <v>553731</v>
      </c>
      <c r="I865" t="s">
        <v>643</v>
      </c>
      <c r="J865" s="110">
        <v>222</v>
      </c>
      <c r="K865" s="4" t="s">
        <v>755</v>
      </c>
      <c r="L865" s="4">
        <v>24.5</v>
      </c>
      <c r="M865" s="4">
        <v>10.8</v>
      </c>
      <c r="N865">
        <v>0.94</v>
      </c>
    </row>
    <row r="866" spans="2:14" x14ac:dyDescent="0.2">
      <c r="B866" s="696">
        <v>42609.203125</v>
      </c>
      <c r="C866" s="1" t="s">
        <v>408</v>
      </c>
      <c r="D866" t="s">
        <v>144</v>
      </c>
      <c r="E866" t="s">
        <v>225</v>
      </c>
      <c r="F866" t="s">
        <v>305</v>
      </c>
      <c r="G866" s="1" t="s">
        <v>3</v>
      </c>
      <c r="H866" s="1">
        <v>553757</v>
      </c>
      <c r="I866" t="s">
        <v>469</v>
      </c>
      <c r="J866" s="110">
        <v>359408</v>
      </c>
      <c r="K866" s="4" t="s">
        <v>756</v>
      </c>
      <c r="L866" s="4">
        <v>23.2</v>
      </c>
      <c r="M866" s="4">
        <v>13.7</v>
      </c>
      <c r="N866">
        <v>2</v>
      </c>
    </row>
    <row r="867" spans="2:14" x14ac:dyDescent="0.2">
      <c r="B867" s="696">
        <v>42609.876539351855</v>
      </c>
      <c r="C867" s="1" t="s">
        <v>541</v>
      </c>
      <c r="D867" t="s">
        <v>144</v>
      </c>
      <c r="E867" t="s">
        <v>225</v>
      </c>
      <c r="F867" t="s">
        <v>305</v>
      </c>
      <c r="G867" s="1" t="s">
        <v>3</v>
      </c>
      <c r="H867" s="1">
        <v>553098</v>
      </c>
      <c r="I867" t="s">
        <v>469</v>
      </c>
      <c r="J867" s="110">
        <v>43995141</v>
      </c>
      <c r="K867" s="4">
        <v>95385274</v>
      </c>
      <c r="L867" s="4">
        <v>58.95</v>
      </c>
      <c r="M867" s="4">
        <v>12.4</v>
      </c>
      <c r="N867">
        <v>1.82</v>
      </c>
    </row>
    <row r="868" spans="2:14" x14ac:dyDescent="0.2">
      <c r="B868" s="696">
        <v>42609.877118055556</v>
      </c>
      <c r="C868" s="1" t="s">
        <v>541</v>
      </c>
      <c r="D868" t="s">
        <v>144</v>
      </c>
      <c r="E868" t="s">
        <v>225</v>
      </c>
      <c r="F868" t="s">
        <v>305</v>
      </c>
      <c r="G868" s="1" t="s">
        <v>3</v>
      </c>
      <c r="H868" s="1">
        <v>553098</v>
      </c>
      <c r="I868" t="s">
        <v>469</v>
      </c>
      <c r="J868" s="110">
        <v>43995141</v>
      </c>
      <c r="K868" s="4">
        <v>95613337</v>
      </c>
      <c r="L868" s="4">
        <v>59.1</v>
      </c>
      <c r="M868" s="4">
        <v>12.3</v>
      </c>
      <c r="N868">
        <v>1.8</v>
      </c>
    </row>
    <row r="869" spans="2:14" x14ac:dyDescent="0.2">
      <c r="B869" s="696">
        <v>42610.068368055552</v>
      </c>
      <c r="C869" s="1" t="s">
        <v>541</v>
      </c>
      <c r="D869" t="s">
        <v>144</v>
      </c>
      <c r="E869" t="s">
        <v>225</v>
      </c>
      <c r="F869" t="s">
        <v>305</v>
      </c>
      <c r="G869" s="1" t="s">
        <v>3</v>
      </c>
      <c r="H869" s="1">
        <v>553098</v>
      </c>
      <c r="I869" t="s">
        <v>469</v>
      </c>
      <c r="J869" s="110">
        <v>44004992</v>
      </c>
      <c r="K869" s="4">
        <v>95394953</v>
      </c>
      <c r="L869" s="4">
        <v>59.5</v>
      </c>
      <c r="M869" s="4">
        <v>12.4</v>
      </c>
      <c r="N869">
        <v>1.98</v>
      </c>
    </row>
    <row r="870" spans="2:14" x14ac:dyDescent="0.2">
      <c r="B870" s="696">
        <v>42610.068877314814</v>
      </c>
      <c r="C870" s="1" t="s">
        <v>541</v>
      </c>
      <c r="D870" t="s">
        <v>144</v>
      </c>
      <c r="E870" t="s">
        <v>225</v>
      </c>
      <c r="F870" t="s">
        <v>305</v>
      </c>
      <c r="G870" s="1" t="s">
        <v>3</v>
      </c>
      <c r="H870" s="1">
        <v>553098</v>
      </c>
      <c r="I870" t="s">
        <v>469</v>
      </c>
      <c r="J870" s="110">
        <v>44004992</v>
      </c>
      <c r="K870" s="4">
        <v>95366001</v>
      </c>
      <c r="L870" s="4">
        <v>59.6</v>
      </c>
      <c r="M870" s="4">
        <v>11.7</v>
      </c>
      <c r="N870">
        <v>1.8</v>
      </c>
    </row>
    <row r="871" spans="2:14" x14ac:dyDescent="0.2">
      <c r="B871" s="696">
        <v>42608.45894675926</v>
      </c>
      <c r="C871" s="1" t="s">
        <v>495</v>
      </c>
      <c r="D871" t="s">
        <v>144</v>
      </c>
      <c r="E871" t="s">
        <v>225</v>
      </c>
      <c r="F871" t="s">
        <v>305</v>
      </c>
      <c r="G871" s="1" t="s">
        <v>3</v>
      </c>
      <c r="H871" s="1">
        <v>553796</v>
      </c>
      <c r="I871" t="s">
        <v>763</v>
      </c>
      <c r="J871" s="110">
        <v>777087</v>
      </c>
      <c r="K871" s="4" t="s">
        <v>757</v>
      </c>
      <c r="L871" s="4">
        <v>21.84</v>
      </c>
      <c r="M871" s="4">
        <v>8</v>
      </c>
      <c r="N871">
        <v>1.8</v>
      </c>
    </row>
    <row r="872" spans="2:14" x14ac:dyDescent="0.2">
      <c r="B872" s="696">
        <v>42608.914907407408</v>
      </c>
      <c r="C872" s="1" t="s">
        <v>704</v>
      </c>
      <c r="D872" t="s">
        <v>144</v>
      </c>
      <c r="E872" t="s">
        <v>225</v>
      </c>
      <c r="F872" t="s">
        <v>305</v>
      </c>
      <c r="G872" s="1" t="s">
        <v>3</v>
      </c>
      <c r="H872" s="1">
        <v>553610</v>
      </c>
      <c r="I872" t="s">
        <v>763</v>
      </c>
      <c r="J872" s="110">
        <v>40247009</v>
      </c>
      <c r="K872" s="4">
        <v>95642740</v>
      </c>
      <c r="L872" s="4">
        <v>58.6</v>
      </c>
      <c r="M872" s="4">
        <v>7.3</v>
      </c>
      <c r="N872">
        <v>2</v>
      </c>
    </row>
    <row r="873" spans="2:14" x14ac:dyDescent="0.2">
      <c r="B873" s="696">
        <v>42608.91578703704</v>
      </c>
      <c r="C873" s="1" t="s">
        <v>704</v>
      </c>
      <c r="D873" t="s">
        <v>144</v>
      </c>
      <c r="E873" t="s">
        <v>225</v>
      </c>
      <c r="F873" t="s">
        <v>305</v>
      </c>
      <c r="G873" s="1" t="s">
        <v>3</v>
      </c>
      <c r="H873" s="1">
        <v>553610</v>
      </c>
      <c r="I873" t="s">
        <v>763</v>
      </c>
      <c r="J873" s="110">
        <v>40247009</v>
      </c>
      <c r="K873" s="4">
        <v>95651725</v>
      </c>
      <c r="L873" s="4">
        <v>57.8</v>
      </c>
      <c r="M873" s="4">
        <v>7.3</v>
      </c>
      <c r="N873">
        <v>1.98</v>
      </c>
    </row>
    <row r="874" spans="2:14" x14ac:dyDescent="0.2">
      <c r="B874" s="696">
        <v>42608.91642361111</v>
      </c>
      <c r="C874" s="1" t="s">
        <v>704</v>
      </c>
      <c r="D874" t="s">
        <v>144</v>
      </c>
      <c r="E874" t="s">
        <v>225</v>
      </c>
      <c r="F874" t="s">
        <v>305</v>
      </c>
      <c r="G874" s="1" t="s">
        <v>3</v>
      </c>
      <c r="H874" s="1">
        <v>553610</v>
      </c>
      <c r="I874" t="s">
        <v>763</v>
      </c>
      <c r="J874" s="110">
        <v>40247009</v>
      </c>
      <c r="K874" s="4">
        <v>95529616</v>
      </c>
      <c r="L874" s="4">
        <v>57.7</v>
      </c>
      <c r="M874" s="4">
        <v>7.3</v>
      </c>
      <c r="N874">
        <v>1.92</v>
      </c>
    </row>
    <row r="875" spans="2:14" x14ac:dyDescent="0.2">
      <c r="B875" s="696">
        <v>42608.916990740741</v>
      </c>
      <c r="C875" s="1" t="s">
        <v>704</v>
      </c>
      <c r="D875" t="s">
        <v>144</v>
      </c>
      <c r="E875" t="s">
        <v>225</v>
      </c>
      <c r="F875" t="s">
        <v>305</v>
      </c>
      <c r="G875" s="1" t="s">
        <v>3</v>
      </c>
      <c r="H875" s="1">
        <v>553610</v>
      </c>
      <c r="I875" t="s">
        <v>763</v>
      </c>
      <c r="J875" s="110">
        <v>40247009</v>
      </c>
      <c r="K875" s="4">
        <v>95633624</v>
      </c>
      <c r="L875" s="4">
        <v>57.8</v>
      </c>
      <c r="M875" s="4">
        <v>7.4</v>
      </c>
      <c r="N875">
        <v>1.94</v>
      </c>
    </row>
    <row r="876" spans="2:14" x14ac:dyDescent="0.2">
      <c r="B876" s="696">
        <v>42608.917939814812</v>
      </c>
      <c r="C876" s="1" t="s">
        <v>704</v>
      </c>
      <c r="D876" t="s">
        <v>144</v>
      </c>
      <c r="E876" t="s">
        <v>225</v>
      </c>
      <c r="F876" t="s">
        <v>305</v>
      </c>
      <c r="G876" s="1" t="s">
        <v>3</v>
      </c>
      <c r="H876" s="1">
        <v>553610</v>
      </c>
      <c r="I876" t="s">
        <v>763</v>
      </c>
      <c r="J876" s="110">
        <v>40248981</v>
      </c>
      <c r="K876" s="4">
        <v>95396172</v>
      </c>
      <c r="L876" s="4">
        <v>60.05</v>
      </c>
      <c r="M876" s="4">
        <v>7.5</v>
      </c>
      <c r="N876">
        <v>1.92</v>
      </c>
    </row>
    <row r="877" spans="2:14" x14ac:dyDescent="0.2">
      <c r="B877" s="696">
        <v>42608.918634259258</v>
      </c>
      <c r="C877" s="1" t="s">
        <v>704</v>
      </c>
      <c r="D877" t="s">
        <v>144</v>
      </c>
      <c r="E877" t="s">
        <v>225</v>
      </c>
      <c r="F877" t="s">
        <v>305</v>
      </c>
      <c r="G877" s="1" t="s">
        <v>3</v>
      </c>
      <c r="H877" s="1">
        <v>553610</v>
      </c>
      <c r="I877" t="s">
        <v>763</v>
      </c>
      <c r="J877" s="110">
        <v>40248981</v>
      </c>
      <c r="K877" s="4">
        <v>95651873</v>
      </c>
      <c r="L877" s="4">
        <v>58.95</v>
      </c>
      <c r="M877" s="4">
        <v>7.5</v>
      </c>
      <c r="N877">
        <v>2</v>
      </c>
    </row>
    <row r="878" spans="2:14" x14ac:dyDescent="0.2">
      <c r="B878" s="696">
        <v>42608.919953703706</v>
      </c>
      <c r="C878" s="1" t="s">
        <v>761</v>
      </c>
      <c r="D878" t="s">
        <v>144</v>
      </c>
      <c r="E878" t="s">
        <v>225</v>
      </c>
      <c r="F878" t="s">
        <v>305</v>
      </c>
      <c r="G878" s="1" t="s">
        <v>3</v>
      </c>
      <c r="H878" s="1">
        <v>552975</v>
      </c>
      <c r="I878" t="s">
        <v>763</v>
      </c>
      <c r="J878" s="110">
        <v>40156960</v>
      </c>
      <c r="K878" s="4">
        <v>95648937</v>
      </c>
      <c r="L878" s="4">
        <v>58.8</v>
      </c>
      <c r="M878" s="4">
        <v>7.5</v>
      </c>
      <c r="N878">
        <v>1.94</v>
      </c>
    </row>
    <row r="879" spans="2:14" x14ac:dyDescent="0.2">
      <c r="B879" s="696">
        <v>42608.920636574076</v>
      </c>
      <c r="C879" s="1" t="s">
        <v>761</v>
      </c>
      <c r="D879" t="s">
        <v>144</v>
      </c>
      <c r="E879" t="s">
        <v>225</v>
      </c>
      <c r="F879" t="s">
        <v>305</v>
      </c>
      <c r="G879" s="1" t="s">
        <v>3</v>
      </c>
      <c r="H879" s="1">
        <v>552975</v>
      </c>
      <c r="I879" t="s">
        <v>763</v>
      </c>
      <c r="J879" s="110">
        <v>40156960</v>
      </c>
      <c r="K879" s="4">
        <v>95542551</v>
      </c>
      <c r="L879" s="4">
        <v>58.65</v>
      </c>
      <c r="M879" s="4">
        <v>7.5</v>
      </c>
      <c r="N879">
        <v>2</v>
      </c>
    </row>
    <row r="880" spans="2:14" x14ac:dyDescent="0.2">
      <c r="B880" s="696">
        <v>42609.092418981483</v>
      </c>
      <c r="C880" s="1" t="s">
        <v>704</v>
      </c>
      <c r="D880" t="s">
        <v>144</v>
      </c>
      <c r="E880" t="s">
        <v>225</v>
      </c>
      <c r="F880" t="s">
        <v>305</v>
      </c>
      <c r="G880" s="1" t="s">
        <v>3</v>
      </c>
      <c r="H880" s="1">
        <v>553610</v>
      </c>
      <c r="I880" t="s">
        <v>763</v>
      </c>
      <c r="J880" s="110">
        <v>40220071</v>
      </c>
      <c r="K880" s="4">
        <v>95760609</v>
      </c>
      <c r="L880" s="4">
        <v>58.4</v>
      </c>
      <c r="M880" s="4">
        <v>7.1</v>
      </c>
      <c r="N880">
        <v>1.92</v>
      </c>
    </row>
    <row r="881" spans="2:14" x14ac:dyDescent="0.2">
      <c r="B881" s="696">
        <v>42609.093171296299</v>
      </c>
      <c r="C881" s="1" t="s">
        <v>704</v>
      </c>
      <c r="D881" t="s">
        <v>144</v>
      </c>
      <c r="E881" t="s">
        <v>225</v>
      </c>
      <c r="F881" t="s">
        <v>305</v>
      </c>
      <c r="G881" s="1" t="s">
        <v>3</v>
      </c>
      <c r="H881" s="1">
        <v>553610</v>
      </c>
      <c r="I881" t="s">
        <v>763</v>
      </c>
      <c r="J881" s="110">
        <v>40220071</v>
      </c>
      <c r="K881" s="4">
        <v>95346227</v>
      </c>
      <c r="L881" s="4">
        <v>56</v>
      </c>
      <c r="M881" s="4">
        <v>7.2</v>
      </c>
      <c r="N881">
        <v>1.98</v>
      </c>
    </row>
    <row r="882" spans="2:14" x14ac:dyDescent="0.2">
      <c r="B882" s="696">
        <v>42609.094421296293</v>
      </c>
      <c r="C882" s="1" t="s">
        <v>704</v>
      </c>
      <c r="D882" t="s">
        <v>144</v>
      </c>
      <c r="E882" t="s">
        <v>225</v>
      </c>
      <c r="F882" t="s">
        <v>305</v>
      </c>
      <c r="G882" s="1" t="s">
        <v>3</v>
      </c>
      <c r="H882" s="1">
        <v>553610</v>
      </c>
      <c r="I882" t="s">
        <v>763</v>
      </c>
      <c r="J882" s="110">
        <v>40220071</v>
      </c>
      <c r="K882" s="4">
        <v>95631875</v>
      </c>
      <c r="L882" s="4">
        <v>57.65</v>
      </c>
      <c r="M882" s="4">
        <v>7.1</v>
      </c>
      <c r="N882">
        <v>2</v>
      </c>
    </row>
    <row r="883" spans="2:14" x14ac:dyDescent="0.2">
      <c r="B883" s="696">
        <v>42609.096759259257</v>
      </c>
      <c r="C883" s="1" t="s">
        <v>704</v>
      </c>
      <c r="D883" t="s">
        <v>144</v>
      </c>
      <c r="E883" t="s">
        <v>225</v>
      </c>
      <c r="F883" t="s">
        <v>305</v>
      </c>
      <c r="G883" s="1" t="s">
        <v>3</v>
      </c>
      <c r="H883" s="1">
        <v>553610</v>
      </c>
      <c r="I883" t="s">
        <v>763</v>
      </c>
      <c r="J883" s="110">
        <v>40220071</v>
      </c>
      <c r="K883" s="4">
        <v>95541272</v>
      </c>
      <c r="L883" s="4">
        <v>59.9</v>
      </c>
      <c r="M883" s="4">
        <v>7.3</v>
      </c>
      <c r="N883">
        <v>1.98</v>
      </c>
    </row>
    <row r="884" spans="2:14" x14ac:dyDescent="0.2">
      <c r="B884" s="696">
        <v>42609.097916666666</v>
      </c>
      <c r="C884" s="1" t="s">
        <v>704</v>
      </c>
      <c r="D884" t="s">
        <v>144</v>
      </c>
      <c r="E884" t="s">
        <v>225</v>
      </c>
      <c r="F884" t="s">
        <v>305</v>
      </c>
      <c r="G884" s="1" t="s">
        <v>3</v>
      </c>
      <c r="H884" s="1">
        <v>553610</v>
      </c>
      <c r="I884" t="s">
        <v>763</v>
      </c>
      <c r="J884" s="110">
        <v>40225559</v>
      </c>
      <c r="K884" s="4">
        <v>95792404</v>
      </c>
      <c r="L884" s="4">
        <v>58.1</v>
      </c>
      <c r="M884" s="4">
        <v>7.1</v>
      </c>
      <c r="N884">
        <v>1.96</v>
      </c>
    </row>
    <row r="885" spans="2:14" x14ac:dyDescent="0.2">
      <c r="B885" s="696">
        <v>42609.098599537036</v>
      </c>
      <c r="C885" s="1" t="s">
        <v>704</v>
      </c>
      <c r="D885" t="s">
        <v>144</v>
      </c>
      <c r="E885" t="s">
        <v>225</v>
      </c>
      <c r="F885" t="s">
        <v>305</v>
      </c>
      <c r="G885" s="1" t="s">
        <v>3</v>
      </c>
      <c r="H885" s="1">
        <v>553610</v>
      </c>
      <c r="I885" t="s">
        <v>763</v>
      </c>
      <c r="J885" s="110">
        <v>40225559</v>
      </c>
      <c r="K885" s="4">
        <v>95455143</v>
      </c>
      <c r="L885" s="4">
        <v>58.35</v>
      </c>
      <c r="M885" s="4">
        <v>7.1</v>
      </c>
      <c r="N885">
        <v>1.98</v>
      </c>
    </row>
    <row r="886" spans="2:14" x14ac:dyDescent="0.2">
      <c r="B886" s="696">
        <v>42609.099363425928</v>
      </c>
      <c r="C886" s="1" t="s">
        <v>704</v>
      </c>
      <c r="D886" t="s">
        <v>144</v>
      </c>
      <c r="E886" t="s">
        <v>225</v>
      </c>
      <c r="F886" t="s">
        <v>305</v>
      </c>
      <c r="G886" s="1" t="s">
        <v>3</v>
      </c>
      <c r="H886" s="1">
        <v>553610</v>
      </c>
      <c r="I886" t="s">
        <v>763</v>
      </c>
      <c r="J886" s="110">
        <v>40225559</v>
      </c>
      <c r="K886" s="4">
        <v>95449773</v>
      </c>
      <c r="L886" s="4">
        <v>58.35</v>
      </c>
      <c r="M886" s="4">
        <v>7.1</v>
      </c>
      <c r="N886">
        <v>1.9</v>
      </c>
    </row>
    <row r="887" spans="2:14" x14ac:dyDescent="0.2">
      <c r="B887" s="696">
        <v>42609.100034722222</v>
      </c>
      <c r="C887" s="1" t="s">
        <v>704</v>
      </c>
      <c r="D887" t="s">
        <v>144</v>
      </c>
      <c r="E887" t="s">
        <v>225</v>
      </c>
      <c r="F887" t="s">
        <v>305</v>
      </c>
      <c r="G887" s="1" t="s">
        <v>3</v>
      </c>
      <c r="H887" s="1">
        <v>553610</v>
      </c>
      <c r="I887" t="s">
        <v>763</v>
      </c>
      <c r="J887" s="110">
        <v>40225559</v>
      </c>
      <c r="K887" s="4">
        <v>95446779</v>
      </c>
      <c r="L887" s="4">
        <v>58.15</v>
      </c>
      <c r="M887" s="4">
        <v>7.2</v>
      </c>
      <c r="N887">
        <v>2</v>
      </c>
    </row>
    <row r="888" spans="2:14" x14ac:dyDescent="0.2">
      <c r="B888" s="696">
        <v>42609.253703703704</v>
      </c>
      <c r="C888" s="1" t="s">
        <v>704</v>
      </c>
      <c r="D888" t="s">
        <v>144</v>
      </c>
      <c r="E888" t="s">
        <v>225</v>
      </c>
      <c r="F888" t="s">
        <v>305</v>
      </c>
      <c r="G888" s="1" t="s">
        <v>3</v>
      </c>
      <c r="H888" s="1">
        <v>553610</v>
      </c>
      <c r="I888" t="s">
        <v>763</v>
      </c>
      <c r="J888" s="110">
        <v>40264103</v>
      </c>
      <c r="K888" s="4">
        <v>95832861</v>
      </c>
      <c r="L888" s="4">
        <v>57.8</v>
      </c>
      <c r="M888" s="4">
        <v>7.5</v>
      </c>
      <c r="N888">
        <v>1.94</v>
      </c>
    </row>
    <row r="889" spans="2:14" x14ac:dyDescent="0.2">
      <c r="B889" s="696">
        <v>42609.254988425928</v>
      </c>
      <c r="C889" s="1" t="s">
        <v>704</v>
      </c>
      <c r="D889" t="s">
        <v>144</v>
      </c>
      <c r="E889" t="s">
        <v>225</v>
      </c>
      <c r="F889" t="s">
        <v>305</v>
      </c>
      <c r="G889" s="1" t="s">
        <v>3</v>
      </c>
      <c r="H889" s="1">
        <v>553610</v>
      </c>
      <c r="I889" t="s">
        <v>763</v>
      </c>
      <c r="J889" s="110">
        <v>40264103</v>
      </c>
      <c r="K889" s="4">
        <v>95644803</v>
      </c>
      <c r="L889" s="4">
        <v>58.15</v>
      </c>
      <c r="M889" s="4">
        <v>7.2</v>
      </c>
      <c r="N889">
        <v>2</v>
      </c>
    </row>
    <row r="890" spans="2:14" x14ac:dyDescent="0.2">
      <c r="B890" s="696">
        <v>42609.255624999998</v>
      </c>
      <c r="C890" s="1" t="s">
        <v>704</v>
      </c>
      <c r="D890" t="s">
        <v>144</v>
      </c>
      <c r="E890" t="s">
        <v>225</v>
      </c>
      <c r="F890" t="s">
        <v>305</v>
      </c>
      <c r="G890" s="1" t="s">
        <v>3</v>
      </c>
      <c r="H890" s="1">
        <v>553610</v>
      </c>
      <c r="I890" t="s">
        <v>763</v>
      </c>
      <c r="J890" s="110">
        <v>40270217</v>
      </c>
      <c r="K890" s="4">
        <v>95530580</v>
      </c>
      <c r="L890" s="4">
        <v>60.25</v>
      </c>
      <c r="M890" s="4">
        <v>6.5</v>
      </c>
      <c r="N890">
        <v>1.97</v>
      </c>
    </row>
    <row r="891" spans="2:14" x14ac:dyDescent="0.2">
      <c r="B891" s="696">
        <v>42609.256157407406</v>
      </c>
      <c r="C891" s="1" t="s">
        <v>704</v>
      </c>
      <c r="D891" t="s">
        <v>144</v>
      </c>
      <c r="E891" t="s">
        <v>225</v>
      </c>
      <c r="F891" t="s">
        <v>305</v>
      </c>
      <c r="G891" s="1" t="s">
        <v>3</v>
      </c>
      <c r="H891" s="1">
        <v>553610</v>
      </c>
      <c r="I891" t="s">
        <v>763</v>
      </c>
      <c r="J891" s="110">
        <v>40249005</v>
      </c>
      <c r="K891" s="4">
        <v>95398665</v>
      </c>
      <c r="L891" s="4">
        <v>59.05</v>
      </c>
      <c r="M891" s="4">
        <v>7.4</v>
      </c>
      <c r="N891">
        <v>1.97</v>
      </c>
    </row>
    <row r="892" spans="2:14" x14ac:dyDescent="0.2">
      <c r="B892" s="696">
        <v>42609.256793981483</v>
      </c>
      <c r="C892" s="1" t="s">
        <v>704</v>
      </c>
      <c r="D892" t="s">
        <v>144</v>
      </c>
      <c r="E892" t="s">
        <v>225</v>
      </c>
      <c r="F892" t="s">
        <v>305</v>
      </c>
      <c r="G892" s="1" t="s">
        <v>3</v>
      </c>
      <c r="H892" s="1">
        <v>553610</v>
      </c>
      <c r="I892" t="s">
        <v>763</v>
      </c>
      <c r="J892" s="110">
        <v>40249005</v>
      </c>
      <c r="K892" s="4">
        <v>95352951</v>
      </c>
      <c r="L892" s="4">
        <v>57.8</v>
      </c>
      <c r="M892" s="4">
        <v>7.5</v>
      </c>
      <c r="N892">
        <v>1.97</v>
      </c>
    </row>
    <row r="893" spans="2:14" x14ac:dyDescent="0.2">
      <c r="B893" s="696">
        <v>42609.257326388892</v>
      </c>
      <c r="C893" s="1" t="s">
        <v>704</v>
      </c>
      <c r="D893" t="s">
        <v>144</v>
      </c>
      <c r="E893" t="s">
        <v>225</v>
      </c>
      <c r="F893" t="s">
        <v>305</v>
      </c>
      <c r="G893" s="1" t="s">
        <v>3</v>
      </c>
      <c r="H893" s="1">
        <v>553610</v>
      </c>
      <c r="I893" t="s">
        <v>763</v>
      </c>
      <c r="J893" s="110">
        <v>40269953</v>
      </c>
      <c r="K893" s="4">
        <v>95693602</v>
      </c>
      <c r="L893" s="4">
        <v>59.95</v>
      </c>
      <c r="M893" s="4">
        <v>7.5</v>
      </c>
      <c r="N893">
        <v>2</v>
      </c>
    </row>
    <row r="894" spans="2:14" x14ac:dyDescent="0.2">
      <c r="B894" s="696">
        <v>42609.257905092592</v>
      </c>
      <c r="C894" s="1" t="s">
        <v>704</v>
      </c>
      <c r="D894" t="s">
        <v>144</v>
      </c>
      <c r="E894" t="s">
        <v>225</v>
      </c>
      <c r="F894" t="s">
        <v>305</v>
      </c>
      <c r="G894" s="1" t="s">
        <v>3</v>
      </c>
      <c r="H894" s="1">
        <v>553610</v>
      </c>
      <c r="I894" t="s">
        <v>763</v>
      </c>
      <c r="J894" s="110">
        <v>40249005</v>
      </c>
      <c r="K894" s="4">
        <v>95751525</v>
      </c>
      <c r="L894" s="4">
        <v>60.5</v>
      </c>
      <c r="M894" s="4">
        <v>7.5</v>
      </c>
      <c r="N894">
        <v>1.98</v>
      </c>
    </row>
    <row r="895" spans="2:14" x14ac:dyDescent="0.2">
      <c r="B895" s="696">
        <v>42609.258622685185</v>
      </c>
      <c r="C895" s="1" t="s">
        <v>704</v>
      </c>
      <c r="D895" t="s">
        <v>144</v>
      </c>
      <c r="E895" t="s">
        <v>225</v>
      </c>
      <c r="F895" t="s">
        <v>305</v>
      </c>
      <c r="G895" s="1" t="s">
        <v>3</v>
      </c>
      <c r="H895" s="1">
        <v>553610</v>
      </c>
      <c r="I895" t="s">
        <v>763</v>
      </c>
      <c r="J895" s="110">
        <v>40269953</v>
      </c>
      <c r="K895" s="4">
        <v>95651378</v>
      </c>
      <c r="L895" s="4">
        <v>60</v>
      </c>
      <c r="M895" s="4">
        <v>7.6</v>
      </c>
      <c r="N895">
        <v>1.95</v>
      </c>
    </row>
    <row r="896" spans="2:14" x14ac:dyDescent="0.2">
      <c r="B896" s="696">
        <v>42609.259259259263</v>
      </c>
      <c r="C896" s="1" t="s">
        <v>704</v>
      </c>
      <c r="D896" t="s">
        <v>144</v>
      </c>
      <c r="E896" t="s">
        <v>225</v>
      </c>
      <c r="F896" t="s">
        <v>305</v>
      </c>
      <c r="G896" s="1" t="s">
        <v>3</v>
      </c>
      <c r="H896" s="1">
        <v>553610</v>
      </c>
      <c r="I896" t="s">
        <v>763</v>
      </c>
      <c r="J896" s="110">
        <v>40269953</v>
      </c>
      <c r="K896" s="4">
        <v>95754370</v>
      </c>
      <c r="L896" s="4">
        <v>60.55</v>
      </c>
      <c r="M896" s="4">
        <v>7.1</v>
      </c>
      <c r="N896">
        <v>1.98</v>
      </c>
    </row>
    <row r="897" spans="2:14" x14ac:dyDescent="0.2">
      <c r="B897" s="696">
        <v>42609.259780092594</v>
      </c>
      <c r="C897" s="1" t="s">
        <v>704</v>
      </c>
      <c r="D897" t="s">
        <v>144</v>
      </c>
      <c r="E897" t="s">
        <v>225</v>
      </c>
      <c r="F897" t="s">
        <v>305</v>
      </c>
      <c r="G897" s="1" t="s">
        <v>3</v>
      </c>
      <c r="H897" s="1">
        <v>553610</v>
      </c>
      <c r="I897" t="s">
        <v>763</v>
      </c>
      <c r="J897" s="110">
        <v>40269953</v>
      </c>
      <c r="K897" s="4">
        <v>95796454</v>
      </c>
      <c r="L897" s="4">
        <v>61.1</v>
      </c>
      <c r="M897" s="4">
        <v>7</v>
      </c>
      <c r="N897">
        <v>2</v>
      </c>
    </row>
    <row r="898" spans="2:14" x14ac:dyDescent="0.2">
      <c r="B898" s="696">
        <v>42609.392268518517</v>
      </c>
      <c r="C898" s="1" t="s">
        <v>704</v>
      </c>
      <c r="D898" t="s">
        <v>144</v>
      </c>
      <c r="E898" t="s">
        <v>225</v>
      </c>
      <c r="F898" t="s">
        <v>305</v>
      </c>
      <c r="G898" s="1" t="s">
        <v>3</v>
      </c>
      <c r="H898" s="1">
        <v>553610</v>
      </c>
      <c r="I898" t="s">
        <v>763</v>
      </c>
      <c r="J898" s="110">
        <v>40264608</v>
      </c>
      <c r="K898" s="4">
        <v>95345443</v>
      </c>
      <c r="L898" s="4">
        <v>61.85</v>
      </c>
      <c r="M898" s="4">
        <v>7.1</v>
      </c>
      <c r="N898">
        <v>2</v>
      </c>
    </row>
    <row r="899" spans="2:14" x14ac:dyDescent="0.2">
      <c r="B899" s="696">
        <v>42609.393368055556</v>
      </c>
      <c r="C899" s="1" t="s">
        <v>704</v>
      </c>
      <c r="D899" t="s">
        <v>144</v>
      </c>
      <c r="E899" t="s">
        <v>225</v>
      </c>
      <c r="F899" t="s">
        <v>305</v>
      </c>
      <c r="G899" s="1" t="s">
        <v>3</v>
      </c>
      <c r="H899" s="1">
        <v>553610</v>
      </c>
      <c r="I899" t="s">
        <v>763</v>
      </c>
      <c r="J899" s="110">
        <v>40264608</v>
      </c>
      <c r="K899" s="4">
        <v>95830311</v>
      </c>
      <c r="L899" s="4">
        <v>59.85</v>
      </c>
      <c r="M899" s="4">
        <v>7.4</v>
      </c>
      <c r="N899">
        <v>1.99</v>
      </c>
    </row>
    <row r="900" spans="2:14" x14ac:dyDescent="0.2">
      <c r="B900" s="696">
        <v>42609.39398148148</v>
      </c>
      <c r="C900" s="1" t="s">
        <v>704</v>
      </c>
      <c r="D900" t="s">
        <v>144</v>
      </c>
      <c r="E900" t="s">
        <v>225</v>
      </c>
      <c r="F900" t="s">
        <v>305</v>
      </c>
      <c r="G900" s="1" t="s">
        <v>3</v>
      </c>
      <c r="H900" s="1">
        <v>553610</v>
      </c>
      <c r="I900" t="s">
        <v>763</v>
      </c>
      <c r="J900" s="110">
        <v>40264103</v>
      </c>
      <c r="K900" s="4">
        <v>95616652</v>
      </c>
      <c r="L900" s="4">
        <v>57.85</v>
      </c>
      <c r="M900" s="4">
        <v>7.4</v>
      </c>
      <c r="N900">
        <v>1.95</v>
      </c>
    </row>
    <row r="901" spans="2:14" x14ac:dyDescent="0.2">
      <c r="B901" s="696">
        <v>42609.394803240742</v>
      </c>
      <c r="C901" s="1" t="s">
        <v>704</v>
      </c>
      <c r="D901" t="s">
        <v>144</v>
      </c>
      <c r="E901" t="s">
        <v>225</v>
      </c>
      <c r="F901" t="s">
        <v>305</v>
      </c>
      <c r="G901" s="1" t="s">
        <v>3</v>
      </c>
      <c r="H901" s="1">
        <v>553610</v>
      </c>
      <c r="I901" t="s">
        <v>763</v>
      </c>
      <c r="J901" s="110">
        <v>40264103</v>
      </c>
      <c r="K901" s="4">
        <v>95246369</v>
      </c>
      <c r="L901" s="4">
        <v>58.95</v>
      </c>
      <c r="M901" s="4">
        <v>6.4</v>
      </c>
      <c r="N901">
        <v>1.97</v>
      </c>
    </row>
    <row r="902" spans="2:14" x14ac:dyDescent="0.2">
      <c r="B902" s="696">
        <v>42609.395439814813</v>
      </c>
      <c r="C902" s="1" t="s">
        <v>704</v>
      </c>
      <c r="D902" t="s">
        <v>144</v>
      </c>
      <c r="E902" t="s">
        <v>225</v>
      </c>
      <c r="F902" t="s">
        <v>305</v>
      </c>
      <c r="G902" s="1" t="s">
        <v>3</v>
      </c>
      <c r="H902" s="1">
        <v>553610</v>
      </c>
      <c r="I902" t="s">
        <v>763</v>
      </c>
      <c r="J902" s="110">
        <v>40264582</v>
      </c>
      <c r="K902" s="4">
        <v>95320412</v>
      </c>
      <c r="L902" s="4">
        <v>60.55</v>
      </c>
      <c r="M902" s="4">
        <v>7</v>
      </c>
      <c r="N902">
        <v>1.99</v>
      </c>
    </row>
    <row r="903" spans="2:14" x14ac:dyDescent="0.2">
      <c r="B903" s="696">
        <v>42609.396041666667</v>
      </c>
      <c r="C903" s="1" t="s">
        <v>704</v>
      </c>
      <c r="D903" t="s">
        <v>144</v>
      </c>
      <c r="E903" t="s">
        <v>225</v>
      </c>
      <c r="F903" t="s">
        <v>305</v>
      </c>
      <c r="G903" s="1" t="s">
        <v>3</v>
      </c>
      <c r="H903" s="1">
        <v>553610</v>
      </c>
      <c r="I903" t="s">
        <v>763</v>
      </c>
      <c r="J903" s="110">
        <v>40264582</v>
      </c>
      <c r="K903" s="4">
        <v>95617924</v>
      </c>
      <c r="L903" s="4">
        <v>59.2</v>
      </c>
      <c r="M903" s="4">
        <v>7.3</v>
      </c>
      <c r="N903">
        <v>2</v>
      </c>
    </row>
    <row r="904" spans="2:14" x14ac:dyDescent="0.2">
      <c r="B904" s="696">
        <v>42609.396747685183</v>
      </c>
      <c r="C904" s="1" t="s">
        <v>704</v>
      </c>
      <c r="D904" t="s">
        <v>144</v>
      </c>
      <c r="E904" t="s">
        <v>225</v>
      </c>
      <c r="F904" t="s">
        <v>305</v>
      </c>
      <c r="G904" s="1" t="s">
        <v>3</v>
      </c>
      <c r="H904" s="1">
        <v>553610</v>
      </c>
      <c r="I904" t="s">
        <v>763</v>
      </c>
      <c r="J904" s="110">
        <v>40264608</v>
      </c>
      <c r="K904" s="4">
        <v>95540837</v>
      </c>
      <c r="L904" s="4">
        <v>61.45</v>
      </c>
      <c r="M904" s="4">
        <v>7.1</v>
      </c>
      <c r="N904">
        <v>1.99</v>
      </c>
    </row>
    <row r="905" spans="2:14" x14ac:dyDescent="0.2">
      <c r="B905" s="696">
        <v>42609.397407407407</v>
      </c>
      <c r="C905" s="1" t="s">
        <v>704</v>
      </c>
      <c r="D905" t="s">
        <v>144</v>
      </c>
      <c r="E905" t="s">
        <v>225</v>
      </c>
      <c r="F905" t="s">
        <v>305</v>
      </c>
      <c r="G905" s="1" t="s">
        <v>3</v>
      </c>
      <c r="H905" s="1">
        <v>553610</v>
      </c>
      <c r="I905" t="s">
        <v>763</v>
      </c>
      <c r="J905" s="110">
        <v>40264608</v>
      </c>
      <c r="K905" s="4">
        <v>95327573</v>
      </c>
      <c r="L905" s="4">
        <v>60.15</v>
      </c>
      <c r="M905" s="4">
        <v>7.4</v>
      </c>
      <c r="N905">
        <v>1.98</v>
      </c>
    </row>
    <row r="906" spans="2:14" x14ac:dyDescent="0.2">
      <c r="B906" s="696">
        <v>42609.711076388892</v>
      </c>
      <c r="C906" s="1" t="s">
        <v>495</v>
      </c>
      <c r="D906" t="s">
        <v>144</v>
      </c>
      <c r="E906" t="s">
        <v>225</v>
      </c>
      <c r="F906" t="s">
        <v>305</v>
      </c>
      <c r="G906" s="1" t="s">
        <v>3</v>
      </c>
      <c r="H906" s="1">
        <v>553796</v>
      </c>
      <c r="I906" t="s">
        <v>763</v>
      </c>
      <c r="J906" s="110">
        <v>777089</v>
      </c>
      <c r="K906" s="4" t="s">
        <v>758</v>
      </c>
      <c r="L906" s="4">
        <v>25.52</v>
      </c>
      <c r="M906" s="4">
        <v>7</v>
      </c>
      <c r="N906">
        <v>2</v>
      </c>
    </row>
    <row r="907" spans="2:14" x14ac:dyDescent="0.2">
      <c r="B907" s="696">
        <v>42610.170983796299</v>
      </c>
      <c r="C907" s="1" t="s">
        <v>495</v>
      </c>
      <c r="D907" t="s">
        <v>144</v>
      </c>
      <c r="E907" t="s">
        <v>225</v>
      </c>
      <c r="F907" t="s">
        <v>305</v>
      </c>
      <c r="G907" s="1" t="s">
        <v>3</v>
      </c>
      <c r="H907" s="1">
        <v>553796</v>
      </c>
      <c r="I907" t="s">
        <v>763</v>
      </c>
      <c r="J907" s="110">
        <v>777094</v>
      </c>
      <c r="K907" s="4" t="s">
        <v>759</v>
      </c>
      <c r="L907" s="4">
        <v>26.72</v>
      </c>
      <c r="M907" s="4">
        <v>6.1</v>
      </c>
      <c r="N907">
        <v>1.96</v>
      </c>
    </row>
    <row r="908" spans="2:14" x14ac:dyDescent="0.2">
      <c r="B908" s="696">
        <v>42610.178136574075</v>
      </c>
      <c r="C908" s="1" t="s">
        <v>495</v>
      </c>
      <c r="D908" t="s">
        <v>144</v>
      </c>
      <c r="E908" t="s">
        <v>225</v>
      </c>
      <c r="F908" t="s">
        <v>305</v>
      </c>
      <c r="G908" s="1" t="s">
        <v>3</v>
      </c>
      <c r="H908" s="1">
        <v>553796</v>
      </c>
      <c r="I908" t="s">
        <v>763</v>
      </c>
      <c r="J908" s="110">
        <v>777090</v>
      </c>
      <c r="K908" s="4" t="s">
        <v>547</v>
      </c>
      <c r="L908" s="4">
        <v>25.16</v>
      </c>
      <c r="M908" s="4">
        <v>6</v>
      </c>
      <c r="N908">
        <v>1.88</v>
      </c>
    </row>
    <row r="909" spans="2:14" x14ac:dyDescent="0.2">
      <c r="B909" s="696">
        <v>42610.716145833336</v>
      </c>
      <c r="C909" s="1" t="s">
        <v>704</v>
      </c>
      <c r="D909" t="s">
        <v>144</v>
      </c>
      <c r="E909" t="s">
        <v>225</v>
      </c>
      <c r="F909" t="s">
        <v>305</v>
      </c>
      <c r="G909" s="1" t="s">
        <v>3</v>
      </c>
      <c r="H909" s="1">
        <v>553610</v>
      </c>
      <c r="I909" t="s">
        <v>763</v>
      </c>
      <c r="J909" s="110">
        <v>40264608</v>
      </c>
      <c r="K909" s="4">
        <v>95308839</v>
      </c>
      <c r="L909" s="4">
        <v>60.5</v>
      </c>
      <c r="M909" s="4">
        <v>7.3</v>
      </c>
      <c r="N909">
        <v>1.98</v>
      </c>
    </row>
    <row r="910" spans="2:14" x14ac:dyDescent="0.2">
      <c r="B910" s="696">
        <v>42610.716724537036</v>
      </c>
      <c r="C910" s="1" t="s">
        <v>704</v>
      </c>
      <c r="D910" t="s">
        <v>144</v>
      </c>
      <c r="E910" t="s">
        <v>225</v>
      </c>
      <c r="F910" t="s">
        <v>305</v>
      </c>
      <c r="G910" s="1" t="s">
        <v>3</v>
      </c>
      <c r="H910" s="1">
        <v>553610</v>
      </c>
      <c r="I910" t="s">
        <v>763</v>
      </c>
      <c r="J910" s="110">
        <v>40264582</v>
      </c>
      <c r="K910" s="4">
        <v>95455234</v>
      </c>
      <c r="L910" s="4">
        <v>59</v>
      </c>
      <c r="M910" s="4">
        <v>7.4</v>
      </c>
      <c r="N910">
        <v>1.98</v>
      </c>
    </row>
    <row r="911" spans="2:14" x14ac:dyDescent="0.2">
      <c r="B911" s="696">
        <v>42610.717256944445</v>
      </c>
      <c r="C911" s="1" t="s">
        <v>704</v>
      </c>
      <c r="D911" t="s">
        <v>144</v>
      </c>
      <c r="E911" t="s">
        <v>225</v>
      </c>
      <c r="F911" t="s">
        <v>305</v>
      </c>
      <c r="G911" s="1" t="s">
        <v>3</v>
      </c>
      <c r="H911" s="1">
        <v>553610</v>
      </c>
      <c r="I911" t="s">
        <v>763</v>
      </c>
      <c r="J911" s="110">
        <v>40264582</v>
      </c>
      <c r="K911" s="4">
        <v>95949533</v>
      </c>
      <c r="L911" s="4">
        <v>60.5</v>
      </c>
      <c r="M911" s="4">
        <v>7.4</v>
      </c>
      <c r="N911">
        <v>1.92</v>
      </c>
    </row>
    <row r="912" spans="2:14" x14ac:dyDescent="0.2">
      <c r="B912" s="696">
        <v>42610.717847222222</v>
      </c>
      <c r="C912" s="1" t="s">
        <v>704</v>
      </c>
      <c r="D912" t="s">
        <v>144</v>
      </c>
      <c r="E912" t="s">
        <v>225</v>
      </c>
      <c r="F912" t="s">
        <v>305</v>
      </c>
      <c r="G912" s="1" t="s">
        <v>3</v>
      </c>
      <c r="H912" s="1">
        <v>553610</v>
      </c>
      <c r="I912" t="s">
        <v>763</v>
      </c>
      <c r="J912" s="110">
        <v>40264582</v>
      </c>
      <c r="K912" s="4">
        <v>95799862</v>
      </c>
      <c r="L912" s="4">
        <v>59.85</v>
      </c>
      <c r="M912" s="4">
        <v>7.4</v>
      </c>
      <c r="N912">
        <v>1.94</v>
      </c>
    </row>
    <row r="913" spans="2:14" x14ac:dyDescent="0.2">
      <c r="B913" s="696">
        <v>42611.168229166666</v>
      </c>
      <c r="C913" s="1" t="s">
        <v>704</v>
      </c>
      <c r="D913" t="s">
        <v>144</v>
      </c>
      <c r="E913" t="s">
        <v>225</v>
      </c>
      <c r="F913" t="s">
        <v>305</v>
      </c>
      <c r="G913" s="1" t="s">
        <v>3</v>
      </c>
      <c r="H913" s="1">
        <v>553610</v>
      </c>
      <c r="I913" t="s">
        <v>763</v>
      </c>
      <c r="J913" s="110">
        <v>40293888</v>
      </c>
      <c r="K913" s="4">
        <v>95620779</v>
      </c>
      <c r="L913" s="4">
        <v>62.05</v>
      </c>
      <c r="M913" s="4">
        <v>7.6</v>
      </c>
      <c r="N913">
        <v>1.91</v>
      </c>
    </row>
    <row r="914" spans="2:14" x14ac:dyDescent="0.2">
      <c r="B914" s="696">
        <v>42611.176898148151</v>
      </c>
      <c r="C914" s="1" t="s">
        <v>704</v>
      </c>
      <c r="D914" t="s">
        <v>144</v>
      </c>
      <c r="E914" t="s">
        <v>225</v>
      </c>
      <c r="F914" t="s">
        <v>305</v>
      </c>
      <c r="G914" s="1" t="s">
        <v>3</v>
      </c>
      <c r="H914" s="1">
        <v>553610</v>
      </c>
      <c r="I914" t="s">
        <v>763</v>
      </c>
      <c r="J914" s="110">
        <v>40281388</v>
      </c>
      <c r="K914" s="4">
        <v>95372850</v>
      </c>
      <c r="L914" s="4">
        <v>60.65</v>
      </c>
      <c r="M914" s="4">
        <v>7.6</v>
      </c>
      <c r="N914">
        <v>1.93</v>
      </c>
    </row>
    <row r="915" spans="2:14" x14ac:dyDescent="0.2">
      <c r="B915" s="696">
        <v>42611.177511574075</v>
      </c>
      <c r="C915" s="1" t="s">
        <v>704</v>
      </c>
      <c r="D915" t="s">
        <v>144</v>
      </c>
      <c r="E915" t="s">
        <v>225</v>
      </c>
      <c r="F915" t="s">
        <v>305</v>
      </c>
      <c r="G915" s="1" t="s">
        <v>3</v>
      </c>
      <c r="H915" s="1">
        <v>553610</v>
      </c>
      <c r="I915" t="s">
        <v>763</v>
      </c>
      <c r="J915" s="110">
        <v>40275893</v>
      </c>
      <c r="K915" s="4">
        <v>95754818</v>
      </c>
      <c r="L915" s="4">
        <v>60.8</v>
      </c>
      <c r="M915" s="4">
        <v>7.6</v>
      </c>
      <c r="N915">
        <v>1.93</v>
      </c>
    </row>
    <row r="916" spans="2:14" x14ac:dyDescent="0.2">
      <c r="B916" s="696">
        <v>42611.179872685185</v>
      </c>
      <c r="C916" s="1" t="s">
        <v>704</v>
      </c>
      <c r="D916" t="s">
        <v>144</v>
      </c>
      <c r="E916" t="s">
        <v>225</v>
      </c>
      <c r="F916" t="s">
        <v>305</v>
      </c>
      <c r="G916" s="1" t="s">
        <v>3</v>
      </c>
      <c r="H916" s="1">
        <v>553610</v>
      </c>
      <c r="I916" t="s">
        <v>763</v>
      </c>
      <c r="J916" s="110">
        <v>40275893</v>
      </c>
      <c r="K916" s="4">
        <v>95641882</v>
      </c>
      <c r="L916" s="4">
        <v>60.05</v>
      </c>
      <c r="M916" s="4">
        <v>7.5</v>
      </c>
      <c r="N916">
        <v>1.93</v>
      </c>
    </row>
    <row r="917" spans="2:14" x14ac:dyDescent="0.2">
      <c r="B917" s="696">
        <v>42611.180405092593</v>
      </c>
      <c r="C917" s="1" t="s">
        <v>704</v>
      </c>
      <c r="D917" t="s">
        <v>144</v>
      </c>
      <c r="E917" t="s">
        <v>225</v>
      </c>
      <c r="F917" t="s">
        <v>305</v>
      </c>
      <c r="G917" s="1" t="s">
        <v>3</v>
      </c>
      <c r="H917" s="1">
        <v>553610</v>
      </c>
      <c r="I917" t="s">
        <v>763</v>
      </c>
      <c r="J917" s="110">
        <v>40275901</v>
      </c>
      <c r="K917" s="4">
        <v>95531489</v>
      </c>
      <c r="L917" s="4">
        <v>60.6</v>
      </c>
      <c r="M917" s="4">
        <v>7.4</v>
      </c>
      <c r="N917">
        <v>1.95</v>
      </c>
    </row>
    <row r="918" spans="2:14" x14ac:dyDescent="0.2">
      <c r="B918" s="696">
        <v>42611.180925925924</v>
      </c>
      <c r="C918" s="1" t="s">
        <v>704</v>
      </c>
      <c r="D918" t="s">
        <v>144</v>
      </c>
      <c r="E918" t="s">
        <v>225</v>
      </c>
      <c r="F918" t="s">
        <v>305</v>
      </c>
      <c r="G918" s="1" t="s">
        <v>3</v>
      </c>
      <c r="H918" s="1">
        <v>553610</v>
      </c>
      <c r="I918" t="s">
        <v>763</v>
      </c>
      <c r="J918" s="110">
        <v>40275893</v>
      </c>
      <c r="K918" s="4">
        <v>95678835</v>
      </c>
      <c r="L918" s="4">
        <v>60.75</v>
      </c>
      <c r="M918" s="4">
        <v>7.6</v>
      </c>
      <c r="N918">
        <v>1.95</v>
      </c>
    </row>
    <row r="919" spans="2:14" x14ac:dyDescent="0.2">
      <c r="B919" s="696">
        <v>42611.18178240741</v>
      </c>
      <c r="C919" s="1" t="s">
        <v>704</v>
      </c>
      <c r="D919" t="s">
        <v>144</v>
      </c>
      <c r="E919" t="s">
        <v>225</v>
      </c>
      <c r="F919" t="s">
        <v>305</v>
      </c>
      <c r="G919" s="1" t="s">
        <v>3</v>
      </c>
      <c r="H919" s="1">
        <v>553610</v>
      </c>
      <c r="I919" t="s">
        <v>763</v>
      </c>
      <c r="J919" s="110">
        <v>40275901</v>
      </c>
      <c r="K919" s="4">
        <v>95542254</v>
      </c>
      <c r="L919" s="4">
        <v>60.35</v>
      </c>
      <c r="M919" s="4">
        <v>7.5</v>
      </c>
      <c r="N919">
        <v>1.81</v>
      </c>
    </row>
    <row r="920" spans="2:14" x14ac:dyDescent="0.2">
      <c r="B920" s="696">
        <v>42611.182349537034</v>
      </c>
      <c r="C920" s="1" t="s">
        <v>704</v>
      </c>
      <c r="D920" t="s">
        <v>144</v>
      </c>
      <c r="E920" t="s">
        <v>225</v>
      </c>
      <c r="F920" t="s">
        <v>305</v>
      </c>
      <c r="G920" s="1" t="s">
        <v>3</v>
      </c>
      <c r="H920" s="1">
        <v>553610</v>
      </c>
      <c r="I920" t="s">
        <v>763</v>
      </c>
      <c r="J920" s="110">
        <v>40275901</v>
      </c>
      <c r="K920" s="4">
        <v>95446746</v>
      </c>
      <c r="L920" s="4">
        <v>60.7</v>
      </c>
      <c r="M920" s="4">
        <v>7.5</v>
      </c>
      <c r="N920">
        <v>2</v>
      </c>
    </row>
    <row r="921" spans="2:14" x14ac:dyDescent="0.2">
      <c r="B921" s="696">
        <v>42611.182893518519</v>
      </c>
      <c r="C921" s="1" t="s">
        <v>704</v>
      </c>
      <c r="D921" t="s">
        <v>144</v>
      </c>
      <c r="E921" t="s">
        <v>225</v>
      </c>
      <c r="F921" t="s">
        <v>305</v>
      </c>
      <c r="G921" s="1" t="s">
        <v>3</v>
      </c>
      <c r="H921" s="1">
        <v>553610</v>
      </c>
      <c r="I921" t="s">
        <v>763</v>
      </c>
      <c r="J921" s="110">
        <v>40275901</v>
      </c>
      <c r="K921" s="4">
        <v>95490124</v>
      </c>
      <c r="L921" s="4">
        <v>60.6</v>
      </c>
      <c r="M921" s="4">
        <v>7.5</v>
      </c>
      <c r="N921">
        <v>1.92</v>
      </c>
    </row>
    <row r="922" spans="2:14" x14ac:dyDescent="0.2">
      <c r="B922" s="696">
        <v>42611.183379629627</v>
      </c>
      <c r="C922" s="1" t="s">
        <v>704</v>
      </c>
      <c r="D922" t="s">
        <v>144</v>
      </c>
      <c r="E922" t="s">
        <v>225</v>
      </c>
      <c r="F922" t="s">
        <v>305</v>
      </c>
      <c r="G922" s="1" t="s">
        <v>3</v>
      </c>
      <c r="H922" s="1">
        <v>553610</v>
      </c>
      <c r="I922" t="s">
        <v>763</v>
      </c>
      <c r="J922" s="110">
        <v>40275901</v>
      </c>
      <c r="K922" s="4">
        <v>95530986</v>
      </c>
      <c r="L922" s="4">
        <v>60.25</v>
      </c>
      <c r="M922" s="4">
        <v>7.4</v>
      </c>
      <c r="N922">
        <v>1.98</v>
      </c>
    </row>
    <row r="923" spans="2:14" x14ac:dyDescent="0.2">
      <c r="B923" s="696">
        <v>42611.239293981482</v>
      </c>
      <c r="C923" s="1" t="s">
        <v>704</v>
      </c>
      <c r="D923" t="s">
        <v>144</v>
      </c>
      <c r="E923" t="s">
        <v>225</v>
      </c>
      <c r="F923" t="s">
        <v>305</v>
      </c>
      <c r="G923" s="1" t="s">
        <v>3</v>
      </c>
      <c r="H923" s="1">
        <v>553610</v>
      </c>
      <c r="I923" t="s">
        <v>763</v>
      </c>
      <c r="J923" s="110">
        <v>40275893</v>
      </c>
      <c r="K923" s="4">
        <v>95450284</v>
      </c>
      <c r="L923" s="4">
        <v>60.6</v>
      </c>
      <c r="M923" s="4">
        <v>7.3</v>
      </c>
      <c r="N923">
        <v>1.94</v>
      </c>
    </row>
    <row r="924" spans="2:14" x14ac:dyDescent="0.2">
      <c r="B924" s="696">
        <v>42611.239849537036</v>
      </c>
      <c r="C924" s="1" t="s">
        <v>704</v>
      </c>
      <c r="D924" t="s">
        <v>144</v>
      </c>
      <c r="E924" t="s">
        <v>225</v>
      </c>
      <c r="F924" t="s">
        <v>305</v>
      </c>
      <c r="G924" s="1" t="s">
        <v>3</v>
      </c>
      <c r="H924" s="1">
        <v>553610</v>
      </c>
      <c r="I924" t="s">
        <v>763</v>
      </c>
      <c r="J924" s="110">
        <v>40275893</v>
      </c>
      <c r="K924" s="4">
        <v>95751962</v>
      </c>
      <c r="L924" s="4">
        <v>60.25</v>
      </c>
      <c r="M924" s="4">
        <v>7.4</v>
      </c>
      <c r="N924">
        <v>1.98</v>
      </c>
    </row>
    <row r="925" spans="2:14" x14ac:dyDescent="0.2">
      <c r="B925" s="749">
        <v>42611</v>
      </c>
      <c r="C925" s="1" t="s">
        <v>641</v>
      </c>
      <c r="E925" t="s">
        <v>225</v>
      </c>
      <c r="F925" t="s">
        <v>305</v>
      </c>
      <c r="G925" s="1" t="s">
        <v>3</v>
      </c>
      <c r="H925" s="1">
        <v>551438</v>
      </c>
      <c r="I925" t="s">
        <v>292</v>
      </c>
      <c r="J925" s="110">
        <v>44028322</v>
      </c>
      <c r="K925" s="4">
        <v>95826616</v>
      </c>
      <c r="L925" s="4">
        <v>63.32</v>
      </c>
    </row>
    <row r="926" spans="2:14" x14ac:dyDescent="0.2">
      <c r="B926" s="749">
        <v>42611</v>
      </c>
      <c r="C926" s="1" t="s">
        <v>641</v>
      </c>
      <c r="E926" t="s">
        <v>225</v>
      </c>
      <c r="F926" t="s">
        <v>305</v>
      </c>
      <c r="G926" s="1" t="s">
        <v>3</v>
      </c>
      <c r="H926" s="1">
        <v>551438</v>
      </c>
      <c r="I926" t="s">
        <v>292</v>
      </c>
      <c r="J926" s="110">
        <v>44028322</v>
      </c>
      <c r="K926" s="4">
        <v>95834107</v>
      </c>
      <c r="L926" s="4">
        <v>62.46</v>
      </c>
    </row>
    <row r="927" spans="2:14" x14ac:dyDescent="0.2">
      <c r="B927" s="749">
        <v>42611</v>
      </c>
      <c r="C927" s="1" t="s">
        <v>644</v>
      </c>
      <c r="E927" t="s">
        <v>225</v>
      </c>
      <c r="F927" t="s">
        <v>305</v>
      </c>
      <c r="G927" s="1" t="s">
        <v>3</v>
      </c>
      <c r="H927" s="1">
        <v>552518</v>
      </c>
      <c r="I927" t="s">
        <v>643</v>
      </c>
      <c r="J927" s="110">
        <v>47422522</v>
      </c>
      <c r="K927" s="4">
        <v>95379830</v>
      </c>
      <c r="L927" s="4">
        <v>64.849999999999994</v>
      </c>
    </row>
    <row r="928" spans="2:14" x14ac:dyDescent="0.2">
      <c r="B928" s="749">
        <v>42611</v>
      </c>
      <c r="C928" s="1" t="s">
        <v>644</v>
      </c>
      <c r="E928" t="s">
        <v>225</v>
      </c>
      <c r="F928" t="s">
        <v>305</v>
      </c>
      <c r="G928" s="1" t="s">
        <v>3</v>
      </c>
      <c r="H928" s="1">
        <v>552518</v>
      </c>
      <c r="I928" t="s">
        <v>643</v>
      </c>
      <c r="J928" s="110">
        <v>47422522</v>
      </c>
      <c r="K928" s="4">
        <v>95541348</v>
      </c>
      <c r="L928" s="4">
        <v>70</v>
      </c>
    </row>
    <row r="929" spans="2:12" x14ac:dyDescent="0.2">
      <c r="B929" s="749">
        <v>42611</v>
      </c>
      <c r="C929" s="1" t="s">
        <v>644</v>
      </c>
      <c r="E929" t="s">
        <v>225</v>
      </c>
      <c r="F929" t="s">
        <v>305</v>
      </c>
      <c r="G929" s="1" t="s">
        <v>3</v>
      </c>
      <c r="H929" s="1">
        <v>552518</v>
      </c>
      <c r="I929" t="s">
        <v>643</v>
      </c>
      <c r="J929" s="110">
        <v>47422522</v>
      </c>
      <c r="K929" s="4">
        <v>95230843</v>
      </c>
      <c r="L929" s="4">
        <v>69.8</v>
      </c>
    </row>
    <row r="930" spans="2:12" x14ac:dyDescent="0.2">
      <c r="B930" s="749">
        <v>42611</v>
      </c>
      <c r="C930" s="1" t="s">
        <v>644</v>
      </c>
      <c r="E930" t="s">
        <v>225</v>
      </c>
      <c r="F930" t="s">
        <v>305</v>
      </c>
      <c r="G930" s="1" t="s">
        <v>3</v>
      </c>
      <c r="H930" s="1">
        <v>552518</v>
      </c>
      <c r="I930" t="s">
        <v>643</v>
      </c>
      <c r="J930" s="110">
        <v>47422522</v>
      </c>
      <c r="K930" s="4">
        <v>95453379</v>
      </c>
      <c r="L930" s="4">
        <v>69.8</v>
      </c>
    </row>
    <row r="931" spans="2:12" x14ac:dyDescent="0.2">
      <c r="B931" s="749">
        <v>42611</v>
      </c>
      <c r="C931" s="1" t="s">
        <v>641</v>
      </c>
      <c r="E931" t="s">
        <v>225</v>
      </c>
      <c r="F931" t="s">
        <v>305</v>
      </c>
      <c r="G931" s="1" t="s">
        <v>3</v>
      </c>
      <c r="H931" s="1">
        <v>551438</v>
      </c>
      <c r="I931" t="s">
        <v>292</v>
      </c>
      <c r="J931" s="110">
        <v>44028314</v>
      </c>
      <c r="K931" s="4">
        <v>95653267</v>
      </c>
      <c r="L931" s="4">
        <v>60.76</v>
      </c>
    </row>
    <row r="932" spans="2:12" x14ac:dyDescent="0.2">
      <c r="B932" s="749">
        <v>42611</v>
      </c>
      <c r="C932" s="1" t="s">
        <v>641</v>
      </c>
      <c r="E932" t="s">
        <v>225</v>
      </c>
      <c r="F932" t="s">
        <v>305</v>
      </c>
      <c r="G932" s="1" t="s">
        <v>3</v>
      </c>
      <c r="H932" s="1">
        <v>551438</v>
      </c>
      <c r="I932" t="s">
        <v>292</v>
      </c>
      <c r="J932" s="110">
        <v>44028314</v>
      </c>
      <c r="K932" s="4">
        <v>95539540</v>
      </c>
      <c r="L932" s="4">
        <v>61.6</v>
      </c>
    </row>
    <row r="933" spans="2:12" x14ac:dyDescent="0.2">
      <c r="B933" s="749">
        <v>42611</v>
      </c>
      <c r="C933" s="1" t="s">
        <v>641</v>
      </c>
      <c r="E933" t="s">
        <v>225</v>
      </c>
      <c r="F933" t="s">
        <v>305</v>
      </c>
      <c r="G933" s="1" t="s">
        <v>3</v>
      </c>
      <c r="H933" s="1">
        <v>551438</v>
      </c>
      <c r="I933" t="s">
        <v>292</v>
      </c>
      <c r="J933" s="110">
        <v>44028314</v>
      </c>
      <c r="K933" s="4">
        <v>95493003</v>
      </c>
      <c r="L933" s="4">
        <v>60.86</v>
      </c>
    </row>
    <row r="934" spans="2:12" x14ac:dyDescent="0.2">
      <c r="B934" s="749">
        <v>42611</v>
      </c>
      <c r="C934" s="1" t="s">
        <v>644</v>
      </c>
      <c r="E934" t="s">
        <v>225</v>
      </c>
      <c r="F934" t="s">
        <v>305</v>
      </c>
      <c r="G934" s="1" t="s">
        <v>3</v>
      </c>
      <c r="H934" s="1">
        <v>552518</v>
      </c>
      <c r="I934" t="s">
        <v>643</v>
      </c>
      <c r="J934" s="110">
        <v>47393186</v>
      </c>
      <c r="K934" s="4">
        <v>95351375</v>
      </c>
      <c r="L934" s="4">
        <v>69.849999999999994</v>
      </c>
    </row>
    <row r="935" spans="2:12" x14ac:dyDescent="0.2">
      <c r="B935" s="749">
        <v>42611</v>
      </c>
      <c r="C935" s="1" t="s">
        <v>644</v>
      </c>
      <c r="E935" t="s">
        <v>225</v>
      </c>
      <c r="F935" t="s">
        <v>305</v>
      </c>
      <c r="G935" s="1" t="s">
        <v>3</v>
      </c>
      <c r="H935" s="1">
        <v>552518</v>
      </c>
      <c r="I935" t="s">
        <v>643</v>
      </c>
      <c r="J935" s="110">
        <v>47393186</v>
      </c>
      <c r="K935" s="4">
        <v>95353561</v>
      </c>
      <c r="L935" s="4">
        <v>64.95</v>
      </c>
    </row>
    <row r="936" spans="2:12" x14ac:dyDescent="0.2">
      <c r="B936" s="749">
        <v>42611</v>
      </c>
      <c r="C936" s="1" t="s">
        <v>644</v>
      </c>
      <c r="E936" t="s">
        <v>225</v>
      </c>
      <c r="F936" t="s">
        <v>305</v>
      </c>
      <c r="G936" s="1" t="s">
        <v>3</v>
      </c>
      <c r="H936" s="1">
        <v>552518</v>
      </c>
      <c r="I936" t="s">
        <v>643</v>
      </c>
      <c r="J936" s="110">
        <v>47393186</v>
      </c>
      <c r="K936" s="4">
        <v>95711586</v>
      </c>
      <c r="L936" s="4">
        <v>69.75</v>
      </c>
    </row>
    <row r="937" spans="2:12" x14ac:dyDescent="0.2">
      <c r="B937" s="749">
        <v>42611</v>
      </c>
      <c r="C937" s="1" t="s">
        <v>644</v>
      </c>
      <c r="E937" t="s">
        <v>225</v>
      </c>
      <c r="F937" t="s">
        <v>305</v>
      </c>
      <c r="G937" s="1" t="s">
        <v>3</v>
      </c>
      <c r="H937" s="1">
        <v>552518</v>
      </c>
      <c r="I937" t="s">
        <v>643</v>
      </c>
      <c r="J937" s="110">
        <v>47393186</v>
      </c>
      <c r="K937" s="4">
        <v>95321683</v>
      </c>
      <c r="L937" s="4">
        <v>64.849999999999994</v>
      </c>
    </row>
    <row r="938" spans="2:12" x14ac:dyDescent="0.2">
      <c r="B938" s="696">
        <v>42611.402245370373</v>
      </c>
      <c r="C938" s="1" t="s">
        <v>495</v>
      </c>
      <c r="E938" t="s">
        <v>225</v>
      </c>
      <c r="F938" t="s">
        <v>305</v>
      </c>
      <c r="G938" s="1" t="s">
        <v>3</v>
      </c>
      <c r="H938" s="1">
        <v>553496</v>
      </c>
      <c r="I938" t="s">
        <v>467</v>
      </c>
      <c r="J938" s="110">
        <v>47360615</v>
      </c>
      <c r="K938" s="4">
        <v>95531778</v>
      </c>
      <c r="L938" s="802">
        <v>69.8</v>
      </c>
    </row>
    <row r="939" spans="2:12" x14ac:dyDescent="0.2">
      <c r="B939" s="696">
        <v>42611.457152777781</v>
      </c>
      <c r="C939" s="1" t="s">
        <v>495</v>
      </c>
      <c r="E939" t="s">
        <v>225</v>
      </c>
      <c r="F939" t="s">
        <v>305</v>
      </c>
      <c r="G939" s="1" t="s">
        <v>3</v>
      </c>
      <c r="H939" s="1">
        <v>553496</v>
      </c>
      <c r="I939" t="s">
        <v>467</v>
      </c>
      <c r="J939" s="110">
        <v>47360615</v>
      </c>
      <c r="K939" s="4">
        <v>95796280</v>
      </c>
      <c r="L939" s="802">
        <v>69.05</v>
      </c>
    </row>
    <row r="940" spans="2:12" x14ac:dyDescent="0.2">
      <c r="B940" s="696">
        <v>42611.458252314813</v>
      </c>
      <c r="C940" s="1" t="s">
        <v>495</v>
      </c>
      <c r="E940" t="s">
        <v>225</v>
      </c>
      <c r="F940" t="s">
        <v>305</v>
      </c>
      <c r="G940" s="1" t="s">
        <v>3</v>
      </c>
      <c r="H940" s="1">
        <v>553496</v>
      </c>
      <c r="I940" t="s">
        <v>467</v>
      </c>
      <c r="J940" s="110">
        <v>47360615</v>
      </c>
      <c r="K940" s="4">
        <v>95247813</v>
      </c>
      <c r="L940" s="802">
        <v>69.3</v>
      </c>
    </row>
    <row r="941" spans="2:12" x14ac:dyDescent="0.2">
      <c r="B941" s="696">
        <v>42611.458784722221</v>
      </c>
      <c r="C941" s="1" t="s">
        <v>495</v>
      </c>
      <c r="E941" t="s">
        <v>225</v>
      </c>
      <c r="F941" t="s">
        <v>305</v>
      </c>
      <c r="G941" s="1" t="s">
        <v>3</v>
      </c>
      <c r="H941" s="1">
        <v>553496</v>
      </c>
      <c r="I941" t="s">
        <v>467</v>
      </c>
      <c r="J941" s="110">
        <v>47360615</v>
      </c>
      <c r="K941" s="4">
        <v>95801643</v>
      </c>
      <c r="L941" s="802">
        <v>69.599999999999994</v>
      </c>
    </row>
    <row r="942" spans="2:12" x14ac:dyDescent="0.2">
      <c r="B942" s="696">
        <v>42611.459374999999</v>
      </c>
      <c r="C942" s="1" t="s">
        <v>495</v>
      </c>
      <c r="E942" t="s">
        <v>225</v>
      </c>
      <c r="F942" t="s">
        <v>305</v>
      </c>
      <c r="G942" s="1" t="s">
        <v>3</v>
      </c>
      <c r="H942" s="1">
        <v>553496</v>
      </c>
      <c r="I942" t="s">
        <v>467</v>
      </c>
      <c r="J942" s="110">
        <v>47360615</v>
      </c>
      <c r="K942" s="4">
        <v>95759882</v>
      </c>
      <c r="L942" s="802">
        <v>69.150000000000006</v>
      </c>
    </row>
    <row r="943" spans="2:12" x14ac:dyDescent="0.2">
      <c r="B943" s="696">
        <v>42611.459965277776</v>
      </c>
      <c r="C943" s="1" t="s">
        <v>495</v>
      </c>
      <c r="E943" t="s">
        <v>225</v>
      </c>
      <c r="F943" t="s">
        <v>305</v>
      </c>
      <c r="G943" s="1" t="s">
        <v>3</v>
      </c>
      <c r="H943" s="1">
        <v>553496</v>
      </c>
      <c r="I943" t="s">
        <v>467</v>
      </c>
      <c r="J943" s="110">
        <v>47360615</v>
      </c>
      <c r="K943" s="4">
        <v>95752978</v>
      </c>
      <c r="L943" s="802">
        <v>69.3</v>
      </c>
    </row>
    <row r="944" spans="2:12" x14ac:dyDescent="0.2">
      <c r="B944" s="696">
        <v>42611.460555555554</v>
      </c>
      <c r="C944" s="1" t="s">
        <v>639</v>
      </c>
      <c r="E944" t="s">
        <v>225</v>
      </c>
      <c r="F944" t="s">
        <v>305</v>
      </c>
      <c r="G944" s="1" t="s">
        <v>3</v>
      </c>
      <c r="H944" s="1">
        <v>552862</v>
      </c>
      <c r="I944" t="s">
        <v>467</v>
      </c>
      <c r="J944" s="110">
        <v>44012722</v>
      </c>
      <c r="K944" s="4">
        <v>95641148</v>
      </c>
      <c r="L944" s="4">
        <v>70</v>
      </c>
    </row>
    <row r="945" spans="2:14" x14ac:dyDescent="0.2">
      <c r="B945" s="696">
        <v>42611.46125</v>
      </c>
      <c r="C945" s="1" t="s">
        <v>639</v>
      </c>
      <c r="E945" t="s">
        <v>225</v>
      </c>
      <c r="F945" t="s">
        <v>305</v>
      </c>
      <c r="G945" s="1" t="s">
        <v>3</v>
      </c>
      <c r="H945" s="1">
        <v>552862</v>
      </c>
      <c r="I945" t="s">
        <v>467</v>
      </c>
      <c r="J945" s="110">
        <v>44012722</v>
      </c>
      <c r="K945" s="4">
        <v>95352688</v>
      </c>
      <c r="L945" s="4">
        <v>70.05</v>
      </c>
    </row>
    <row r="946" spans="2:14" x14ac:dyDescent="0.2">
      <c r="B946" s="696">
        <v>42611.540416666663</v>
      </c>
      <c r="C946" s="1" t="s">
        <v>495</v>
      </c>
      <c r="E946" t="s">
        <v>225</v>
      </c>
      <c r="F946" t="s">
        <v>305</v>
      </c>
      <c r="G946" s="1" t="s">
        <v>3</v>
      </c>
      <c r="H946" s="1">
        <v>553496</v>
      </c>
      <c r="I946" t="s">
        <v>467</v>
      </c>
      <c r="J946" s="110">
        <v>47360615</v>
      </c>
      <c r="K946" s="4">
        <v>95311445</v>
      </c>
      <c r="L946" s="802">
        <v>68.849999999999994</v>
      </c>
    </row>
    <row r="947" spans="2:14" x14ac:dyDescent="0.2">
      <c r="B947" s="696">
        <v>42611.540972222225</v>
      </c>
      <c r="C947" s="1" t="s">
        <v>639</v>
      </c>
      <c r="E947" t="s">
        <v>225</v>
      </c>
      <c r="F947" t="s">
        <v>305</v>
      </c>
      <c r="G947" s="1" t="s">
        <v>3</v>
      </c>
      <c r="H947" s="1">
        <v>552862</v>
      </c>
      <c r="I947" t="s">
        <v>467</v>
      </c>
      <c r="J947" s="110">
        <v>44012722</v>
      </c>
      <c r="K947" s="4">
        <v>95383816</v>
      </c>
      <c r="L947" s="4">
        <v>64.45</v>
      </c>
    </row>
    <row r="948" spans="2:14" x14ac:dyDescent="0.2">
      <c r="B948" s="696">
        <v>42611.541458333333</v>
      </c>
      <c r="C948" s="1" t="s">
        <v>495</v>
      </c>
      <c r="E948" t="s">
        <v>225</v>
      </c>
      <c r="F948" t="s">
        <v>305</v>
      </c>
      <c r="G948" s="1" t="s">
        <v>3</v>
      </c>
      <c r="H948" s="1">
        <v>553496</v>
      </c>
      <c r="I948" t="s">
        <v>467</v>
      </c>
      <c r="J948" s="110">
        <v>47360615</v>
      </c>
      <c r="K948" s="4">
        <v>95352704</v>
      </c>
      <c r="L948" s="802">
        <v>64.2</v>
      </c>
    </row>
    <row r="949" spans="2:14" x14ac:dyDescent="0.2">
      <c r="B949" s="696">
        <v>42612.10260416667</v>
      </c>
      <c r="C949" s="1" t="s">
        <v>495</v>
      </c>
      <c r="E949" t="s">
        <v>225</v>
      </c>
      <c r="F949" t="s">
        <v>305</v>
      </c>
      <c r="G949" s="1" t="s">
        <v>3</v>
      </c>
      <c r="H949" s="1">
        <v>553496</v>
      </c>
      <c r="I949" t="s">
        <v>467</v>
      </c>
      <c r="J949" s="110">
        <v>47410774</v>
      </c>
      <c r="K949" s="4">
        <v>95154522</v>
      </c>
      <c r="L949" s="802">
        <v>64.75</v>
      </c>
    </row>
    <row r="950" spans="2:14" x14ac:dyDescent="0.2">
      <c r="B950" s="696">
        <v>42612.103333333333</v>
      </c>
      <c r="C950" s="1" t="s">
        <v>495</v>
      </c>
      <c r="E950" t="s">
        <v>225</v>
      </c>
      <c r="F950" t="s">
        <v>305</v>
      </c>
      <c r="G950" s="1" t="s">
        <v>3</v>
      </c>
      <c r="H950" s="1">
        <v>553496</v>
      </c>
      <c r="I950" t="s">
        <v>467</v>
      </c>
      <c r="J950" s="110">
        <v>47410774</v>
      </c>
      <c r="K950" s="4">
        <v>95094207</v>
      </c>
      <c r="L950" s="802">
        <v>67.150000000000006</v>
      </c>
    </row>
    <row r="951" spans="2:14" x14ac:dyDescent="0.2">
      <c r="B951" s="696">
        <v>42612.10392361111</v>
      </c>
      <c r="C951" s="1" t="s">
        <v>495</v>
      </c>
      <c r="E951" t="s">
        <v>225</v>
      </c>
      <c r="F951" t="s">
        <v>305</v>
      </c>
      <c r="G951" s="1" t="s">
        <v>3</v>
      </c>
      <c r="H951" s="1">
        <v>553496</v>
      </c>
      <c r="I951" t="s">
        <v>467</v>
      </c>
      <c r="J951" s="110">
        <v>47410774</v>
      </c>
      <c r="K951" s="4">
        <v>95189809</v>
      </c>
      <c r="L951" s="802">
        <v>65.849999999999994</v>
      </c>
    </row>
    <row r="952" spans="2:14" x14ac:dyDescent="0.2">
      <c r="B952" s="696">
        <v>42612.10434027778</v>
      </c>
      <c r="C952" s="1" t="s">
        <v>495</v>
      </c>
      <c r="E952" t="s">
        <v>225</v>
      </c>
      <c r="F952" t="s">
        <v>305</v>
      </c>
      <c r="G952" s="1" t="s">
        <v>3</v>
      </c>
      <c r="H952" s="1">
        <v>553496</v>
      </c>
      <c r="I952" t="s">
        <v>467</v>
      </c>
      <c r="J952" s="110">
        <v>47410774</v>
      </c>
      <c r="K952" s="4">
        <v>95188157</v>
      </c>
      <c r="L952" s="802">
        <v>67.05</v>
      </c>
    </row>
    <row r="953" spans="2:14" x14ac:dyDescent="0.2">
      <c r="B953" s="696">
        <v>42612.235034722224</v>
      </c>
      <c r="C953" s="1" t="s">
        <v>464</v>
      </c>
      <c r="E953" t="s">
        <v>225</v>
      </c>
      <c r="F953" t="s">
        <v>305</v>
      </c>
      <c r="G953" s="1" t="s">
        <v>3</v>
      </c>
      <c r="H953" s="1">
        <v>553409</v>
      </c>
      <c r="I953" t="s">
        <v>467</v>
      </c>
      <c r="J953" s="110">
        <v>227</v>
      </c>
      <c r="K953" s="4" t="s">
        <v>765</v>
      </c>
      <c r="L953" s="4">
        <v>22.2</v>
      </c>
    </row>
    <row r="954" spans="2:14" x14ac:dyDescent="0.2">
      <c r="B954" s="696">
        <v>42611.397418981483</v>
      </c>
      <c r="C954" s="1" t="s">
        <v>619</v>
      </c>
      <c r="E954" t="s">
        <v>225</v>
      </c>
      <c r="F954" t="s">
        <v>305</v>
      </c>
      <c r="G954" s="1" t="s">
        <v>3</v>
      </c>
      <c r="H954" s="1">
        <v>551127</v>
      </c>
      <c r="I954" t="s">
        <v>292</v>
      </c>
      <c r="J954" s="110">
        <v>50491000</v>
      </c>
      <c r="K954" s="4">
        <v>95615217</v>
      </c>
      <c r="L954" s="4">
        <v>67.45</v>
      </c>
      <c r="M954" s="4">
        <v>12</v>
      </c>
      <c r="N954">
        <v>1.62</v>
      </c>
    </row>
    <row r="955" spans="2:14" x14ac:dyDescent="0.2">
      <c r="B955" s="696">
        <v>42611.398935185185</v>
      </c>
      <c r="C955" s="1" t="s">
        <v>619</v>
      </c>
      <c r="E955" t="s">
        <v>225</v>
      </c>
      <c r="F955" t="s">
        <v>305</v>
      </c>
      <c r="G955" s="1" t="s">
        <v>3</v>
      </c>
      <c r="H955" s="1">
        <v>551127</v>
      </c>
      <c r="I955" t="s">
        <v>292</v>
      </c>
      <c r="J955" s="110">
        <v>50491000</v>
      </c>
      <c r="K955" s="4">
        <v>95332821</v>
      </c>
      <c r="L955" s="4">
        <v>67.400000000000006</v>
      </c>
      <c r="M955" s="4">
        <v>12</v>
      </c>
      <c r="N955">
        <v>1.68</v>
      </c>
    </row>
    <row r="956" spans="2:14" x14ac:dyDescent="0.2">
      <c r="B956" s="696">
        <v>42611.39949074074</v>
      </c>
      <c r="C956" s="1" t="s">
        <v>619</v>
      </c>
      <c r="E956" t="s">
        <v>225</v>
      </c>
      <c r="F956" t="s">
        <v>305</v>
      </c>
      <c r="G956" s="1" t="s">
        <v>3</v>
      </c>
      <c r="H956" s="1">
        <v>551127</v>
      </c>
      <c r="I956" t="s">
        <v>292</v>
      </c>
      <c r="J956" s="110">
        <v>50491000</v>
      </c>
      <c r="K956" s="4">
        <v>95831038</v>
      </c>
      <c r="L956" s="4">
        <v>67.75</v>
      </c>
      <c r="M956" s="4">
        <v>11.2</v>
      </c>
      <c r="N956">
        <v>1.5</v>
      </c>
    </row>
    <row r="957" spans="2:14" x14ac:dyDescent="0.2">
      <c r="B957" s="696">
        <v>42611.400196759256</v>
      </c>
      <c r="C957" s="1" t="s">
        <v>619</v>
      </c>
      <c r="E957" t="s">
        <v>225</v>
      </c>
      <c r="F957" t="s">
        <v>305</v>
      </c>
      <c r="G957" s="1" t="s">
        <v>3</v>
      </c>
      <c r="H957" s="1">
        <v>551127</v>
      </c>
      <c r="I957" t="s">
        <v>292</v>
      </c>
      <c r="J957" s="110">
        <v>50489756</v>
      </c>
      <c r="K957" s="4">
        <v>95757779</v>
      </c>
      <c r="L957" s="4">
        <v>67.849999999999994</v>
      </c>
      <c r="M957" s="4">
        <v>10.5</v>
      </c>
      <c r="N957">
        <v>1.8</v>
      </c>
    </row>
    <row r="958" spans="2:14" x14ac:dyDescent="0.2">
      <c r="B958" s="696">
        <v>42611.400960648149</v>
      </c>
      <c r="C958" s="1" t="s">
        <v>619</v>
      </c>
      <c r="E958" t="s">
        <v>225</v>
      </c>
      <c r="F958" t="s">
        <v>305</v>
      </c>
      <c r="G958" s="1" t="s">
        <v>3</v>
      </c>
      <c r="H958" s="1">
        <v>551127</v>
      </c>
      <c r="I958" t="s">
        <v>292</v>
      </c>
      <c r="J958" s="110">
        <v>50491000</v>
      </c>
      <c r="K958" s="4">
        <v>95338828</v>
      </c>
      <c r="L958" s="4">
        <v>67.849999999999994</v>
      </c>
      <c r="M958" s="4">
        <v>12.3</v>
      </c>
      <c r="N958">
        <v>1.42</v>
      </c>
    </row>
    <row r="959" spans="2:14" x14ac:dyDescent="0.2">
      <c r="B959" s="696">
        <v>42611.401574074072</v>
      </c>
      <c r="C959" s="1" t="s">
        <v>619</v>
      </c>
      <c r="E959" t="s">
        <v>225</v>
      </c>
      <c r="F959" t="s">
        <v>305</v>
      </c>
      <c r="G959" s="1" t="s">
        <v>3</v>
      </c>
      <c r="H959" s="1">
        <v>551127</v>
      </c>
      <c r="I959" t="s">
        <v>292</v>
      </c>
      <c r="J959" s="110">
        <v>50491000</v>
      </c>
      <c r="K959" s="4">
        <v>95650719</v>
      </c>
      <c r="L959" s="4">
        <v>68.8</v>
      </c>
      <c r="M959" s="4">
        <v>12.3</v>
      </c>
      <c r="N959">
        <v>1.76</v>
      </c>
    </row>
    <row r="960" spans="2:14" x14ac:dyDescent="0.2">
      <c r="B960" s="696">
        <v>42611.53597222222</v>
      </c>
      <c r="C960" s="1" t="s">
        <v>767</v>
      </c>
      <c r="E960" t="s">
        <v>225</v>
      </c>
      <c r="F960" t="s">
        <v>305</v>
      </c>
      <c r="G960" s="1" t="s">
        <v>3</v>
      </c>
      <c r="H960" s="1">
        <v>551438</v>
      </c>
      <c r="I960" t="s">
        <v>292</v>
      </c>
      <c r="J960" s="110">
        <v>44008662</v>
      </c>
      <c r="K960" s="4">
        <v>95667614</v>
      </c>
      <c r="L960" s="4">
        <v>61.65</v>
      </c>
      <c r="M960" s="4">
        <v>13.4</v>
      </c>
      <c r="N960">
        <v>1.46</v>
      </c>
    </row>
    <row r="961" spans="2:14" x14ac:dyDescent="0.2">
      <c r="B961" s="696">
        <v>42611.537569444445</v>
      </c>
      <c r="C961" s="1" t="s">
        <v>767</v>
      </c>
      <c r="E961" t="s">
        <v>225</v>
      </c>
      <c r="F961" t="s">
        <v>305</v>
      </c>
      <c r="G961" s="1" t="s">
        <v>3</v>
      </c>
      <c r="H961" s="1">
        <v>551438</v>
      </c>
      <c r="I961" t="s">
        <v>292</v>
      </c>
      <c r="J961" s="110">
        <v>44008662</v>
      </c>
      <c r="K961" s="4">
        <v>95680708</v>
      </c>
      <c r="L961" s="4">
        <v>61.95</v>
      </c>
      <c r="M961" s="4">
        <v>13.6</v>
      </c>
      <c r="N961">
        <v>1.4</v>
      </c>
    </row>
    <row r="962" spans="2:14" x14ac:dyDescent="0.2">
      <c r="B962" s="696">
        <v>42611.53806712963</v>
      </c>
      <c r="C962" s="1" t="s">
        <v>767</v>
      </c>
      <c r="E962" t="s">
        <v>225</v>
      </c>
      <c r="F962" t="s">
        <v>305</v>
      </c>
      <c r="G962" s="1" t="s">
        <v>3</v>
      </c>
      <c r="H962" s="1">
        <v>551438</v>
      </c>
      <c r="I962" t="s">
        <v>292</v>
      </c>
      <c r="J962" s="110">
        <v>44008662</v>
      </c>
      <c r="K962" s="4">
        <v>95679213</v>
      </c>
      <c r="L962" s="4">
        <v>61.15</v>
      </c>
      <c r="M962" s="4">
        <v>13.4</v>
      </c>
      <c r="N962">
        <v>1.48</v>
      </c>
    </row>
    <row r="963" spans="2:14" x14ac:dyDescent="0.2">
      <c r="B963" s="696">
        <v>42611.538576388892</v>
      </c>
      <c r="C963" s="1" t="s">
        <v>767</v>
      </c>
      <c r="E963" t="s">
        <v>225</v>
      </c>
      <c r="F963" t="s">
        <v>305</v>
      </c>
      <c r="G963" s="1" t="s">
        <v>3</v>
      </c>
      <c r="H963" s="1">
        <v>551438</v>
      </c>
      <c r="I963" t="s">
        <v>292</v>
      </c>
      <c r="J963" s="110">
        <v>44008662</v>
      </c>
      <c r="K963" s="4">
        <v>95823266</v>
      </c>
      <c r="L963" s="4">
        <v>60.95</v>
      </c>
      <c r="M963" s="4">
        <v>13.6</v>
      </c>
      <c r="N963">
        <v>1.52</v>
      </c>
    </row>
    <row r="964" spans="2:14" x14ac:dyDescent="0.2">
      <c r="B964" s="696">
        <v>42611.539120370369</v>
      </c>
      <c r="C964" s="1" t="s">
        <v>767</v>
      </c>
      <c r="E964" t="s">
        <v>225</v>
      </c>
      <c r="F964" t="s">
        <v>305</v>
      </c>
      <c r="G964" s="1" t="s">
        <v>3</v>
      </c>
      <c r="H964" s="1">
        <v>551438</v>
      </c>
      <c r="I964" t="s">
        <v>292</v>
      </c>
      <c r="J964" s="110">
        <v>44008662</v>
      </c>
      <c r="K964" s="4">
        <v>95800959</v>
      </c>
      <c r="L964" s="4">
        <v>61.2</v>
      </c>
      <c r="M964" s="4">
        <v>13.8</v>
      </c>
      <c r="N964">
        <v>1.48</v>
      </c>
    </row>
    <row r="965" spans="2:14" x14ac:dyDescent="0.2">
      <c r="B965" s="696">
        <v>42611.539618055554</v>
      </c>
      <c r="C965" s="1" t="s">
        <v>767</v>
      </c>
      <c r="E965" t="s">
        <v>225</v>
      </c>
      <c r="F965" t="s">
        <v>305</v>
      </c>
      <c r="G965" s="1" t="s">
        <v>3</v>
      </c>
      <c r="H965" s="1">
        <v>551438</v>
      </c>
      <c r="I965" t="s">
        <v>292</v>
      </c>
      <c r="J965" s="110">
        <v>44008662</v>
      </c>
      <c r="K965" s="4">
        <v>95448312</v>
      </c>
      <c r="L965" s="4">
        <v>60.85</v>
      </c>
      <c r="M965" s="4">
        <v>13.8</v>
      </c>
      <c r="N965">
        <v>1.38</v>
      </c>
    </row>
    <row r="966" spans="2:14" x14ac:dyDescent="0.2">
      <c r="B966" s="696">
        <v>42612.104768518519</v>
      </c>
      <c r="C966" s="1" t="s">
        <v>619</v>
      </c>
      <c r="E966" t="s">
        <v>225</v>
      </c>
      <c r="F966" t="s">
        <v>305</v>
      </c>
      <c r="G966" s="1" t="s">
        <v>3</v>
      </c>
      <c r="H966" s="1">
        <v>551127</v>
      </c>
      <c r="I966" t="s">
        <v>292</v>
      </c>
      <c r="J966" s="110">
        <v>50472315</v>
      </c>
      <c r="K966" s="4">
        <v>95635421</v>
      </c>
      <c r="L966" s="4">
        <v>68.099999999999994</v>
      </c>
      <c r="M966" s="4">
        <v>11</v>
      </c>
      <c r="N966">
        <v>1.18</v>
      </c>
    </row>
    <row r="967" spans="2:14" x14ac:dyDescent="0.2">
      <c r="B967" s="696">
        <v>42612.105254629627</v>
      </c>
      <c r="C967" s="1" t="s">
        <v>619</v>
      </c>
      <c r="E967" t="s">
        <v>225</v>
      </c>
      <c r="F967" t="s">
        <v>305</v>
      </c>
      <c r="G967" s="1" t="s">
        <v>3</v>
      </c>
      <c r="H967" s="1">
        <v>551127</v>
      </c>
      <c r="I967" t="s">
        <v>292</v>
      </c>
      <c r="J967" s="110">
        <v>50472315</v>
      </c>
      <c r="K967" s="4">
        <v>95543252</v>
      </c>
      <c r="L967" s="4">
        <v>68.3</v>
      </c>
      <c r="M967" s="4">
        <v>11.1</v>
      </c>
      <c r="N967">
        <v>1.1200000000000001</v>
      </c>
    </row>
    <row r="968" spans="2:14" x14ac:dyDescent="0.2">
      <c r="B968" s="696">
        <v>42612.105856481481</v>
      </c>
      <c r="C968" s="1" t="s">
        <v>619</v>
      </c>
      <c r="E968" t="s">
        <v>225</v>
      </c>
      <c r="F968" t="s">
        <v>305</v>
      </c>
      <c r="G968" s="1" t="s">
        <v>3</v>
      </c>
      <c r="H968" s="1">
        <v>551127</v>
      </c>
      <c r="I968" t="s">
        <v>292</v>
      </c>
      <c r="J968" s="110">
        <v>50472315</v>
      </c>
      <c r="K968" s="4">
        <v>95678876</v>
      </c>
      <c r="L968" s="4">
        <v>69.599999999999994</v>
      </c>
      <c r="M968" s="4">
        <v>11.7</v>
      </c>
      <c r="N968">
        <v>1.1000000000000001</v>
      </c>
    </row>
    <row r="969" spans="2:14" x14ac:dyDescent="0.2">
      <c r="B969" s="696">
        <v>42612.106527777774</v>
      </c>
      <c r="C969" s="1" t="s">
        <v>619</v>
      </c>
      <c r="E969" t="s">
        <v>225</v>
      </c>
      <c r="F969" t="s">
        <v>305</v>
      </c>
      <c r="G969" s="1" t="s">
        <v>3</v>
      </c>
      <c r="H969" s="1">
        <v>551127</v>
      </c>
      <c r="I969" t="s">
        <v>292</v>
      </c>
      <c r="J969" s="110">
        <v>50472315</v>
      </c>
      <c r="K969" s="4">
        <v>95396073</v>
      </c>
      <c r="L969" s="4">
        <v>69.599999999999994</v>
      </c>
      <c r="M969" s="4">
        <v>11.7</v>
      </c>
      <c r="N969">
        <v>1.08</v>
      </c>
    </row>
    <row r="970" spans="2:14" x14ac:dyDescent="0.2">
      <c r="B970" s="696">
        <v>42612.106921296298</v>
      </c>
      <c r="C970" s="1" t="s">
        <v>619</v>
      </c>
      <c r="E970" t="s">
        <v>225</v>
      </c>
      <c r="F970" t="s">
        <v>305</v>
      </c>
      <c r="G970" s="1" t="s">
        <v>3</v>
      </c>
      <c r="H970" s="1">
        <v>551127</v>
      </c>
      <c r="I970" t="s">
        <v>292</v>
      </c>
      <c r="J970" s="110">
        <v>50472315</v>
      </c>
      <c r="K970" s="4">
        <v>95694469</v>
      </c>
      <c r="L970" s="4">
        <v>69.3</v>
      </c>
      <c r="M970" s="4">
        <v>11.7</v>
      </c>
      <c r="N970">
        <v>1.1599999999999999</v>
      </c>
    </row>
    <row r="971" spans="2:14" x14ac:dyDescent="0.2">
      <c r="B971" s="696">
        <v>42612.125543981485</v>
      </c>
      <c r="C971" s="1" t="s">
        <v>462</v>
      </c>
      <c r="E971" t="s">
        <v>225</v>
      </c>
      <c r="F971" t="s">
        <v>305</v>
      </c>
      <c r="G971" s="1" t="s">
        <v>3</v>
      </c>
      <c r="H971" s="1">
        <v>553729</v>
      </c>
      <c r="I971" t="s">
        <v>643</v>
      </c>
      <c r="J971" s="110">
        <v>52</v>
      </c>
      <c r="K971" s="4" t="s">
        <v>506</v>
      </c>
      <c r="L971" s="4">
        <v>22.88</v>
      </c>
      <c r="M971" s="4">
        <v>11.7</v>
      </c>
      <c r="N971">
        <v>1</v>
      </c>
    </row>
    <row r="972" spans="2:14" x14ac:dyDescent="0.2">
      <c r="B972" s="696">
        <v>42612.306863425925</v>
      </c>
      <c r="C972" s="1" t="s">
        <v>462</v>
      </c>
      <c r="E972" t="s">
        <v>225</v>
      </c>
      <c r="F972" t="s">
        <v>305</v>
      </c>
      <c r="G972" s="1" t="s">
        <v>3</v>
      </c>
      <c r="H972" s="1">
        <v>553729</v>
      </c>
      <c r="I972" t="s">
        <v>292</v>
      </c>
      <c r="J972" s="110">
        <v>53</v>
      </c>
      <c r="K972" s="4" t="s">
        <v>502</v>
      </c>
      <c r="L972" s="4">
        <v>22.52</v>
      </c>
      <c r="M972" s="4">
        <v>11.8</v>
      </c>
      <c r="N972">
        <v>0.86</v>
      </c>
    </row>
    <row r="973" spans="2:14" x14ac:dyDescent="0.2">
      <c r="B973" s="696">
        <v>42612.121238425927</v>
      </c>
      <c r="C973" s="1" t="s">
        <v>495</v>
      </c>
      <c r="E973" t="s">
        <v>225</v>
      </c>
      <c r="F973" t="s">
        <v>305</v>
      </c>
      <c r="G973" s="1" t="s">
        <v>3</v>
      </c>
      <c r="H973" s="1">
        <v>553796</v>
      </c>
      <c r="I973" t="s">
        <v>768</v>
      </c>
      <c r="J973" s="110">
        <v>777096</v>
      </c>
      <c r="K973" s="4" t="s">
        <v>617</v>
      </c>
      <c r="L973" s="4">
        <v>26.4</v>
      </c>
      <c r="M973" s="4">
        <v>6</v>
      </c>
      <c r="N973">
        <v>2</v>
      </c>
    </row>
    <row r="974" spans="2:14" x14ac:dyDescent="0.2">
      <c r="B974" s="696">
        <v>42612.13108796296</v>
      </c>
      <c r="C974" s="1" t="s">
        <v>495</v>
      </c>
      <c r="E974" t="s">
        <v>225</v>
      </c>
      <c r="F974" t="s">
        <v>305</v>
      </c>
      <c r="G974" s="1" t="s">
        <v>3</v>
      </c>
      <c r="H974" s="1">
        <v>553796</v>
      </c>
      <c r="I974" t="s">
        <v>768</v>
      </c>
      <c r="J974" s="110">
        <v>777097</v>
      </c>
      <c r="K974" s="4" t="s">
        <v>766</v>
      </c>
      <c r="L974" s="4">
        <v>26.32</v>
      </c>
      <c r="M974" s="4">
        <v>6</v>
      </c>
      <c r="N974">
        <v>1.83</v>
      </c>
    </row>
    <row r="975" spans="2:14" x14ac:dyDescent="0.2">
      <c r="B975" s="749">
        <v>42612</v>
      </c>
      <c r="C975" s="1" t="s">
        <v>871</v>
      </c>
      <c r="D975" t="s">
        <v>144</v>
      </c>
      <c r="E975" t="s">
        <v>225</v>
      </c>
      <c r="F975" s="750" t="s">
        <v>784</v>
      </c>
      <c r="G975" s="1" t="s">
        <v>3</v>
      </c>
      <c r="H975" s="1">
        <v>552825</v>
      </c>
      <c r="I975" t="s">
        <v>467</v>
      </c>
      <c r="J975" s="110">
        <v>34972497</v>
      </c>
      <c r="K975" s="4">
        <v>95526422</v>
      </c>
      <c r="L975" s="4">
        <v>69.599999999999994</v>
      </c>
    </row>
    <row r="976" spans="2:14" x14ac:dyDescent="0.2">
      <c r="B976" s="749">
        <v>42612</v>
      </c>
      <c r="C976" s="1" t="s">
        <v>871</v>
      </c>
      <c r="D976" t="s">
        <v>144</v>
      </c>
      <c r="E976" t="s">
        <v>225</v>
      </c>
      <c r="F976" s="750" t="s">
        <v>784</v>
      </c>
      <c r="G976" s="1" t="s">
        <v>3</v>
      </c>
      <c r="H976" s="1">
        <v>552825</v>
      </c>
      <c r="I976" t="s">
        <v>467</v>
      </c>
      <c r="J976" s="110">
        <v>34972497</v>
      </c>
      <c r="K976" s="4">
        <v>95337002</v>
      </c>
      <c r="L976" s="4">
        <v>69.599999999999994</v>
      </c>
    </row>
    <row r="977" spans="2:12" x14ac:dyDescent="0.2">
      <c r="B977" s="749">
        <v>42612</v>
      </c>
      <c r="C977" s="1" t="s">
        <v>871</v>
      </c>
      <c r="D977" t="s">
        <v>144</v>
      </c>
      <c r="E977" t="s">
        <v>225</v>
      </c>
      <c r="F977" s="750" t="s">
        <v>784</v>
      </c>
      <c r="G977" s="1" t="s">
        <v>3</v>
      </c>
      <c r="H977" s="1">
        <v>552825</v>
      </c>
      <c r="I977" t="s">
        <v>467</v>
      </c>
      <c r="J977" s="110">
        <v>34972497</v>
      </c>
      <c r="K977" s="4">
        <v>95336335</v>
      </c>
      <c r="L977" s="4">
        <v>69.25</v>
      </c>
    </row>
    <row r="978" spans="2:12" x14ac:dyDescent="0.2">
      <c r="B978" s="749">
        <v>42612</v>
      </c>
      <c r="C978" s="1" t="s">
        <v>871</v>
      </c>
      <c r="D978" t="s">
        <v>144</v>
      </c>
      <c r="E978" t="s">
        <v>225</v>
      </c>
      <c r="F978" s="750" t="s">
        <v>784</v>
      </c>
      <c r="G978" s="1" t="s">
        <v>3</v>
      </c>
      <c r="H978" s="1">
        <v>552825</v>
      </c>
      <c r="I978" t="s">
        <v>467</v>
      </c>
      <c r="J978" s="110">
        <v>34972497</v>
      </c>
      <c r="K978" s="4">
        <v>95367447</v>
      </c>
      <c r="L978" s="4">
        <v>69.7</v>
      </c>
    </row>
    <row r="979" spans="2:12" x14ac:dyDescent="0.2">
      <c r="B979" s="749">
        <v>42612</v>
      </c>
      <c r="C979" s="1" t="s">
        <v>871</v>
      </c>
      <c r="D979" t="s">
        <v>144</v>
      </c>
      <c r="E979" t="s">
        <v>225</v>
      </c>
      <c r="F979" s="750" t="s">
        <v>784</v>
      </c>
      <c r="G979" s="1" t="s">
        <v>3</v>
      </c>
      <c r="H979" s="1">
        <v>552825</v>
      </c>
      <c r="I979" t="s">
        <v>467</v>
      </c>
      <c r="J979" s="110">
        <v>34972497</v>
      </c>
      <c r="K979" s="4">
        <v>95536975</v>
      </c>
      <c r="L979" s="4">
        <v>63.8</v>
      </c>
    </row>
    <row r="980" spans="2:12" x14ac:dyDescent="0.2">
      <c r="B980" s="749">
        <v>42612</v>
      </c>
      <c r="C980" s="1" t="s">
        <v>871</v>
      </c>
      <c r="D980" t="s">
        <v>144</v>
      </c>
      <c r="E980" t="s">
        <v>225</v>
      </c>
      <c r="F980" s="750" t="s">
        <v>784</v>
      </c>
      <c r="G980" s="1" t="s">
        <v>3</v>
      </c>
      <c r="H980" s="1">
        <v>552825</v>
      </c>
      <c r="I980" t="s">
        <v>467</v>
      </c>
      <c r="J980" s="110">
        <v>34972497</v>
      </c>
      <c r="K980" s="4">
        <v>95800371</v>
      </c>
      <c r="L980" s="4">
        <v>69.2</v>
      </c>
    </row>
    <row r="981" spans="2:12" x14ac:dyDescent="0.2">
      <c r="B981" s="749">
        <v>42612</v>
      </c>
      <c r="C981" s="1" t="s">
        <v>871</v>
      </c>
      <c r="D981" t="s">
        <v>144</v>
      </c>
      <c r="E981" t="s">
        <v>225</v>
      </c>
      <c r="F981" s="750" t="s">
        <v>784</v>
      </c>
      <c r="G981" s="1" t="s">
        <v>3</v>
      </c>
      <c r="H981" s="1">
        <v>552825</v>
      </c>
      <c r="I981" t="s">
        <v>467</v>
      </c>
      <c r="J981" s="110">
        <v>34972497</v>
      </c>
      <c r="K981" s="4">
        <v>95678371</v>
      </c>
      <c r="L981" s="4">
        <v>68.900000000000006</v>
      </c>
    </row>
    <row r="982" spans="2:12" x14ac:dyDescent="0.2">
      <c r="B982" s="749">
        <v>42612</v>
      </c>
      <c r="C982" s="1" t="s">
        <v>871</v>
      </c>
      <c r="D982" t="s">
        <v>144</v>
      </c>
      <c r="E982" t="s">
        <v>225</v>
      </c>
      <c r="F982" s="750" t="s">
        <v>784</v>
      </c>
      <c r="G982" s="1" t="s">
        <v>3</v>
      </c>
      <c r="H982" s="1">
        <v>552825</v>
      </c>
      <c r="I982" t="s">
        <v>467</v>
      </c>
      <c r="J982" s="110">
        <v>34972497</v>
      </c>
      <c r="K982" s="4">
        <v>95692224</v>
      </c>
      <c r="L982" s="4">
        <v>68.8</v>
      </c>
    </row>
    <row r="983" spans="2:12" x14ac:dyDescent="0.2">
      <c r="B983" s="749">
        <v>42612</v>
      </c>
      <c r="C983" s="1" t="s">
        <v>871</v>
      </c>
      <c r="D983" t="s">
        <v>144</v>
      </c>
      <c r="E983" t="s">
        <v>225</v>
      </c>
      <c r="F983" s="750" t="s">
        <v>784</v>
      </c>
      <c r="G983" s="1" t="s">
        <v>3</v>
      </c>
      <c r="H983" s="1">
        <v>552825</v>
      </c>
      <c r="I983" t="s">
        <v>467</v>
      </c>
      <c r="J983" s="110">
        <v>34972497</v>
      </c>
      <c r="K983" s="4">
        <v>95449211</v>
      </c>
      <c r="L983" s="4">
        <v>69.7</v>
      </c>
    </row>
    <row r="984" spans="2:12" x14ac:dyDescent="0.2">
      <c r="B984" s="749">
        <v>42612</v>
      </c>
      <c r="C984" s="1" t="s">
        <v>871</v>
      </c>
      <c r="D984" t="s">
        <v>144</v>
      </c>
      <c r="E984" t="s">
        <v>225</v>
      </c>
      <c r="F984" s="750" t="s">
        <v>784</v>
      </c>
      <c r="G984" s="1" t="s">
        <v>3</v>
      </c>
      <c r="H984" s="1">
        <v>552825</v>
      </c>
      <c r="I984" t="s">
        <v>467</v>
      </c>
      <c r="J984" s="110">
        <v>40321697</v>
      </c>
      <c r="K984" s="4">
        <v>95492534</v>
      </c>
      <c r="L984" s="4">
        <v>67.2</v>
      </c>
    </row>
    <row r="985" spans="2:12" x14ac:dyDescent="0.2">
      <c r="B985" s="749">
        <v>42612</v>
      </c>
      <c r="C985" s="1" t="s">
        <v>871</v>
      </c>
      <c r="D985" t="s">
        <v>144</v>
      </c>
      <c r="E985" t="s">
        <v>225</v>
      </c>
      <c r="F985" s="750" t="s">
        <v>784</v>
      </c>
      <c r="G985" s="1" t="s">
        <v>3</v>
      </c>
      <c r="H985" s="1">
        <v>552825</v>
      </c>
      <c r="I985" t="s">
        <v>467</v>
      </c>
      <c r="J985" s="110">
        <v>40321697</v>
      </c>
      <c r="K985" s="4">
        <v>95378071</v>
      </c>
      <c r="L985" s="4">
        <v>69.05</v>
      </c>
    </row>
    <row r="986" spans="2:12" x14ac:dyDescent="0.2">
      <c r="B986" s="749">
        <v>42612</v>
      </c>
      <c r="C986" s="1" t="s">
        <v>641</v>
      </c>
      <c r="D986" t="s">
        <v>144</v>
      </c>
      <c r="E986" t="s">
        <v>225</v>
      </c>
      <c r="F986" t="s">
        <v>305</v>
      </c>
      <c r="G986" s="1" t="s">
        <v>3</v>
      </c>
      <c r="H986" s="1">
        <v>551438</v>
      </c>
      <c r="I986" t="s">
        <v>292</v>
      </c>
      <c r="J986" s="110">
        <v>44028314</v>
      </c>
      <c r="K986" s="4">
        <v>95757639</v>
      </c>
      <c r="L986" s="4">
        <v>59.55</v>
      </c>
    </row>
    <row r="987" spans="2:12" x14ac:dyDescent="0.2">
      <c r="B987" s="749">
        <v>42612</v>
      </c>
      <c r="C987" s="1" t="s">
        <v>641</v>
      </c>
      <c r="D987" t="s">
        <v>144</v>
      </c>
      <c r="E987" t="s">
        <v>225</v>
      </c>
      <c r="F987" t="s">
        <v>305</v>
      </c>
      <c r="G987" s="1" t="s">
        <v>3</v>
      </c>
      <c r="H987" s="1">
        <v>551438</v>
      </c>
      <c r="I987" t="s">
        <v>292</v>
      </c>
      <c r="J987" s="110">
        <v>44028314</v>
      </c>
      <c r="K987" s="4">
        <v>95617411</v>
      </c>
      <c r="L987" s="4">
        <v>60.3</v>
      </c>
    </row>
    <row r="988" spans="2:12" x14ac:dyDescent="0.2">
      <c r="B988" s="749">
        <v>42612</v>
      </c>
      <c r="C988" s="1" t="s">
        <v>641</v>
      </c>
      <c r="D988" t="s">
        <v>144</v>
      </c>
      <c r="E988" t="s">
        <v>225</v>
      </c>
      <c r="F988" t="s">
        <v>305</v>
      </c>
      <c r="G988" s="1" t="s">
        <v>3</v>
      </c>
      <c r="H988" s="1">
        <v>551438</v>
      </c>
      <c r="I988" t="s">
        <v>292</v>
      </c>
      <c r="J988" s="110">
        <v>44028314</v>
      </c>
      <c r="K988" s="4">
        <v>95681557</v>
      </c>
      <c r="L988" s="4">
        <v>60.7</v>
      </c>
    </row>
    <row r="989" spans="2:12" x14ac:dyDescent="0.2">
      <c r="B989" s="749">
        <v>42612</v>
      </c>
      <c r="C989" s="1" t="s">
        <v>641</v>
      </c>
      <c r="D989" t="s">
        <v>144</v>
      </c>
      <c r="E989" t="s">
        <v>225</v>
      </c>
      <c r="F989" t="s">
        <v>305</v>
      </c>
      <c r="G989" s="1" t="s">
        <v>3</v>
      </c>
      <c r="H989" s="1">
        <v>551438</v>
      </c>
      <c r="I989" t="s">
        <v>292</v>
      </c>
      <c r="J989" s="110">
        <v>44028322</v>
      </c>
      <c r="K989" s="4">
        <v>95528105</v>
      </c>
      <c r="L989" s="4">
        <v>59.8</v>
      </c>
    </row>
    <row r="990" spans="2:12" x14ac:dyDescent="0.2">
      <c r="B990" s="749">
        <v>42612</v>
      </c>
      <c r="C990" s="1" t="s">
        <v>641</v>
      </c>
      <c r="D990" t="s">
        <v>144</v>
      </c>
      <c r="E990" t="s">
        <v>225</v>
      </c>
      <c r="F990" t="s">
        <v>305</v>
      </c>
      <c r="G990" s="1" t="s">
        <v>3</v>
      </c>
      <c r="H990" s="1">
        <v>551438</v>
      </c>
      <c r="I990" t="s">
        <v>292</v>
      </c>
      <c r="J990" s="110">
        <v>44028322</v>
      </c>
      <c r="K990" s="4">
        <v>95796306</v>
      </c>
      <c r="L990" s="4">
        <v>59.05</v>
      </c>
    </row>
    <row r="991" spans="2:12" x14ac:dyDescent="0.2">
      <c r="B991" s="749">
        <v>42612</v>
      </c>
      <c r="C991" s="1" t="s">
        <v>641</v>
      </c>
      <c r="D991" t="s">
        <v>144</v>
      </c>
      <c r="E991" t="s">
        <v>225</v>
      </c>
      <c r="F991" t="s">
        <v>305</v>
      </c>
      <c r="G991" s="1" t="s">
        <v>3</v>
      </c>
      <c r="H991" s="1">
        <v>551438</v>
      </c>
      <c r="I991" t="s">
        <v>292</v>
      </c>
      <c r="J991" s="110">
        <v>44028322</v>
      </c>
      <c r="K991" s="4">
        <v>95920666</v>
      </c>
      <c r="L991" s="4">
        <v>63.25</v>
      </c>
    </row>
    <row r="992" spans="2:12" x14ac:dyDescent="0.2">
      <c r="B992" s="749">
        <v>42612</v>
      </c>
      <c r="C992" s="1" t="s">
        <v>641</v>
      </c>
      <c r="D992" t="s">
        <v>144</v>
      </c>
      <c r="E992" t="s">
        <v>225</v>
      </c>
      <c r="F992" t="s">
        <v>305</v>
      </c>
      <c r="G992" s="1" t="s">
        <v>3</v>
      </c>
      <c r="H992" s="1">
        <v>551438</v>
      </c>
      <c r="I992" t="s">
        <v>292</v>
      </c>
      <c r="J992" s="110">
        <v>44028322</v>
      </c>
      <c r="K992" s="4">
        <v>95376687</v>
      </c>
      <c r="L992" s="4">
        <v>63.3</v>
      </c>
    </row>
    <row r="993" spans="2:14" x14ac:dyDescent="0.2">
      <c r="B993" s="749">
        <v>42612</v>
      </c>
      <c r="C993" s="1" t="s">
        <v>871</v>
      </c>
      <c r="D993" t="s">
        <v>144</v>
      </c>
      <c r="E993" t="s">
        <v>225</v>
      </c>
      <c r="F993" s="750" t="s">
        <v>784</v>
      </c>
      <c r="G993" s="1" t="s">
        <v>3</v>
      </c>
      <c r="H993" s="1">
        <v>552825</v>
      </c>
      <c r="I993" t="s">
        <v>467</v>
      </c>
      <c r="J993" s="110">
        <v>34974790</v>
      </c>
      <c r="K993" s="4">
        <v>95529749</v>
      </c>
      <c r="L993" s="4">
        <v>69.150000000000006</v>
      </c>
    </row>
    <row r="994" spans="2:14" x14ac:dyDescent="0.2">
      <c r="B994" s="696">
        <v>42612.686921296299</v>
      </c>
      <c r="C994" s="1" t="s">
        <v>495</v>
      </c>
      <c r="D994" t="s">
        <v>144</v>
      </c>
      <c r="E994" t="s">
        <v>225</v>
      </c>
      <c r="F994" t="s">
        <v>305</v>
      </c>
      <c r="G994" s="1" t="s">
        <v>3</v>
      </c>
      <c r="H994" s="1">
        <v>553336</v>
      </c>
      <c r="I994" t="s">
        <v>467</v>
      </c>
      <c r="J994" s="110">
        <v>600507</v>
      </c>
      <c r="K994" s="4" t="s">
        <v>771</v>
      </c>
      <c r="L994" s="4">
        <v>24.4</v>
      </c>
      <c r="M994" s="4">
        <v>12.8</v>
      </c>
      <c r="N994">
        <v>1.52</v>
      </c>
    </row>
    <row r="995" spans="2:14" x14ac:dyDescent="0.2">
      <c r="B995" s="696">
        <v>42612.700335648151</v>
      </c>
      <c r="C995" s="1" t="s">
        <v>495</v>
      </c>
      <c r="D995" t="s">
        <v>144</v>
      </c>
      <c r="E995" t="s">
        <v>225</v>
      </c>
      <c r="F995" t="s">
        <v>305</v>
      </c>
      <c r="G995" s="1" t="s">
        <v>3</v>
      </c>
      <c r="H995" s="1">
        <v>553336</v>
      </c>
      <c r="I995" t="s">
        <v>467</v>
      </c>
      <c r="J995" s="110">
        <v>600508</v>
      </c>
      <c r="K995" s="4" t="s">
        <v>772</v>
      </c>
      <c r="L995" s="4">
        <v>24.5</v>
      </c>
      <c r="M995" s="4">
        <v>13.2</v>
      </c>
      <c r="N995">
        <v>1.98</v>
      </c>
    </row>
    <row r="996" spans="2:14" x14ac:dyDescent="0.2">
      <c r="B996" s="696">
        <v>42612.996446759258</v>
      </c>
      <c r="C996" s="1" t="s">
        <v>495</v>
      </c>
      <c r="D996" t="s">
        <v>144</v>
      </c>
      <c r="E996" t="s">
        <v>225</v>
      </c>
      <c r="F996" t="s">
        <v>305</v>
      </c>
      <c r="G996" s="1" t="s">
        <v>3</v>
      </c>
      <c r="H996" s="1">
        <v>553336</v>
      </c>
      <c r="I996" t="s">
        <v>467</v>
      </c>
      <c r="J996" s="110">
        <v>600514</v>
      </c>
      <c r="K996" s="4" t="s">
        <v>773</v>
      </c>
      <c r="L996" s="4">
        <v>23.56</v>
      </c>
      <c r="M996" s="4">
        <v>12.9</v>
      </c>
      <c r="N996">
        <v>1.34</v>
      </c>
    </row>
    <row r="997" spans="2:14" x14ac:dyDescent="0.2">
      <c r="B997" s="696">
        <v>42613.00037037037</v>
      </c>
      <c r="C997" s="1" t="s">
        <v>495</v>
      </c>
      <c r="D997" t="s">
        <v>144</v>
      </c>
      <c r="E997" t="s">
        <v>225</v>
      </c>
      <c r="F997" t="s">
        <v>305</v>
      </c>
      <c r="G997" s="1" t="s">
        <v>3</v>
      </c>
      <c r="H997" s="1">
        <v>553336</v>
      </c>
      <c r="I997" t="s">
        <v>467</v>
      </c>
      <c r="J997" s="110">
        <v>600509</v>
      </c>
      <c r="K997" s="4" t="s">
        <v>774</v>
      </c>
      <c r="L997" s="4">
        <v>25.68</v>
      </c>
      <c r="M997" s="4">
        <v>12</v>
      </c>
      <c r="N997">
        <v>1.84</v>
      </c>
    </row>
    <row r="998" spans="2:14" x14ac:dyDescent="0.2">
      <c r="B998" s="696">
        <v>42613.006006944444</v>
      </c>
      <c r="C998" s="1" t="s">
        <v>408</v>
      </c>
      <c r="D998" t="s">
        <v>144</v>
      </c>
      <c r="E998" t="s">
        <v>225</v>
      </c>
      <c r="F998" t="s">
        <v>305</v>
      </c>
      <c r="G998" s="1" t="s">
        <v>3</v>
      </c>
      <c r="H998" s="1">
        <v>553759</v>
      </c>
      <c r="I998" t="s">
        <v>467</v>
      </c>
      <c r="J998" s="110">
        <v>358828</v>
      </c>
      <c r="K998" s="4" t="s">
        <v>775</v>
      </c>
      <c r="L998" s="4">
        <v>24.86</v>
      </c>
      <c r="M998" s="4">
        <v>11.2</v>
      </c>
      <c r="N998">
        <v>1.1000000000000001</v>
      </c>
    </row>
    <row r="999" spans="2:14" x14ac:dyDescent="0.2">
      <c r="B999" s="696">
        <v>42613.156481481485</v>
      </c>
      <c r="C999" s="1" t="s">
        <v>495</v>
      </c>
      <c r="D999" t="s">
        <v>144</v>
      </c>
      <c r="E999" t="s">
        <v>225</v>
      </c>
      <c r="F999" t="s">
        <v>305</v>
      </c>
      <c r="G999" s="1" t="s">
        <v>3</v>
      </c>
      <c r="H999" s="1">
        <v>553336</v>
      </c>
      <c r="I999" t="s">
        <v>467</v>
      </c>
      <c r="J999" s="110">
        <v>600515</v>
      </c>
      <c r="K999" s="4" t="s">
        <v>718</v>
      </c>
      <c r="L999" s="4">
        <v>26.6</v>
      </c>
      <c r="M999" s="4">
        <v>11</v>
      </c>
      <c r="N999">
        <v>1.4</v>
      </c>
    </row>
    <row r="1000" spans="2:14" x14ac:dyDescent="0.2">
      <c r="B1000" s="696">
        <v>42613.161435185182</v>
      </c>
      <c r="C1000" s="1" t="s">
        <v>408</v>
      </c>
      <c r="D1000" t="s">
        <v>144</v>
      </c>
      <c r="E1000" t="s">
        <v>225</v>
      </c>
      <c r="F1000" t="s">
        <v>305</v>
      </c>
      <c r="G1000" s="1" t="s">
        <v>3</v>
      </c>
      <c r="H1000" s="1">
        <v>553759</v>
      </c>
      <c r="I1000" t="s">
        <v>467</v>
      </c>
      <c r="J1000" s="110">
        <v>358707</v>
      </c>
      <c r="K1000" s="4" t="s">
        <v>551</v>
      </c>
      <c r="L1000" s="4">
        <v>25.7</v>
      </c>
      <c r="M1000" s="4">
        <v>14</v>
      </c>
      <c r="N1000">
        <v>0.9</v>
      </c>
    </row>
    <row r="1001" spans="2:14" x14ac:dyDescent="0.2">
      <c r="B1001" s="696">
        <v>42613.165289351855</v>
      </c>
      <c r="C1001" s="1" t="s">
        <v>464</v>
      </c>
      <c r="D1001" t="s">
        <v>144</v>
      </c>
      <c r="E1001" t="s">
        <v>225</v>
      </c>
      <c r="F1001" t="s">
        <v>305</v>
      </c>
      <c r="G1001" s="1" t="s">
        <v>3</v>
      </c>
      <c r="H1001" s="1">
        <v>553409</v>
      </c>
      <c r="I1001" t="s">
        <v>467</v>
      </c>
      <c r="J1001" s="110">
        <v>226</v>
      </c>
      <c r="K1001" s="4" t="s">
        <v>719</v>
      </c>
      <c r="L1001" s="4">
        <v>23.32</v>
      </c>
      <c r="M1001" s="4">
        <v>12.1</v>
      </c>
      <c r="N1001">
        <v>0.9</v>
      </c>
    </row>
    <row r="1002" spans="2:14" x14ac:dyDescent="0.2">
      <c r="B1002" s="696">
        <v>42613.171481481484</v>
      </c>
      <c r="C1002" s="1" t="s">
        <v>464</v>
      </c>
      <c r="D1002" t="s">
        <v>144</v>
      </c>
      <c r="E1002" t="s">
        <v>225</v>
      </c>
      <c r="F1002" t="s">
        <v>305</v>
      </c>
      <c r="G1002" s="1" t="s">
        <v>3</v>
      </c>
      <c r="H1002" s="1">
        <v>553409</v>
      </c>
      <c r="I1002" t="s">
        <v>467</v>
      </c>
      <c r="J1002" s="110">
        <v>228</v>
      </c>
      <c r="K1002" s="4" t="s">
        <v>720</v>
      </c>
      <c r="L1002" s="4">
        <v>25.62</v>
      </c>
      <c r="M1002" s="4">
        <v>12.4</v>
      </c>
      <c r="N1002">
        <v>0.82</v>
      </c>
    </row>
    <row r="1003" spans="2:14" x14ac:dyDescent="0.2">
      <c r="B1003" s="696">
        <v>42612.580567129633</v>
      </c>
      <c r="C1003" s="1" t="s">
        <v>495</v>
      </c>
      <c r="D1003" t="s">
        <v>144</v>
      </c>
      <c r="E1003" t="s">
        <v>225</v>
      </c>
      <c r="F1003" t="s">
        <v>305</v>
      </c>
      <c r="G1003" s="1" t="s">
        <v>3</v>
      </c>
      <c r="H1003" s="1">
        <v>553017</v>
      </c>
      <c r="I1003" t="s">
        <v>643</v>
      </c>
      <c r="J1003" s="110">
        <v>600506</v>
      </c>
      <c r="K1003" s="4" t="s">
        <v>776</v>
      </c>
      <c r="L1003" s="4">
        <v>21.98</v>
      </c>
      <c r="M1003" s="4">
        <v>12.9</v>
      </c>
      <c r="N1003">
        <v>1.06</v>
      </c>
    </row>
    <row r="1004" spans="2:14" x14ac:dyDescent="0.2">
      <c r="B1004" s="696">
        <v>42612.623043981483</v>
      </c>
      <c r="C1004" s="1" t="s">
        <v>464</v>
      </c>
      <c r="D1004" t="s">
        <v>144</v>
      </c>
      <c r="E1004" t="s">
        <v>225</v>
      </c>
      <c r="F1004" t="s">
        <v>305</v>
      </c>
      <c r="G1004" s="1" t="s">
        <v>3</v>
      </c>
      <c r="H1004" s="1">
        <v>553731</v>
      </c>
      <c r="I1004" t="s">
        <v>643</v>
      </c>
      <c r="J1004" s="110">
        <v>223</v>
      </c>
      <c r="K1004" s="4" t="s">
        <v>755</v>
      </c>
      <c r="L1004" s="4">
        <v>24.68</v>
      </c>
      <c r="M1004" s="4">
        <v>11.1</v>
      </c>
      <c r="N1004">
        <v>1.08</v>
      </c>
    </row>
    <row r="1005" spans="2:14" x14ac:dyDescent="0.2">
      <c r="B1005" s="696">
        <v>42612.655763888892</v>
      </c>
      <c r="C1005" s="1" t="s">
        <v>702</v>
      </c>
      <c r="D1005" t="s">
        <v>144</v>
      </c>
      <c r="E1005" t="s">
        <v>225</v>
      </c>
      <c r="F1005" t="s">
        <v>305</v>
      </c>
      <c r="G1005" s="1" t="s">
        <v>3</v>
      </c>
      <c r="H1005" s="1">
        <v>553244</v>
      </c>
      <c r="I1005" t="s">
        <v>643</v>
      </c>
      <c r="J1005" s="110">
        <v>44023745</v>
      </c>
      <c r="K1005" s="4">
        <v>95352670</v>
      </c>
      <c r="L1005" s="4">
        <v>56.7</v>
      </c>
      <c r="M1005" s="4">
        <v>13.4</v>
      </c>
      <c r="N1005">
        <v>1.4</v>
      </c>
    </row>
    <row r="1006" spans="2:14" x14ac:dyDescent="0.2">
      <c r="B1006" s="696">
        <v>42612.656215277777</v>
      </c>
      <c r="C1006" s="1" t="s">
        <v>702</v>
      </c>
      <c r="D1006" t="s">
        <v>144</v>
      </c>
      <c r="E1006" t="s">
        <v>225</v>
      </c>
      <c r="F1006" t="s">
        <v>305</v>
      </c>
      <c r="G1006" s="1" t="s">
        <v>3</v>
      </c>
      <c r="H1006" s="1">
        <v>553244</v>
      </c>
      <c r="I1006" t="s">
        <v>292</v>
      </c>
      <c r="J1006" s="110">
        <v>44023745</v>
      </c>
      <c r="K1006" s="4">
        <v>95493151</v>
      </c>
      <c r="L1006" s="4">
        <v>59.85</v>
      </c>
      <c r="M1006" s="4">
        <v>11.3</v>
      </c>
      <c r="N1006">
        <v>0.92</v>
      </c>
    </row>
    <row r="1007" spans="2:14" x14ac:dyDescent="0.2">
      <c r="B1007" s="696">
        <v>42613.010960648149</v>
      </c>
      <c r="C1007" s="1" t="s">
        <v>495</v>
      </c>
      <c r="D1007" t="s">
        <v>144</v>
      </c>
      <c r="E1007" t="s">
        <v>225</v>
      </c>
      <c r="F1007" t="s">
        <v>305</v>
      </c>
      <c r="G1007" s="1" t="s">
        <v>3</v>
      </c>
      <c r="H1007" s="1">
        <v>553017</v>
      </c>
      <c r="I1007" t="s">
        <v>292</v>
      </c>
      <c r="J1007" s="110">
        <v>600510</v>
      </c>
      <c r="K1007" s="4" t="s">
        <v>693</v>
      </c>
      <c r="L1007" s="4">
        <v>24.8</v>
      </c>
      <c r="M1007" s="4">
        <v>12.7</v>
      </c>
      <c r="N1007">
        <v>0.9</v>
      </c>
    </row>
    <row r="1008" spans="2:14" x14ac:dyDescent="0.2">
      <c r="B1008" s="696">
        <v>42613.017256944448</v>
      </c>
      <c r="C1008" s="1" t="s">
        <v>495</v>
      </c>
      <c r="D1008" t="s">
        <v>144</v>
      </c>
      <c r="E1008" t="s">
        <v>225</v>
      </c>
      <c r="F1008" t="s">
        <v>305</v>
      </c>
      <c r="G1008" s="1" t="s">
        <v>3</v>
      </c>
      <c r="H1008" s="1">
        <v>553017</v>
      </c>
      <c r="I1008" t="s">
        <v>292</v>
      </c>
      <c r="J1008" s="110">
        <v>600511</v>
      </c>
      <c r="K1008" s="4" t="s">
        <v>777</v>
      </c>
      <c r="L1008" s="4">
        <v>25.98</v>
      </c>
      <c r="M1008" s="4">
        <v>13.3</v>
      </c>
      <c r="N1008">
        <v>1.1000000000000001</v>
      </c>
    </row>
    <row r="1009" spans="2:14" x14ac:dyDescent="0.2">
      <c r="B1009" s="696">
        <v>42613.024641203701</v>
      </c>
      <c r="C1009" s="1" t="s">
        <v>408</v>
      </c>
      <c r="D1009" t="s">
        <v>144</v>
      </c>
      <c r="E1009" t="s">
        <v>225</v>
      </c>
      <c r="F1009" t="s">
        <v>305</v>
      </c>
      <c r="G1009" s="1" t="s">
        <v>3</v>
      </c>
      <c r="H1009" s="1">
        <v>553894</v>
      </c>
      <c r="I1009" t="s">
        <v>643</v>
      </c>
      <c r="J1009" s="110">
        <v>350887</v>
      </c>
      <c r="K1009" s="4" t="s">
        <v>778</v>
      </c>
      <c r="L1009" s="4">
        <v>21.78</v>
      </c>
      <c r="M1009" s="4">
        <v>11.8</v>
      </c>
      <c r="N1009">
        <v>1.92</v>
      </c>
    </row>
    <row r="1010" spans="2:14" x14ac:dyDescent="0.2">
      <c r="B1010" s="696">
        <v>42613.131041666667</v>
      </c>
      <c r="C1010" s="1" t="s">
        <v>408</v>
      </c>
      <c r="D1010" t="s">
        <v>144</v>
      </c>
      <c r="E1010" t="s">
        <v>225</v>
      </c>
      <c r="F1010" t="s">
        <v>305</v>
      </c>
      <c r="G1010" s="1" t="s">
        <v>3</v>
      </c>
      <c r="H1010" s="1">
        <v>553894</v>
      </c>
      <c r="I1010" t="s">
        <v>292</v>
      </c>
      <c r="J1010" s="110" t="s">
        <v>779</v>
      </c>
      <c r="K1010" s="4" t="s">
        <v>521</v>
      </c>
      <c r="L1010" s="4">
        <v>25.32</v>
      </c>
      <c r="M1010" s="4">
        <v>11.1</v>
      </c>
      <c r="N1010">
        <v>0.88</v>
      </c>
    </row>
    <row r="1011" spans="2:14" x14ac:dyDescent="0.2">
      <c r="B1011" s="696">
        <v>42613.141076388885</v>
      </c>
      <c r="C1011" s="1" t="s">
        <v>408</v>
      </c>
      <c r="D1011" t="s">
        <v>144</v>
      </c>
      <c r="E1011" t="s">
        <v>225</v>
      </c>
      <c r="F1011" t="s">
        <v>305</v>
      </c>
      <c r="G1011" s="1" t="s">
        <v>3</v>
      </c>
      <c r="H1011" s="1">
        <v>553894</v>
      </c>
      <c r="I1011" t="s">
        <v>292</v>
      </c>
      <c r="J1011" s="110" t="s">
        <v>780</v>
      </c>
      <c r="K1011" s="4" t="s">
        <v>723</v>
      </c>
      <c r="L1011" s="4">
        <v>26.76</v>
      </c>
      <c r="M1011" s="4">
        <v>11</v>
      </c>
      <c r="N1011">
        <v>1</v>
      </c>
    </row>
    <row r="1012" spans="2:14" x14ac:dyDescent="0.2">
      <c r="B1012" s="696">
        <v>42613.220856481479</v>
      </c>
      <c r="C1012" s="1" t="s">
        <v>464</v>
      </c>
      <c r="D1012" t="s">
        <v>144</v>
      </c>
      <c r="E1012" t="s">
        <v>225</v>
      </c>
      <c r="F1012" t="s">
        <v>305</v>
      </c>
      <c r="G1012" s="1" t="s">
        <v>3</v>
      </c>
      <c r="H1012" s="1">
        <v>553731</v>
      </c>
      <c r="I1012" t="s">
        <v>643</v>
      </c>
      <c r="J1012" s="110">
        <v>229</v>
      </c>
      <c r="K1012" s="4" t="s">
        <v>654</v>
      </c>
      <c r="L1012" s="4">
        <v>24.92</v>
      </c>
      <c r="M1012" s="4">
        <v>10.9</v>
      </c>
      <c r="N1012">
        <v>1.04</v>
      </c>
    </row>
    <row r="1013" spans="2:14" x14ac:dyDescent="0.2">
      <c r="B1013" s="696">
        <v>42613.2265162037</v>
      </c>
      <c r="C1013" s="1" t="s">
        <v>408</v>
      </c>
      <c r="D1013" t="s">
        <v>144</v>
      </c>
      <c r="E1013" t="s">
        <v>225</v>
      </c>
      <c r="F1013" t="s">
        <v>305</v>
      </c>
      <c r="G1013" s="1" t="s">
        <v>3</v>
      </c>
      <c r="H1013" s="1">
        <v>553894</v>
      </c>
      <c r="I1013" t="s">
        <v>643</v>
      </c>
      <c r="J1013" s="110">
        <v>358708</v>
      </c>
      <c r="K1013" s="4" t="s">
        <v>727</v>
      </c>
      <c r="L1013" s="4">
        <v>21.94</v>
      </c>
      <c r="M1013" s="4">
        <v>12.2</v>
      </c>
      <c r="N1013">
        <v>1.1200000000000001</v>
      </c>
    </row>
    <row r="1014" spans="2:14" x14ac:dyDescent="0.2">
      <c r="B1014" s="696">
        <v>42613.242986111109</v>
      </c>
      <c r="C1014" s="1" t="s">
        <v>464</v>
      </c>
      <c r="D1014" t="s">
        <v>144</v>
      </c>
      <c r="E1014" t="s">
        <v>225</v>
      </c>
      <c r="F1014" t="s">
        <v>305</v>
      </c>
      <c r="G1014" s="1" t="s">
        <v>3</v>
      </c>
      <c r="H1014" s="1">
        <v>553731</v>
      </c>
      <c r="I1014" t="s">
        <v>292</v>
      </c>
      <c r="J1014" s="110">
        <v>224</v>
      </c>
      <c r="K1014" s="4" t="s">
        <v>531</v>
      </c>
      <c r="L1014" s="4">
        <v>24.84</v>
      </c>
      <c r="M1014" s="4">
        <v>10.8</v>
      </c>
      <c r="N1014">
        <v>0.88</v>
      </c>
    </row>
    <row r="1015" spans="2:14" x14ac:dyDescent="0.2">
      <c r="B1015" s="696">
        <v>42612.628194444442</v>
      </c>
      <c r="C1015" s="1" t="s">
        <v>495</v>
      </c>
      <c r="D1015" t="s">
        <v>144</v>
      </c>
      <c r="E1015" t="s">
        <v>225</v>
      </c>
      <c r="F1015" t="s">
        <v>305</v>
      </c>
      <c r="G1015" s="1" t="s">
        <v>3</v>
      </c>
      <c r="H1015" s="1">
        <v>553796</v>
      </c>
      <c r="I1015" t="s">
        <v>470</v>
      </c>
      <c r="J1015" s="110">
        <v>777099</v>
      </c>
      <c r="K1015" s="4" t="s">
        <v>781</v>
      </c>
      <c r="L1015" s="4">
        <v>25.36</v>
      </c>
      <c r="M1015" s="4">
        <v>6</v>
      </c>
      <c r="N1015">
        <v>1.99</v>
      </c>
    </row>
    <row r="1016" spans="2:14" x14ac:dyDescent="0.2">
      <c r="B1016" s="696">
        <v>42612.635335648149</v>
      </c>
      <c r="C1016" s="1" t="s">
        <v>495</v>
      </c>
      <c r="D1016" t="s">
        <v>144</v>
      </c>
      <c r="E1016" t="s">
        <v>225</v>
      </c>
      <c r="F1016" t="s">
        <v>305</v>
      </c>
      <c r="G1016" s="1" t="s">
        <v>3</v>
      </c>
      <c r="H1016" s="1">
        <v>553796</v>
      </c>
      <c r="I1016" t="s">
        <v>470</v>
      </c>
      <c r="J1016" s="110">
        <v>777098</v>
      </c>
      <c r="K1016" s="4" t="s">
        <v>782</v>
      </c>
      <c r="L1016" s="4">
        <v>23.06</v>
      </c>
      <c r="M1016" s="4">
        <v>6</v>
      </c>
      <c r="N1016">
        <v>2</v>
      </c>
    </row>
    <row r="1017" spans="2:14" x14ac:dyDescent="0.2">
      <c r="B1017" s="696">
        <v>42613.213460648149</v>
      </c>
      <c r="C1017" s="1" t="s">
        <v>495</v>
      </c>
      <c r="D1017" t="s">
        <v>144</v>
      </c>
      <c r="E1017" t="s">
        <v>225</v>
      </c>
      <c r="F1017" t="s">
        <v>305</v>
      </c>
      <c r="G1017" s="1" t="s">
        <v>3</v>
      </c>
      <c r="H1017" s="1">
        <v>553796</v>
      </c>
      <c r="I1017" t="s">
        <v>470</v>
      </c>
      <c r="J1017" s="110">
        <v>777101</v>
      </c>
      <c r="K1017" s="4" t="s">
        <v>783</v>
      </c>
      <c r="L1017" s="4">
        <v>26.64</v>
      </c>
      <c r="M1017" s="4">
        <v>6</v>
      </c>
      <c r="N1017">
        <v>1.96</v>
      </c>
    </row>
    <row r="1018" spans="2:14" x14ac:dyDescent="0.2">
      <c r="B1018" s="696">
        <v>42613.362523148149</v>
      </c>
      <c r="C1018" s="1" t="s">
        <v>495</v>
      </c>
      <c r="D1018" t="s">
        <v>144</v>
      </c>
      <c r="E1018" t="s">
        <v>225</v>
      </c>
      <c r="F1018" t="s">
        <v>305</v>
      </c>
      <c r="G1018" s="1" t="s">
        <v>3</v>
      </c>
      <c r="H1018" s="1">
        <v>553336</v>
      </c>
      <c r="I1018" t="s">
        <v>467</v>
      </c>
      <c r="J1018" s="110">
        <v>600519</v>
      </c>
      <c r="K1018" s="4" t="s">
        <v>786</v>
      </c>
      <c r="L1018" s="4">
        <v>23.56</v>
      </c>
      <c r="M1018" s="4">
        <v>12.4</v>
      </c>
      <c r="N1018">
        <v>0.88</v>
      </c>
    </row>
    <row r="1019" spans="2:14" x14ac:dyDescent="0.2">
      <c r="B1019" s="696">
        <v>42613.386979166666</v>
      </c>
      <c r="C1019" s="1" t="s">
        <v>495</v>
      </c>
      <c r="D1019" t="s">
        <v>144</v>
      </c>
      <c r="E1019" t="s">
        <v>225</v>
      </c>
      <c r="F1019" t="s">
        <v>305</v>
      </c>
      <c r="G1019" s="1" t="s">
        <v>3</v>
      </c>
      <c r="H1019" s="1">
        <v>553336</v>
      </c>
      <c r="I1019" t="s">
        <v>467</v>
      </c>
      <c r="J1019" s="110">
        <v>600517</v>
      </c>
      <c r="K1019" s="4" t="s">
        <v>787</v>
      </c>
      <c r="L1019" s="4">
        <v>20.420000000000002</v>
      </c>
      <c r="M1019" s="4">
        <v>12.4</v>
      </c>
      <c r="N1019">
        <v>1.06</v>
      </c>
    </row>
    <row r="1020" spans="2:14" x14ac:dyDescent="0.2">
      <c r="B1020" s="696">
        <v>42613.402453703704</v>
      </c>
      <c r="C1020" s="1" t="s">
        <v>495</v>
      </c>
      <c r="D1020" t="s">
        <v>144</v>
      </c>
      <c r="E1020" t="s">
        <v>225</v>
      </c>
      <c r="F1020" t="s">
        <v>305</v>
      </c>
      <c r="G1020" s="1" t="s">
        <v>3</v>
      </c>
      <c r="H1020" s="1">
        <v>553336</v>
      </c>
      <c r="I1020" t="s">
        <v>467</v>
      </c>
      <c r="J1020" s="110">
        <v>600518</v>
      </c>
      <c r="K1020" s="4" t="s">
        <v>788</v>
      </c>
      <c r="L1020" s="4">
        <v>19.3</v>
      </c>
      <c r="M1020" s="4">
        <v>12.2</v>
      </c>
      <c r="N1020">
        <v>1.28</v>
      </c>
    </row>
    <row r="1021" spans="2:14" x14ac:dyDescent="0.2">
      <c r="B1021" s="696">
        <v>42613.671990740739</v>
      </c>
      <c r="C1021" s="1" t="s">
        <v>408</v>
      </c>
      <c r="D1021" t="s">
        <v>144</v>
      </c>
      <c r="E1021" t="s">
        <v>225</v>
      </c>
      <c r="F1021" t="s">
        <v>305</v>
      </c>
      <c r="G1021" s="1" t="s">
        <v>3</v>
      </c>
      <c r="H1021" s="1">
        <v>553893</v>
      </c>
      <c r="I1021" t="s">
        <v>467</v>
      </c>
      <c r="J1021" s="110">
        <v>359411</v>
      </c>
      <c r="K1021" s="4" t="s">
        <v>725</v>
      </c>
      <c r="L1021" s="4">
        <v>22.78</v>
      </c>
      <c r="M1021" s="4">
        <v>12.3</v>
      </c>
      <c r="N1021">
        <v>0.78</v>
      </c>
    </row>
    <row r="1022" spans="2:14" x14ac:dyDescent="0.2">
      <c r="B1022" s="696">
        <v>42613.679212962961</v>
      </c>
      <c r="C1022" s="1" t="s">
        <v>408</v>
      </c>
      <c r="D1022" t="s">
        <v>144</v>
      </c>
      <c r="E1022" t="s">
        <v>225</v>
      </c>
      <c r="F1022" t="s">
        <v>305</v>
      </c>
      <c r="G1022" s="1" t="s">
        <v>3</v>
      </c>
      <c r="H1022" s="1">
        <v>553893</v>
      </c>
      <c r="I1022" t="s">
        <v>467</v>
      </c>
      <c r="J1022" s="110">
        <v>359409</v>
      </c>
      <c r="K1022" s="4" t="s">
        <v>789</v>
      </c>
      <c r="L1022" s="4">
        <v>21.24</v>
      </c>
      <c r="M1022" s="4">
        <v>12.7</v>
      </c>
      <c r="N1022">
        <v>0.86</v>
      </c>
    </row>
    <row r="1023" spans="2:14" x14ac:dyDescent="0.2">
      <c r="B1023" s="696">
        <v>42613.725949074076</v>
      </c>
      <c r="C1023" s="1" t="s">
        <v>495</v>
      </c>
      <c r="D1023" t="s">
        <v>144</v>
      </c>
      <c r="E1023" t="s">
        <v>225</v>
      </c>
      <c r="F1023" t="s">
        <v>305</v>
      </c>
      <c r="G1023" s="1" t="s">
        <v>3</v>
      </c>
      <c r="H1023" s="1">
        <v>553336</v>
      </c>
      <c r="I1023" t="s">
        <v>467</v>
      </c>
      <c r="J1023" s="110">
        <v>600606</v>
      </c>
      <c r="K1023" s="4" t="s">
        <v>790</v>
      </c>
      <c r="L1023" s="4">
        <v>20.98</v>
      </c>
      <c r="M1023" s="4">
        <v>11.9</v>
      </c>
      <c r="N1023">
        <v>0.76</v>
      </c>
    </row>
    <row r="1024" spans="2:14" x14ac:dyDescent="0.2">
      <c r="B1024" s="696">
        <v>42614.099965277775</v>
      </c>
      <c r="C1024" s="1" t="s">
        <v>408</v>
      </c>
      <c r="D1024" t="s">
        <v>144</v>
      </c>
      <c r="E1024" t="s">
        <v>225</v>
      </c>
      <c r="F1024" t="s">
        <v>305</v>
      </c>
      <c r="G1024" s="1" t="s">
        <v>3</v>
      </c>
      <c r="H1024" s="1">
        <v>553893</v>
      </c>
      <c r="I1024" t="s">
        <v>467</v>
      </c>
      <c r="J1024" s="110">
        <v>358833</v>
      </c>
      <c r="K1024" s="4" t="s">
        <v>438</v>
      </c>
      <c r="L1024" s="4">
        <v>24.62</v>
      </c>
      <c r="M1024" s="4">
        <v>10.8</v>
      </c>
      <c r="N1024">
        <v>0.86</v>
      </c>
    </row>
    <row r="1025" spans="2:14" x14ac:dyDescent="0.2">
      <c r="B1025" s="696">
        <v>42614.106249999997</v>
      </c>
      <c r="C1025" s="1" t="s">
        <v>408</v>
      </c>
      <c r="D1025" t="s">
        <v>144</v>
      </c>
      <c r="E1025" t="s">
        <v>225</v>
      </c>
      <c r="F1025" t="s">
        <v>305</v>
      </c>
      <c r="G1025" s="1" t="s">
        <v>3</v>
      </c>
      <c r="H1025" s="1">
        <v>553893</v>
      </c>
      <c r="I1025" t="s">
        <v>467</v>
      </c>
      <c r="J1025" s="110">
        <v>358832</v>
      </c>
      <c r="K1025" s="4" t="s">
        <v>533</v>
      </c>
      <c r="L1025" s="4">
        <v>25.46</v>
      </c>
      <c r="M1025" s="4">
        <v>11.1</v>
      </c>
      <c r="N1025">
        <v>0.9</v>
      </c>
    </row>
    <row r="1026" spans="2:14" x14ac:dyDescent="0.2">
      <c r="B1026" s="696">
        <v>42614.112754629627</v>
      </c>
      <c r="C1026" s="1" t="s">
        <v>408</v>
      </c>
      <c r="D1026" t="s">
        <v>144</v>
      </c>
      <c r="E1026" t="s">
        <v>225</v>
      </c>
      <c r="F1026" t="s">
        <v>305</v>
      </c>
      <c r="G1026" s="1" t="s">
        <v>3</v>
      </c>
      <c r="H1026" s="1">
        <v>553893</v>
      </c>
      <c r="I1026" t="s">
        <v>467</v>
      </c>
      <c r="J1026" s="110">
        <v>359415</v>
      </c>
      <c r="K1026" s="4" t="s">
        <v>791</v>
      </c>
      <c r="L1026" s="4">
        <v>24.6</v>
      </c>
      <c r="M1026" s="4">
        <v>11.9</v>
      </c>
      <c r="N1026">
        <v>1.06</v>
      </c>
    </row>
    <row r="1027" spans="2:14" x14ac:dyDescent="0.2">
      <c r="B1027" s="696">
        <v>42614.214525462965</v>
      </c>
      <c r="C1027" s="1" t="s">
        <v>408</v>
      </c>
      <c r="D1027" t="s">
        <v>144</v>
      </c>
      <c r="E1027" t="s">
        <v>225</v>
      </c>
      <c r="F1027" t="s">
        <v>305</v>
      </c>
      <c r="G1027" s="1" t="s">
        <v>3</v>
      </c>
      <c r="H1027" s="1">
        <v>553893</v>
      </c>
      <c r="I1027" t="s">
        <v>467</v>
      </c>
      <c r="J1027" s="110">
        <v>359417</v>
      </c>
      <c r="K1027" s="4" t="s">
        <v>551</v>
      </c>
      <c r="L1027" s="4">
        <v>23.78</v>
      </c>
      <c r="M1027" s="4">
        <v>10.9</v>
      </c>
      <c r="N1027">
        <v>1.28</v>
      </c>
    </row>
    <row r="1028" spans="2:14" x14ac:dyDescent="0.2">
      <c r="B1028" s="696">
        <v>42614.251168981478</v>
      </c>
      <c r="C1028" s="1" t="s">
        <v>408</v>
      </c>
      <c r="D1028" t="s">
        <v>144</v>
      </c>
      <c r="E1028" t="s">
        <v>225</v>
      </c>
      <c r="F1028" t="s">
        <v>305</v>
      </c>
      <c r="G1028" s="1" t="s">
        <v>3</v>
      </c>
      <c r="H1028" s="1">
        <v>553893</v>
      </c>
      <c r="I1028" t="s">
        <v>467</v>
      </c>
      <c r="J1028" s="110">
        <v>359418</v>
      </c>
      <c r="K1028" s="4" t="s">
        <v>787</v>
      </c>
      <c r="L1028" s="4">
        <v>20.64</v>
      </c>
      <c r="M1028" s="4">
        <v>11.9</v>
      </c>
      <c r="N1028">
        <v>0.88</v>
      </c>
    </row>
    <row r="1029" spans="2:14" x14ac:dyDescent="0.2">
      <c r="B1029" s="696">
        <v>42614.313680555555</v>
      </c>
      <c r="C1029" s="1" t="s">
        <v>802</v>
      </c>
      <c r="D1029" t="s">
        <v>144</v>
      </c>
      <c r="E1029" t="s">
        <v>225</v>
      </c>
      <c r="F1029" t="s">
        <v>305</v>
      </c>
      <c r="G1029" s="1" t="s">
        <v>3</v>
      </c>
      <c r="H1029" s="1">
        <v>553496</v>
      </c>
      <c r="I1029" t="s">
        <v>467</v>
      </c>
      <c r="J1029" s="110">
        <v>47476635</v>
      </c>
      <c r="K1029" s="4">
        <v>95322871</v>
      </c>
      <c r="L1029" s="4">
        <v>68.650000000000006</v>
      </c>
      <c r="M1029" s="4">
        <v>12.2</v>
      </c>
      <c r="N1029">
        <v>1.1000000000000001</v>
      </c>
    </row>
    <row r="1030" spans="2:14" x14ac:dyDescent="0.2">
      <c r="B1030" s="696">
        <v>42614.314212962963</v>
      </c>
      <c r="C1030" s="1" t="s">
        <v>802</v>
      </c>
      <c r="D1030" t="s">
        <v>144</v>
      </c>
      <c r="E1030" t="s">
        <v>225</v>
      </c>
      <c r="F1030" t="s">
        <v>305</v>
      </c>
      <c r="G1030" s="1" t="s">
        <v>3</v>
      </c>
      <c r="H1030" s="1">
        <v>553496</v>
      </c>
      <c r="I1030" t="s">
        <v>467</v>
      </c>
      <c r="J1030" s="110">
        <v>47476635</v>
      </c>
      <c r="K1030" s="4">
        <v>95398814</v>
      </c>
      <c r="L1030" s="4">
        <v>68.849999999999994</v>
      </c>
      <c r="M1030" s="4">
        <v>11.6</v>
      </c>
      <c r="N1030">
        <v>1</v>
      </c>
    </row>
    <row r="1031" spans="2:14" x14ac:dyDescent="0.2">
      <c r="B1031" s="696">
        <v>42614.314641203702</v>
      </c>
      <c r="C1031" s="1" t="s">
        <v>802</v>
      </c>
      <c r="D1031" t="s">
        <v>144</v>
      </c>
      <c r="E1031" t="s">
        <v>225</v>
      </c>
      <c r="F1031" t="s">
        <v>305</v>
      </c>
      <c r="G1031" s="1" t="s">
        <v>3</v>
      </c>
      <c r="H1031" s="1">
        <v>553496</v>
      </c>
      <c r="I1031" t="s">
        <v>467</v>
      </c>
      <c r="J1031" s="110">
        <v>47476635</v>
      </c>
      <c r="K1031" s="4">
        <v>95453510</v>
      </c>
      <c r="L1031" s="4">
        <v>68.3</v>
      </c>
      <c r="M1031" s="4">
        <v>12</v>
      </c>
      <c r="N1031">
        <v>1.06</v>
      </c>
    </row>
    <row r="1032" spans="2:14" x14ac:dyDescent="0.2">
      <c r="B1032" s="696">
        <v>42613.698425925926</v>
      </c>
      <c r="C1032" s="1" t="s">
        <v>408</v>
      </c>
      <c r="D1032" t="s">
        <v>144</v>
      </c>
      <c r="E1032" t="s">
        <v>225</v>
      </c>
      <c r="F1032" t="s">
        <v>305</v>
      </c>
      <c r="G1032" s="1" t="s">
        <v>3</v>
      </c>
      <c r="H1032" s="1">
        <v>553894</v>
      </c>
      <c r="I1032" t="s">
        <v>292</v>
      </c>
      <c r="J1032" s="110">
        <v>359413</v>
      </c>
      <c r="K1032" s="4" t="s">
        <v>416</v>
      </c>
      <c r="L1032" s="4">
        <v>25.38</v>
      </c>
      <c r="M1032" s="4">
        <v>13.7</v>
      </c>
      <c r="N1032">
        <v>0.84</v>
      </c>
    </row>
    <row r="1033" spans="2:14" x14ac:dyDescent="0.2">
      <c r="B1033" s="696">
        <v>42613.715891203705</v>
      </c>
      <c r="C1033" s="1" t="s">
        <v>408</v>
      </c>
      <c r="D1033" t="s">
        <v>144</v>
      </c>
      <c r="E1033" t="s">
        <v>225</v>
      </c>
      <c r="F1033" t="s">
        <v>305</v>
      </c>
      <c r="G1033" s="1" t="s">
        <v>3</v>
      </c>
      <c r="H1033" s="1">
        <v>553894</v>
      </c>
      <c r="I1033" t="s">
        <v>643</v>
      </c>
      <c r="J1033" s="110">
        <v>359414</v>
      </c>
      <c r="K1033" s="4" t="s">
        <v>792</v>
      </c>
      <c r="L1033" s="4">
        <v>24.64</v>
      </c>
      <c r="M1033" s="4">
        <v>13.5</v>
      </c>
      <c r="N1033">
        <v>0.94</v>
      </c>
    </row>
    <row r="1034" spans="2:14" x14ac:dyDescent="0.2">
      <c r="B1034" s="696">
        <v>42614.051527777781</v>
      </c>
      <c r="C1034" s="1" t="s">
        <v>408</v>
      </c>
      <c r="D1034" t="s">
        <v>144</v>
      </c>
      <c r="E1034" t="s">
        <v>225</v>
      </c>
      <c r="F1034" t="s">
        <v>305</v>
      </c>
      <c r="G1034" s="1" t="s">
        <v>3</v>
      </c>
      <c r="H1034" s="1">
        <v>553894</v>
      </c>
      <c r="I1034" t="s">
        <v>292</v>
      </c>
      <c r="J1034" s="110">
        <v>359456</v>
      </c>
      <c r="K1034" s="4" t="s">
        <v>649</v>
      </c>
      <c r="L1034" s="4">
        <v>26.12</v>
      </c>
      <c r="M1034" s="4">
        <v>13</v>
      </c>
      <c r="N1034">
        <v>1.48</v>
      </c>
    </row>
    <row r="1035" spans="2:14" x14ac:dyDescent="0.2">
      <c r="B1035" s="696">
        <v>42614.062881944446</v>
      </c>
      <c r="C1035" s="1" t="s">
        <v>408</v>
      </c>
      <c r="D1035" t="s">
        <v>144</v>
      </c>
      <c r="E1035" t="s">
        <v>225</v>
      </c>
      <c r="F1035" t="s">
        <v>305</v>
      </c>
      <c r="G1035" s="1" t="s">
        <v>3</v>
      </c>
      <c r="H1035" s="1">
        <v>553894</v>
      </c>
      <c r="I1035" t="s">
        <v>292</v>
      </c>
      <c r="J1035" s="110">
        <v>358893</v>
      </c>
      <c r="K1035" s="4" t="s">
        <v>793</v>
      </c>
      <c r="L1035" s="4">
        <v>22.88</v>
      </c>
      <c r="M1035" s="4">
        <v>13.1</v>
      </c>
      <c r="N1035">
        <v>1.78</v>
      </c>
    </row>
    <row r="1036" spans="2:14" x14ac:dyDescent="0.2">
      <c r="B1036" s="696">
        <v>42614.071736111109</v>
      </c>
      <c r="C1036" s="1" t="s">
        <v>462</v>
      </c>
      <c r="D1036" t="s">
        <v>144</v>
      </c>
      <c r="E1036" t="s">
        <v>225</v>
      </c>
      <c r="F1036" t="s">
        <v>305</v>
      </c>
      <c r="G1036" s="1" t="s">
        <v>3</v>
      </c>
      <c r="H1036" s="1">
        <v>553729</v>
      </c>
      <c r="I1036" t="s">
        <v>292</v>
      </c>
      <c r="J1036" s="110">
        <v>56</v>
      </c>
      <c r="K1036" s="4" t="s">
        <v>794</v>
      </c>
      <c r="L1036" s="4">
        <v>23.3</v>
      </c>
      <c r="M1036" s="4">
        <v>11.8</v>
      </c>
      <c r="N1036">
        <v>0.72</v>
      </c>
    </row>
    <row r="1037" spans="2:14" x14ac:dyDescent="0.2">
      <c r="B1037" s="696">
        <v>42614.0778587963</v>
      </c>
      <c r="C1037" s="1" t="s">
        <v>462</v>
      </c>
      <c r="D1037" t="s">
        <v>144</v>
      </c>
      <c r="E1037" t="s">
        <v>225</v>
      </c>
      <c r="F1037" t="s">
        <v>305</v>
      </c>
      <c r="G1037" s="1" t="s">
        <v>3</v>
      </c>
      <c r="H1037" s="1">
        <v>553729</v>
      </c>
      <c r="I1037" t="s">
        <v>292</v>
      </c>
      <c r="J1037" s="110">
        <v>57</v>
      </c>
      <c r="K1037" s="4" t="s">
        <v>713</v>
      </c>
      <c r="L1037" s="4">
        <v>22.86</v>
      </c>
      <c r="M1037" s="4">
        <v>12.2</v>
      </c>
      <c r="N1037">
        <v>0.98</v>
      </c>
    </row>
    <row r="1038" spans="2:14" x14ac:dyDescent="0.2">
      <c r="B1038" s="696">
        <v>42614.084745370368</v>
      </c>
      <c r="C1038" s="1" t="s">
        <v>408</v>
      </c>
      <c r="D1038" t="s">
        <v>144</v>
      </c>
      <c r="E1038" t="s">
        <v>225</v>
      </c>
      <c r="F1038" t="s">
        <v>305</v>
      </c>
      <c r="G1038" s="1" t="s">
        <v>3</v>
      </c>
      <c r="H1038" s="1">
        <v>553894</v>
      </c>
      <c r="I1038" t="s">
        <v>292</v>
      </c>
      <c r="J1038" s="110">
        <v>358779</v>
      </c>
      <c r="K1038" s="4" t="s">
        <v>795</v>
      </c>
      <c r="L1038" s="4">
        <v>22.14</v>
      </c>
      <c r="M1038" s="4">
        <v>10.9</v>
      </c>
      <c r="N1038">
        <v>2</v>
      </c>
    </row>
    <row r="1039" spans="2:14" x14ac:dyDescent="0.2">
      <c r="B1039" s="696">
        <v>42614.091180555559</v>
      </c>
      <c r="C1039" s="1" t="s">
        <v>462</v>
      </c>
      <c r="D1039" t="s">
        <v>144</v>
      </c>
      <c r="E1039" t="s">
        <v>225</v>
      </c>
      <c r="F1039" t="s">
        <v>305</v>
      </c>
      <c r="G1039" s="1" t="s">
        <v>3</v>
      </c>
      <c r="H1039" s="1">
        <v>553729</v>
      </c>
      <c r="I1039" t="s">
        <v>292</v>
      </c>
      <c r="J1039" s="110">
        <v>55</v>
      </c>
      <c r="K1039" s="4" t="s">
        <v>796</v>
      </c>
      <c r="L1039" s="4">
        <v>23.96</v>
      </c>
      <c r="M1039" s="4">
        <v>11.8</v>
      </c>
      <c r="N1039">
        <v>0.86</v>
      </c>
    </row>
    <row r="1040" spans="2:14" x14ac:dyDescent="0.2">
      <c r="B1040" s="696">
        <v>42614.139791666668</v>
      </c>
      <c r="C1040" s="1" t="s">
        <v>462</v>
      </c>
      <c r="D1040" t="s">
        <v>144</v>
      </c>
      <c r="E1040" t="s">
        <v>225</v>
      </c>
      <c r="F1040" t="s">
        <v>305</v>
      </c>
      <c r="G1040" s="1" t="s">
        <v>3</v>
      </c>
      <c r="H1040" s="1">
        <v>553729</v>
      </c>
      <c r="I1040" t="s">
        <v>643</v>
      </c>
      <c r="J1040" s="110">
        <v>54</v>
      </c>
      <c r="K1040" s="4" t="s">
        <v>506</v>
      </c>
      <c r="L1040" s="4">
        <v>23.14</v>
      </c>
      <c r="M1040" s="4">
        <v>11.4</v>
      </c>
      <c r="N1040">
        <v>0.9</v>
      </c>
    </row>
    <row r="1041" spans="2:14" x14ac:dyDescent="0.2">
      <c r="B1041" s="696">
        <v>42614.147280092591</v>
      </c>
      <c r="C1041" s="1" t="s">
        <v>408</v>
      </c>
      <c r="D1041" t="s">
        <v>144</v>
      </c>
      <c r="E1041" t="s">
        <v>225</v>
      </c>
      <c r="F1041" t="s">
        <v>305</v>
      </c>
      <c r="G1041" s="1" t="s">
        <v>3</v>
      </c>
      <c r="H1041" s="1">
        <v>553894</v>
      </c>
      <c r="I1041" t="s">
        <v>643</v>
      </c>
      <c r="J1041" s="110">
        <v>358778</v>
      </c>
      <c r="K1041" s="4" t="s">
        <v>797</v>
      </c>
      <c r="L1041" s="4">
        <v>24.7</v>
      </c>
      <c r="M1041" s="4">
        <v>13.4</v>
      </c>
      <c r="N1041">
        <v>2</v>
      </c>
    </row>
    <row r="1042" spans="2:14" x14ac:dyDescent="0.2">
      <c r="B1042" s="696">
        <v>42614.155219907407</v>
      </c>
      <c r="C1042" s="1" t="s">
        <v>408</v>
      </c>
      <c r="D1042" t="s">
        <v>144</v>
      </c>
      <c r="E1042" t="s">
        <v>225</v>
      </c>
      <c r="F1042" t="s">
        <v>305</v>
      </c>
      <c r="G1042" s="1" t="s">
        <v>3</v>
      </c>
      <c r="H1042" s="1">
        <v>553894</v>
      </c>
      <c r="I1042" t="s">
        <v>643</v>
      </c>
      <c r="J1042" s="110">
        <v>359276</v>
      </c>
      <c r="K1042" s="4" t="s">
        <v>798</v>
      </c>
      <c r="L1042" s="4">
        <v>25.72</v>
      </c>
      <c r="M1042" s="4">
        <v>12.9</v>
      </c>
      <c r="N1042">
        <v>1.1000000000000001</v>
      </c>
    </row>
    <row r="1043" spans="2:14" x14ac:dyDescent="0.2">
      <c r="B1043" s="696">
        <v>42614.161886574075</v>
      </c>
      <c r="C1043" s="1" t="s">
        <v>408</v>
      </c>
      <c r="D1043" t="s">
        <v>144</v>
      </c>
      <c r="E1043" t="s">
        <v>225</v>
      </c>
      <c r="F1043" t="s">
        <v>305</v>
      </c>
      <c r="G1043" s="1" t="s">
        <v>3</v>
      </c>
      <c r="H1043" s="1">
        <v>553894</v>
      </c>
      <c r="I1043" t="s">
        <v>643</v>
      </c>
      <c r="J1043" s="110">
        <v>359277</v>
      </c>
      <c r="K1043" s="4" t="s">
        <v>799</v>
      </c>
      <c r="L1043" s="4">
        <v>24.32</v>
      </c>
      <c r="M1043" s="4">
        <v>12.9</v>
      </c>
      <c r="N1043">
        <v>1.1000000000000001</v>
      </c>
    </row>
    <row r="1044" spans="2:14" x14ac:dyDescent="0.2">
      <c r="B1044" s="696">
        <v>42614.174884259257</v>
      </c>
      <c r="C1044" s="1" t="s">
        <v>408</v>
      </c>
      <c r="D1044" t="s">
        <v>144</v>
      </c>
      <c r="E1044" t="s">
        <v>225</v>
      </c>
      <c r="F1044" t="s">
        <v>305</v>
      </c>
      <c r="G1044" s="1" t="s">
        <v>3</v>
      </c>
      <c r="H1044" s="1">
        <v>553894</v>
      </c>
      <c r="I1044" t="s">
        <v>643</v>
      </c>
      <c r="J1044" s="110">
        <v>358776</v>
      </c>
      <c r="K1044" s="4" t="s">
        <v>800</v>
      </c>
      <c r="L1044" s="4">
        <v>22.32</v>
      </c>
      <c r="M1044" s="4">
        <v>13.2</v>
      </c>
      <c r="N1044">
        <v>2</v>
      </c>
    </row>
    <row r="1045" spans="2:14" x14ac:dyDescent="0.2">
      <c r="B1045" s="696">
        <v>42614.179988425924</v>
      </c>
      <c r="C1045" s="1" t="s">
        <v>408</v>
      </c>
      <c r="D1045" t="s">
        <v>144</v>
      </c>
      <c r="E1045" t="s">
        <v>225</v>
      </c>
      <c r="F1045" t="s">
        <v>305</v>
      </c>
      <c r="G1045" s="1" t="s">
        <v>3</v>
      </c>
      <c r="H1045" s="1">
        <v>553894</v>
      </c>
      <c r="I1045" t="s">
        <v>643</v>
      </c>
      <c r="J1045" s="110">
        <v>359416</v>
      </c>
      <c r="K1045" s="4" t="s">
        <v>727</v>
      </c>
      <c r="L1045" s="4">
        <v>23.42</v>
      </c>
      <c r="M1045" s="4">
        <v>12.1</v>
      </c>
      <c r="N1045">
        <v>2</v>
      </c>
    </row>
    <row r="1046" spans="2:14" x14ac:dyDescent="0.2">
      <c r="B1046" s="696">
        <v>42614.187013888892</v>
      </c>
      <c r="C1046" s="1" t="s">
        <v>495</v>
      </c>
      <c r="D1046" t="s">
        <v>144</v>
      </c>
      <c r="E1046" t="s">
        <v>225</v>
      </c>
      <c r="F1046" t="s">
        <v>305</v>
      </c>
      <c r="G1046" s="1" t="s">
        <v>3</v>
      </c>
      <c r="H1046" s="1">
        <v>553796</v>
      </c>
      <c r="I1046" t="s">
        <v>470</v>
      </c>
      <c r="J1046" s="110">
        <v>777102</v>
      </c>
      <c r="K1046" s="4" t="s">
        <v>801</v>
      </c>
      <c r="L1046" s="4">
        <v>24.22</v>
      </c>
      <c r="M1046" s="4">
        <v>6</v>
      </c>
      <c r="N1046">
        <v>2</v>
      </c>
    </row>
    <row r="1047" spans="2:14" x14ac:dyDescent="0.2">
      <c r="B1047" s="696">
        <v>42614.200775462959</v>
      </c>
      <c r="C1047" s="1" t="s">
        <v>495</v>
      </c>
      <c r="D1047" t="s">
        <v>144</v>
      </c>
      <c r="E1047" t="s">
        <v>225</v>
      </c>
      <c r="F1047" t="s">
        <v>305</v>
      </c>
      <c r="G1047" s="1" t="s">
        <v>3</v>
      </c>
      <c r="H1047" s="1">
        <v>553796</v>
      </c>
      <c r="I1047" t="s">
        <v>470</v>
      </c>
      <c r="J1047" s="110">
        <v>777103</v>
      </c>
      <c r="K1047" s="4" t="s">
        <v>618</v>
      </c>
      <c r="L1047" s="4">
        <v>24.7</v>
      </c>
      <c r="M1047" s="4">
        <v>6.7</v>
      </c>
      <c r="N1047">
        <v>1.8</v>
      </c>
    </row>
    <row r="1048" spans="2:14" x14ac:dyDescent="0.2">
      <c r="B1048" s="749">
        <v>42613</v>
      </c>
      <c r="C1048" s="1" t="s">
        <v>644</v>
      </c>
      <c r="D1048" t="s">
        <v>144</v>
      </c>
      <c r="E1048" t="s">
        <v>225</v>
      </c>
      <c r="F1048" t="s">
        <v>305</v>
      </c>
      <c r="G1048" s="1" t="s">
        <v>3</v>
      </c>
      <c r="H1048" s="1">
        <v>552518</v>
      </c>
      <c r="I1048" t="s">
        <v>643</v>
      </c>
      <c r="J1048" s="110">
        <v>47388194</v>
      </c>
      <c r="K1048" s="4">
        <v>95109377</v>
      </c>
      <c r="L1048" s="4">
        <v>70.7</v>
      </c>
    </row>
    <row r="1049" spans="2:14" x14ac:dyDescent="0.2">
      <c r="B1049" s="749">
        <v>42613</v>
      </c>
      <c r="C1049" s="1" t="s">
        <v>644</v>
      </c>
      <c r="D1049" t="s">
        <v>144</v>
      </c>
      <c r="E1049" t="s">
        <v>225</v>
      </c>
      <c r="F1049" t="s">
        <v>305</v>
      </c>
      <c r="G1049" s="1" t="s">
        <v>3</v>
      </c>
      <c r="H1049" s="1">
        <v>552518</v>
      </c>
      <c r="I1049" t="s">
        <v>643</v>
      </c>
      <c r="J1049" s="110">
        <v>47388194</v>
      </c>
      <c r="K1049" s="4">
        <v>95191102</v>
      </c>
      <c r="L1049" s="4">
        <v>58.8</v>
      </c>
    </row>
    <row r="1050" spans="2:14" x14ac:dyDescent="0.2">
      <c r="B1050" s="749">
        <v>42613</v>
      </c>
      <c r="C1050" s="1" t="s">
        <v>644</v>
      </c>
      <c r="D1050" t="s">
        <v>144</v>
      </c>
      <c r="E1050" t="s">
        <v>225</v>
      </c>
      <c r="F1050" t="s">
        <v>305</v>
      </c>
      <c r="G1050" s="1" t="s">
        <v>3</v>
      </c>
      <c r="H1050" s="1">
        <v>552518</v>
      </c>
      <c r="I1050" t="s">
        <v>643</v>
      </c>
      <c r="J1050" s="110">
        <v>47388194</v>
      </c>
      <c r="K1050" s="4">
        <v>95100087</v>
      </c>
      <c r="L1050" s="4">
        <v>58.8</v>
      </c>
    </row>
    <row r="1051" spans="2:14" x14ac:dyDescent="0.2">
      <c r="B1051" s="749">
        <v>42613</v>
      </c>
      <c r="C1051" s="1" t="s">
        <v>644</v>
      </c>
      <c r="D1051" t="s">
        <v>144</v>
      </c>
      <c r="E1051" t="s">
        <v>225</v>
      </c>
      <c r="F1051" t="s">
        <v>305</v>
      </c>
      <c r="G1051" s="1" t="s">
        <v>3</v>
      </c>
      <c r="H1051" s="1">
        <v>552518</v>
      </c>
      <c r="I1051" t="s">
        <v>643</v>
      </c>
      <c r="J1051" s="110">
        <v>47388194</v>
      </c>
      <c r="K1051" s="4">
        <v>95190872</v>
      </c>
      <c r="L1051" s="4">
        <v>58.1</v>
      </c>
    </row>
    <row r="1052" spans="2:14" x14ac:dyDescent="0.2">
      <c r="B1052" s="749">
        <v>42613</v>
      </c>
      <c r="C1052" s="1" t="s">
        <v>644</v>
      </c>
      <c r="D1052" t="s">
        <v>144</v>
      </c>
      <c r="E1052" t="s">
        <v>225</v>
      </c>
      <c r="F1052" t="s">
        <v>305</v>
      </c>
      <c r="G1052" s="1" t="s">
        <v>3</v>
      </c>
      <c r="H1052" s="1">
        <v>552518</v>
      </c>
      <c r="I1052" t="s">
        <v>643</v>
      </c>
      <c r="J1052" s="110">
        <v>47455506</v>
      </c>
      <c r="K1052" s="4">
        <v>95995312</v>
      </c>
      <c r="L1052" s="4">
        <v>69.75</v>
      </c>
    </row>
    <row r="1053" spans="2:14" x14ac:dyDescent="0.2">
      <c r="B1053" s="749">
        <v>42613</v>
      </c>
      <c r="C1053" s="1" t="s">
        <v>644</v>
      </c>
      <c r="D1053" t="s">
        <v>144</v>
      </c>
      <c r="E1053" t="s">
        <v>225</v>
      </c>
      <c r="F1053" t="s">
        <v>305</v>
      </c>
      <c r="G1053" s="1" t="s">
        <v>3</v>
      </c>
      <c r="H1053" s="1">
        <v>552518</v>
      </c>
      <c r="I1053" t="s">
        <v>643</v>
      </c>
      <c r="J1053" s="110">
        <v>47455506</v>
      </c>
      <c r="K1053" s="4">
        <v>95538914</v>
      </c>
      <c r="L1053" s="4">
        <v>69.849999999999994</v>
      </c>
    </row>
    <row r="1054" spans="2:14" x14ac:dyDescent="0.2">
      <c r="B1054" s="749">
        <v>42613</v>
      </c>
      <c r="C1054" s="1" t="s">
        <v>871</v>
      </c>
      <c r="D1054" t="s">
        <v>144</v>
      </c>
      <c r="E1054" t="s">
        <v>225</v>
      </c>
      <c r="F1054" s="750" t="s">
        <v>784</v>
      </c>
      <c r="G1054" s="1" t="s">
        <v>3</v>
      </c>
      <c r="H1054" s="1">
        <v>552825</v>
      </c>
      <c r="I1054" t="s">
        <v>467</v>
      </c>
      <c r="J1054" s="110">
        <v>34942425</v>
      </c>
      <c r="K1054" s="4">
        <v>95751129</v>
      </c>
      <c r="L1054" s="4">
        <v>69.260000000000005</v>
      </c>
    </row>
    <row r="1055" spans="2:14" x14ac:dyDescent="0.2">
      <c r="B1055" s="696">
        <v>42613.41034722222</v>
      </c>
      <c r="C1055" s="1" t="s">
        <v>495</v>
      </c>
      <c r="D1055" t="s">
        <v>144</v>
      </c>
      <c r="E1055" t="s">
        <v>225</v>
      </c>
      <c r="F1055" t="s">
        <v>305</v>
      </c>
      <c r="G1055" s="1" t="s">
        <v>3</v>
      </c>
      <c r="H1055" s="1">
        <v>553017</v>
      </c>
      <c r="I1055" t="s">
        <v>292</v>
      </c>
      <c r="J1055" s="110">
        <v>600516</v>
      </c>
      <c r="K1055" s="4" t="s">
        <v>716</v>
      </c>
      <c r="L1055" s="4">
        <v>21.5</v>
      </c>
      <c r="M1055" s="4">
        <v>11.6</v>
      </c>
      <c r="N1055">
        <v>1.1200000000000001</v>
      </c>
    </row>
    <row r="1056" spans="2:14" x14ac:dyDescent="0.2">
      <c r="B1056" s="696">
        <v>42613.689930555556</v>
      </c>
      <c r="C1056" s="1" t="s">
        <v>495</v>
      </c>
      <c r="D1056" t="s">
        <v>144</v>
      </c>
      <c r="E1056" t="s">
        <v>225</v>
      </c>
      <c r="F1056" t="s">
        <v>305</v>
      </c>
      <c r="G1056" s="1" t="s">
        <v>3</v>
      </c>
      <c r="H1056" s="1">
        <v>553017</v>
      </c>
      <c r="I1056" t="s">
        <v>292</v>
      </c>
      <c r="J1056" s="110">
        <v>600520</v>
      </c>
      <c r="K1056" s="4" t="s">
        <v>515</v>
      </c>
      <c r="L1056" s="4">
        <v>21.04</v>
      </c>
      <c r="M1056" s="4">
        <v>12.3</v>
      </c>
      <c r="N1056">
        <v>0.9</v>
      </c>
    </row>
    <row r="1057" spans="2:14" x14ac:dyDescent="0.2">
      <c r="B1057" s="696">
        <v>42614.568287037036</v>
      </c>
      <c r="C1057" s="1" t="s">
        <v>408</v>
      </c>
      <c r="E1057" t="s">
        <v>225</v>
      </c>
      <c r="F1057" t="s">
        <v>305</v>
      </c>
      <c r="G1057" s="1" t="s">
        <v>3</v>
      </c>
      <c r="H1057" s="1">
        <v>553893</v>
      </c>
      <c r="I1057" t="s">
        <v>467</v>
      </c>
      <c r="J1057" s="110">
        <v>359420</v>
      </c>
      <c r="K1057" s="4" t="s">
        <v>803</v>
      </c>
      <c r="L1057" s="805">
        <v>23.94</v>
      </c>
      <c r="M1057" s="4">
        <v>11.9</v>
      </c>
      <c r="N1057">
        <v>1.18</v>
      </c>
    </row>
    <row r="1058" spans="2:14" x14ac:dyDescent="0.2">
      <c r="B1058" s="696">
        <v>42614.573425925926</v>
      </c>
      <c r="C1058" s="1" t="s">
        <v>408</v>
      </c>
      <c r="E1058" t="s">
        <v>225</v>
      </c>
      <c r="F1058" t="s">
        <v>305</v>
      </c>
      <c r="G1058" s="1" t="s">
        <v>3</v>
      </c>
      <c r="H1058" s="1">
        <v>553893</v>
      </c>
      <c r="I1058" t="s">
        <v>467</v>
      </c>
      <c r="J1058" s="110">
        <v>359419</v>
      </c>
      <c r="K1058" s="4" t="s">
        <v>804</v>
      </c>
      <c r="L1058" s="805">
        <v>23.84</v>
      </c>
      <c r="M1058" s="4">
        <v>12.4</v>
      </c>
      <c r="N1058">
        <v>1.08</v>
      </c>
    </row>
    <row r="1059" spans="2:14" x14ac:dyDescent="0.2">
      <c r="B1059" s="696">
        <v>42614.578611111108</v>
      </c>
      <c r="C1059" s="1" t="s">
        <v>408</v>
      </c>
      <c r="E1059" t="s">
        <v>225</v>
      </c>
      <c r="F1059" t="s">
        <v>305</v>
      </c>
      <c r="G1059" s="1" t="s">
        <v>3</v>
      </c>
      <c r="H1059" s="1">
        <v>553893</v>
      </c>
      <c r="I1059" t="s">
        <v>467</v>
      </c>
      <c r="J1059" s="110">
        <v>359421</v>
      </c>
      <c r="K1059" s="4" t="s">
        <v>788</v>
      </c>
      <c r="L1059" s="805">
        <v>19.54</v>
      </c>
      <c r="M1059" s="4">
        <v>12.3</v>
      </c>
      <c r="N1059">
        <v>1.52</v>
      </c>
    </row>
    <row r="1060" spans="2:14" x14ac:dyDescent="0.2">
      <c r="B1060" s="696">
        <v>42614.633032407408</v>
      </c>
      <c r="C1060" s="1" t="s">
        <v>408</v>
      </c>
      <c r="E1060" t="s">
        <v>225</v>
      </c>
      <c r="F1060" t="s">
        <v>305</v>
      </c>
      <c r="G1060" s="1" t="s">
        <v>3</v>
      </c>
      <c r="H1060" s="1">
        <v>553893</v>
      </c>
      <c r="I1060" t="s">
        <v>467</v>
      </c>
      <c r="J1060" s="110">
        <v>359422</v>
      </c>
      <c r="K1060" s="4" t="s">
        <v>805</v>
      </c>
      <c r="L1060" s="805">
        <v>25.08</v>
      </c>
      <c r="M1060" s="4">
        <v>12.3</v>
      </c>
      <c r="N1060">
        <v>1.24</v>
      </c>
    </row>
    <row r="1061" spans="2:14" x14ac:dyDescent="0.2">
      <c r="B1061" s="696">
        <v>42614.655104166668</v>
      </c>
      <c r="C1061" s="1" t="s">
        <v>465</v>
      </c>
      <c r="E1061" t="s">
        <v>225</v>
      </c>
      <c r="F1061" t="s">
        <v>305</v>
      </c>
      <c r="G1061" s="1" t="s">
        <v>3</v>
      </c>
      <c r="H1061" s="1">
        <v>553448</v>
      </c>
      <c r="I1061" t="s">
        <v>467</v>
      </c>
      <c r="J1061" s="110">
        <v>47450200</v>
      </c>
      <c r="K1061" s="4">
        <v>95528733</v>
      </c>
      <c r="L1061" s="805">
        <v>69.5</v>
      </c>
      <c r="M1061" s="4">
        <v>10.8</v>
      </c>
      <c r="N1061">
        <v>1.62</v>
      </c>
    </row>
    <row r="1062" spans="2:14" x14ac:dyDescent="0.2">
      <c r="B1062" s="696">
        <v>42614.671365740738</v>
      </c>
      <c r="C1062" s="1" t="s">
        <v>408</v>
      </c>
      <c r="E1062" t="s">
        <v>225</v>
      </c>
      <c r="F1062" t="s">
        <v>305</v>
      </c>
      <c r="G1062" s="1" t="s">
        <v>3</v>
      </c>
      <c r="H1062" s="1">
        <v>553893</v>
      </c>
      <c r="I1062" t="s">
        <v>467</v>
      </c>
      <c r="J1062" s="110">
        <v>359221</v>
      </c>
      <c r="K1062" s="4" t="s">
        <v>806</v>
      </c>
      <c r="L1062" s="805">
        <v>22.98</v>
      </c>
      <c r="M1062" s="4">
        <v>11.2</v>
      </c>
      <c r="N1062">
        <v>0.98</v>
      </c>
    </row>
    <row r="1063" spans="2:14" x14ac:dyDescent="0.2">
      <c r="B1063" s="696">
        <v>42614.687615740739</v>
      </c>
      <c r="C1063" s="1" t="s">
        <v>408</v>
      </c>
      <c r="E1063" t="s">
        <v>225</v>
      </c>
      <c r="F1063" t="s">
        <v>305</v>
      </c>
      <c r="G1063" s="1" t="s">
        <v>3</v>
      </c>
      <c r="H1063" s="1">
        <v>553893</v>
      </c>
      <c r="I1063" t="s">
        <v>467</v>
      </c>
      <c r="J1063" s="110">
        <v>359424</v>
      </c>
      <c r="K1063" s="4" t="s">
        <v>807</v>
      </c>
      <c r="L1063" s="805">
        <v>23.98</v>
      </c>
      <c r="M1063" s="4">
        <v>12.1</v>
      </c>
      <c r="N1063">
        <v>1.38</v>
      </c>
    </row>
    <row r="1064" spans="2:14" x14ac:dyDescent="0.2">
      <c r="B1064" s="696">
        <v>42614.708634259259</v>
      </c>
      <c r="C1064" s="1" t="s">
        <v>408</v>
      </c>
      <c r="E1064" t="s">
        <v>225</v>
      </c>
      <c r="F1064" t="s">
        <v>305</v>
      </c>
      <c r="G1064" s="1" t="s">
        <v>3</v>
      </c>
      <c r="H1064" s="1">
        <v>553893</v>
      </c>
      <c r="I1064" t="s">
        <v>467</v>
      </c>
      <c r="J1064" s="110">
        <v>354557</v>
      </c>
      <c r="K1064" s="4" t="s">
        <v>748</v>
      </c>
      <c r="L1064" s="805">
        <v>23.78</v>
      </c>
      <c r="M1064" s="4">
        <v>11.7</v>
      </c>
      <c r="N1064">
        <v>1.6</v>
      </c>
    </row>
    <row r="1065" spans="2:14" x14ac:dyDescent="0.2">
      <c r="B1065" s="696">
        <v>42615.116319444445</v>
      </c>
      <c r="C1065" s="1" t="s">
        <v>408</v>
      </c>
      <c r="E1065" t="s">
        <v>225</v>
      </c>
      <c r="F1065" t="s">
        <v>305</v>
      </c>
      <c r="G1065" s="1" t="s">
        <v>3</v>
      </c>
      <c r="H1065" s="1">
        <v>553893</v>
      </c>
      <c r="I1065" t="s">
        <v>467</v>
      </c>
      <c r="J1065" s="110">
        <v>359426</v>
      </c>
      <c r="K1065" s="4" t="s">
        <v>808</v>
      </c>
      <c r="L1065" s="805">
        <v>23.74</v>
      </c>
      <c r="M1065" s="4">
        <v>12.5</v>
      </c>
      <c r="N1065">
        <v>0.9</v>
      </c>
    </row>
    <row r="1066" spans="2:14" x14ac:dyDescent="0.2">
      <c r="B1066" s="696">
        <v>42615.138923611114</v>
      </c>
      <c r="C1066" s="1" t="s">
        <v>541</v>
      </c>
      <c r="E1066" t="s">
        <v>225</v>
      </c>
      <c r="F1066" t="s">
        <v>305</v>
      </c>
      <c r="G1066" s="1" t="s">
        <v>3</v>
      </c>
      <c r="H1066" s="1">
        <v>553578</v>
      </c>
      <c r="I1066" t="s">
        <v>467</v>
      </c>
      <c r="J1066" s="110">
        <v>44061455</v>
      </c>
      <c r="K1066" s="4">
        <v>95754057</v>
      </c>
      <c r="L1066" s="805">
        <v>68.55</v>
      </c>
      <c r="M1066" s="4">
        <v>12.9</v>
      </c>
      <c r="N1066">
        <v>1.7</v>
      </c>
    </row>
    <row r="1067" spans="2:14" x14ac:dyDescent="0.2">
      <c r="B1067" s="696">
        <v>42615.139398148145</v>
      </c>
      <c r="C1067" s="1" t="s">
        <v>541</v>
      </c>
      <c r="E1067" t="s">
        <v>225</v>
      </c>
      <c r="F1067" t="s">
        <v>305</v>
      </c>
      <c r="G1067" s="1" t="s">
        <v>3</v>
      </c>
      <c r="H1067" s="1">
        <v>553578</v>
      </c>
      <c r="I1067" t="s">
        <v>467</v>
      </c>
      <c r="J1067" s="110">
        <v>44061455</v>
      </c>
      <c r="K1067" s="4">
        <v>95350914</v>
      </c>
      <c r="L1067" s="805">
        <v>69</v>
      </c>
      <c r="M1067" s="4">
        <v>12.3</v>
      </c>
      <c r="N1067">
        <v>1.88</v>
      </c>
    </row>
    <row r="1068" spans="2:14" x14ac:dyDescent="0.2">
      <c r="B1068" s="696">
        <v>42615.139907407407</v>
      </c>
      <c r="C1068" s="1" t="s">
        <v>541</v>
      </c>
      <c r="E1068" t="s">
        <v>225</v>
      </c>
      <c r="F1068" t="s">
        <v>305</v>
      </c>
      <c r="G1068" s="1" t="s">
        <v>3</v>
      </c>
      <c r="H1068" s="1">
        <v>553578</v>
      </c>
      <c r="I1068" t="s">
        <v>467</v>
      </c>
      <c r="J1068" s="110">
        <v>44061455</v>
      </c>
      <c r="K1068" s="4">
        <v>95353868</v>
      </c>
      <c r="L1068" s="805">
        <v>68.599999999999994</v>
      </c>
      <c r="M1068" s="4">
        <v>13.6</v>
      </c>
      <c r="N1068">
        <v>1.9</v>
      </c>
    </row>
    <row r="1069" spans="2:14" x14ac:dyDescent="0.2">
      <c r="B1069" s="696">
        <v>42615.187719907408</v>
      </c>
      <c r="C1069" s="1" t="s">
        <v>408</v>
      </c>
      <c r="E1069" t="s">
        <v>225</v>
      </c>
      <c r="F1069" t="s">
        <v>305</v>
      </c>
      <c r="G1069" s="1" t="s">
        <v>3</v>
      </c>
      <c r="H1069" s="1">
        <v>553893</v>
      </c>
      <c r="I1069" t="s">
        <v>467</v>
      </c>
      <c r="J1069" s="110">
        <v>359429</v>
      </c>
      <c r="K1069" s="4" t="s">
        <v>809</v>
      </c>
      <c r="L1069" s="805">
        <v>23.7</v>
      </c>
      <c r="M1069" s="4">
        <v>12</v>
      </c>
      <c r="N1069">
        <v>0.76</v>
      </c>
    </row>
    <row r="1070" spans="2:14" x14ac:dyDescent="0.2">
      <c r="B1070" s="696">
        <v>42615.193692129629</v>
      </c>
      <c r="C1070" s="1" t="s">
        <v>408</v>
      </c>
      <c r="E1070" t="s">
        <v>225</v>
      </c>
      <c r="F1070" t="s">
        <v>305</v>
      </c>
      <c r="G1070" s="1" t="s">
        <v>3</v>
      </c>
      <c r="H1070" s="1">
        <v>553893</v>
      </c>
      <c r="I1070" t="s">
        <v>467</v>
      </c>
      <c r="J1070" s="110">
        <v>359428</v>
      </c>
      <c r="K1070" s="4" t="s">
        <v>810</v>
      </c>
      <c r="L1070" s="805">
        <v>24.64</v>
      </c>
      <c r="M1070" s="4">
        <v>12.4</v>
      </c>
      <c r="N1070">
        <v>1</v>
      </c>
    </row>
    <row r="1071" spans="2:14" x14ac:dyDescent="0.2">
      <c r="B1071" s="696">
        <v>42615.199687499997</v>
      </c>
      <c r="C1071" s="1" t="s">
        <v>408</v>
      </c>
      <c r="E1071" t="s">
        <v>225</v>
      </c>
      <c r="F1071" t="s">
        <v>305</v>
      </c>
      <c r="G1071" s="1" t="s">
        <v>3</v>
      </c>
      <c r="H1071" s="1">
        <v>553893</v>
      </c>
      <c r="I1071" t="s">
        <v>467</v>
      </c>
      <c r="J1071" s="110">
        <v>359427</v>
      </c>
      <c r="K1071" s="4" t="s">
        <v>811</v>
      </c>
      <c r="L1071" s="805">
        <v>24.36</v>
      </c>
      <c r="M1071" s="4">
        <v>12.1</v>
      </c>
      <c r="N1071">
        <v>0.76</v>
      </c>
    </row>
    <row r="1072" spans="2:14" x14ac:dyDescent="0.2">
      <c r="B1072" s="696">
        <v>42614.756956018522</v>
      </c>
      <c r="C1072" s="1" t="s">
        <v>408</v>
      </c>
      <c r="E1072" t="s">
        <v>225</v>
      </c>
      <c r="F1072" t="s">
        <v>305</v>
      </c>
      <c r="G1072" s="1" t="s">
        <v>3</v>
      </c>
      <c r="H1072" s="1">
        <v>553894</v>
      </c>
      <c r="I1072" t="s">
        <v>292</v>
      </c>
      <c r="J1072" s="110">
        <v>359455</v>
      </c>
      <c r="K1072" s="4" t="s">
        <v>750</v>
      </c>
      <c r="L1072" s="805">
        <v>25.12</v>
      </c>
      <c r="M1072" s="4">
        <v>12.4</v>
      </c>
      <c r="N1072">
        <v>2</v>
      </c>
    </row>
    <row r="1073" spans="2:14" x14ac:dyDescent="0.2">
      <c r="B1073" s="696">
        <v>42614.760312500002</v>
      </c>
      <c r="C1073" s="1" t="s">
        <v>495</v>
      </c>
      <c r="E1073" t="s">
        <v>225</v>
      </c>
      <c r="F1073" t="s">
        <v>305</v>
      </c>
      <c r="G1073" s="1" t="s">
        <v>3</v>
      </c>
      <c r="H1073" s="1">
        <v>553017</v>
      </c>
      <c r="I1073" t="s">
        <v>292</v>
      </c>
      <c r="J1073" s="110">
        <v>600607</v>
      </c>
      <c r="K1073" s="4" t="s">
        <v>513</v>
      </c>
      <c r="L1073" s="805">
        <v>22.88</v>
      </c>
      <c r="M1073" s="4">
        <v>12.6</v>
      </c>
      <c r="N1073">
        <v>1</v>
      </c>
    </row>
    <row r="1074" spans="2:14" x14ac:dyDescent="0.2">
      <c r="B1074" s="696">
        <v>42614.767777777779</v>
      </c>
      <c r="C1074" s="1" t="s">
        <v>408</v>
      </c>
      <c r="E1074" t="s">
        <v>225</v>
      </c>
      <c r="F1074" t="s">
        <v>305</v>
      </c>
      <c r="G1074" s="1" t="s">
        <v>3</v>
      </c>
      <c r="H1074" s="1">
        <v>553894</v>
      </c>
      <c r="I1074" t="s">
        <v>292</v>
      </c>
      <c r="J1074" s="110">
        <v>358839</v>
      </c>
      <c r="K1074" s="4" t="s">
        <v>812</v>
      </c>
      <c r="L1074" s="805">
        <v>26.02</v>
      </c>
      <c r="M1074" s="4">
        <v>11</v>
      </c>
      <c r="N1074">
        <v>2</v>
      </c>
    </row>
    <row r="1075" spans="2:14" x14ac:dyDescent="0.2">
      <c r="B1075" s="696">
        <v>42614.94258101852</v>
      </c>
      <c r="C1075" s="1" t="s">
        <v>702</v>
      </c>
      <c r="E1075" t="s">
        <v>225</v>
      </c>
      <c r="F1075" t="s">
        <v>305</v>
      </c>
      <c r="G1075" s="1" t="s">
        <v>3</v>
      </c>
      <c r="H1075" s="1">
        <v>553244</v>
      </c>
      <c r="I1075" t="s">
        <v>643</v>
      </c>
      <c r="J1075" s="110">
        <v>40378697</v>
      </c>
      <c r="K1075" s="4">
        <v>95358958</v>
      </c>
      <c r="L1075" s="805">
        <v>56.4</v>
      </c>
      <c r="M1075" s="4">
        <v>13.4</v>
      </c>
      <c r="N1075">
        <v>1.18</v>
      </c>
    </row>
    <row r="1076" spans="2:14" x14ac:dyDescent="0.2">
      <c r="B1076" s="696">
        <v>42614.943067129629</v>
      </c>
      <c r="C1076" s="1" t="s">
        <v>702</v>
      </c>
      <c r="E1076" t="s">
        <v>225</v>
      </c>
      <c r="F1076" t="s">
        <v>305</v>
      </c>
      <c r="G1076" s="1" t="s">
        <v>3</v>
      </c>
      <c r="H1076" s="1">
        <v>553244</v>
      </c>
      <c r="I1076" t="s">
        <v>643</v>
      </c>
      <c r="J1076" s="110">
        <v>40378630</v>
      </c>
      <c r="K1076" s="4">
        <v>95799425</v>
      </c>
      <c r="L1076" s="805">
        <v>54.65</v>
      </c>
      <c r="M1076" s="4">
        <v>12.2</v>
      </c>
      <c r="N1076">
        <v>1.22</v>
      </c>
    </row>
    <row r="1077" spans="2:14" x14ac:dyDescent="0.2">
      <c r="B1077" s="696">
        <v>42615.138379629629</v>
      </c>
      <c r="C1077" s="1" t="s">
        <v>408</v>
      </c>
      <c r="E1077" t="s">
        <v>225</v>
      </c>
      <c r="F1077" t="s">
        <v>305</v>
      </c>
      <c r="G1077" s="1" t="s">
        <v>3</v>
      </c>
      <c r="H1077" s="1">
        <v>553894</v>
      </c>
      <c r="I1077" t="s">
        <v>292</v>
      </c>
      <c r="J1077" s="110">
        <v>320290</v>
      </c>
      <c r="K1077" s="4" t="s">
        <v>690</v>
      </c>
      <c r="L1077" s="805">
        <v>25.02</v>
      </c>
      <c r="M1077" s="4">
        <v>10.4</v>
      </c>
      <c r="N1077">
        <v>1.08</v>
      </c>
    </row>
    <row r="1078" spans="2:14" x14ac:dyDescent="0.2">
      <c r="B1078" s="696">
        <v>42615.140451388892</v>
      </c>
      <c r="C1078" s="1" t="s">
        <v>818</v>
      </c>
      <c r="E1078" t="s">
        <v>225</v>
      </c>
      <c r="F1078" t="s">
        <v>305</v>
      </c>
      <c r="G1078" s="1" t="s">
        <v>3</v>
      </c>
      <c r="H1078" s="1">
        <v>553036</v>
      </c>
      <c r="I1078" t="s">
        <v>292</v>
      </c>
      <c r="J1078" s="110">
        <v>50524081</v>
      </c>
      <c r="K1078" s="4">
        <v>95684171</v>
      </c>
      <c r="L1078" s="805">
        <v>69</v>
      </c>
      <c r="M1078" s="4">
        <v>9</v>
      </c>
      <c r="N1078">
        <v>0.9</v>
      </c>
    </row>
    <row r="1079" spans="2:14" x14ac:dyDescent="0.2">
      <c r="B1079" s="696">
        <v>42615.141030092593</v>
      </c>
      <c r="C1079" s="1" t="s">
        <v>818</v>
      </c>
      <c r="E1079" t="s">
        <v>225</v>
      </c>
      <c r="F1079" t="s">
        <v>305</v>
      </c>
      <c r="G1079" s="1" t="s">
        <v>3</v>
      </c>
      <c r="H1079" s="1">
        <v>553036</v>
      </c>
      <c r="I1079" t="s">
        <v>292</v>
      </c>
      <c r="J1079" s="110">
        <v>50524081</v>
      </c>
      <c r="K1079" s="4">
        <v>95368528</v>
      </c>
      <c r="L1079" s="805">
        <v>69.3</v>
      </c>
      <c r="M1079" s="4">
        <v>9</v>
      </c>
      <c r="N1079">
        <v>1.04</v>
      </c>
    </row>
    <row r="1080" spans="2:14" x14ac:dyDescent="0.2">
      <c r="B1080" s="696">
        <v>42615.141504629632</v>
      </c>
      <c r="C1080" s="1" t="s">
        <v>818</v>
      </c>
      <c r="E1080" t="s">
        <v>225</v>
      </c>
      <c r="F1080" t="s">
        <v>305</v>
      </c>
      <c r="G1080" s="1" t="s">
        <v>3</v>
      </c>
      <c r="H1080" s="1">
        <v>553036</v>
      </c>
      <c r="I1080" t="s">
        <v>292</v>
      </c>
      <c r="J1080" s="110">
        <v>50524081</v>
      </c>
      <c r="K1080" s="4">
        <v>95524005</v>
      </c>
      <c r="L1080" s="805">
        <v>67.7</v>
      </c>
      <c r="M1080" s="4">
        <v>11.9</v>
      </c>
      <c r="N1080">
        <v>1.2</v>
      </c>
    </row>
    <row r="1081" spans="2:14" x14ac:dyDescent="0.2">
      <c r="B1081" s="696">
        <v>42615.14203703704</v>
      </c>
      <c r="C1081" s="1" t="s">
        <v>818</v>
      </c>
      <c r="E1081" t="s">
        <v>225</v>
      </c>
      <c r="F1081" t="s">
        <v>305</v>
      </c>
      <c r="G1081" s="1" t="s">
        <v>3</v>
      </c>
      <c r="H1081" s="1">
        <v>553036</v>
      </c>
      <c r="I1081" t="s">
        <v>292</v>
      </c>
      <c r="J1081" s="110">
        <v>50524081</v>
      </c>
      <c r="K1081" s="4">
        <v>95791745</v>
      </c>
      <c r="L1081" s="805">
        <v>67.8</v>
      </c>
      <c r="M1081" s="4">
        <v>11.4</v>
      </c>
      <c r="N1081">
        <v>1.18</v>
      </c>
    </row>
    <row r="1082" spans="2:14" x14ac:dyDescent="0.2">
      <c r="B1082" s="696">
        <v>42615.142488425925</v>
      </c>
      <c r="C1082" s="1" t="s">
        <v>818</v>
      </c>
      <c r="E1082" t="s">
        <v>225</v>
      </c>
      <c r="F1082" t="s">
        <v>305</v>
      </c>
      <c r="G1082" s="1" t="s">
        <v>3</v>
      </c>
      <c r="H1082" s="1">
        <v>553036</v>
      </c>
      <c r="I1082" t="s">
        <v>292</v>
      </c>
      <c r="J1082" s="110">
        <v>50524081</v>
      </c>
      <c r="K1082" s="4">
        <v>95391009</v>
      </c>
      <c r="L1082" s="805">
        <v>69.5</v>
      </c>
      <c r="M1082" s="4">
        <v>9.1</v>
      </c>
      <c r="N1082">
        <v>1.1599999999999999</v>
      </c>
    </row>
    <row r="1083" spans="2:14" x14ac:dyDescent="0.2">
      <c r="B1083" s="696">
        <v>42615.145486111112</v>
      </c>
      <c r="C1083" s="1" t="s">
        <v>408</v>
      </c>
      <c r="E1083" t="s">
        <v>225</v>
      </c>
      <c r="F1083" t="s">
        <v>305</v>
      </c>
      <c r="G1083" s="1" t="s">
        <v>3</v>
      </c>
      <c r="H1083" s="1">
        <v>553894</v>
      </c>
      <c r="I1083" t="s">
        <v>292</v>
      </c>
      <c r="J1083" s="110">
        <v>320291</v>
      </c>
      <c r="K1083" s="4" t="s">
        <v>813</v>
      </c>
      <c r="L1083" s="805">
        <v>25.92</v>
      </c>
      <c r="M1083" s="4">
        <v>10.4</v>
      </c>
      <c r="N1083">
        <v>1.1000000000000001</v>
      </c>
    </row>
    <row r="1084" spans="2:14" x14ac:dyDescent="0.2">
      <c r="B1084" s="696">
        <v>42615.151770833334</v>
      </c>
      <c r="C1084" s="1" t="s">
        <v>495</v>
      </c>
      <c r="E1084" t="s">
        <v>225</v>
      </c>
      <c r="F1084" t="s">
        <v>305</v>
      </c>
      <c r="G1084" s="1" t="s">
        <v>3</v>
      </c>
      <c r="H1084" s="1">
        <v>553017</v>
      </c>
      <c r="I1084" t="s">
        <v>292</v>
      </c>
      <c r="J1084" s="110">
        <v>600609</v>
      </c>
      <c r="K1084" s="4" t="s">
        <v>814</v>
      </c>
      <c r="L1084" s="805">
        <v>24.78</v>
      </c>
      <c r="M1084" s="4">
        <v>11.2</v>
      </c>
      <c r="N1084">
        <v>0.84</v>
      </c>
    </row>
    <row r="1085" spans="2:14" x14ac:dyDescent="0.2">
      <c r="B1085" s="696">
        <v>42615.163240740738</v>
      </c>
      <c r="C1085" s="1" t="s">
        <v>495</v>
      </c>
      <c r="E1085" t="s">
        <v>225</v>
      </c>
      <c r="F1085" t="s">
        <v>305</v>
      </c>
      <c r="G1085" s="1" t="s">
        <v>3</v>
      </c>
      <c r="H1085" s="1">
        <v>553017</v>
      </c>
      <c r="I1085" t="s">
        <v>292</v>
      </c>
      <c r="J1085" s="110">
        <v>600610</v>
      </c>
      <c r="K1085" s="4" t="s">
        <v>815</v>
      </c>
      <c r="L1085" s="805">
        <v>24.14</v>
      </c>
      <c r="M1085" s="4">
        <v>11.2</v>
      </c>
      <c r="N1085">
        <v>0.74</v>
      </c>
    </row>
    <row r="1086" spans="2:14" x14ac:dyDescent="0.2">
      <c r="B1086" s="696">
        <v>42615.1715625</v>
      </c>
      <c r="C1086" s="1" t="s">
        <v>495</v>
      </c>
      <c r="E1086" t="s">
        <v>225</v>
      </c>
      <c r="F1086" t="s">
        <v>305</v>
      </c>
      <c r="G1086" s="1" t="s">
        <v>3</v>
      </c>
      <c r="H1086" s="1">
        <v>553017</v>
      </c>
      <c r="I1086" t="s">
        <v>292</v>
      </c>
      <c r="J1086" s="110">
        <v>600611</v>
      </c>
      <c r="K1086" s="4" t="s">
        <v>816</v>
      </c>
      <c r="L1086" s="805">
        <v>24.94</v>
      </c>
      <c r="M1086" s="4">
        <v>11.1</v>
      </c>
      <c r="N1086">
        <v>1.04</v>
      </c>
    </row>
    <row r="1087" spans="2:14" x14ac:dyDescent="0.2">
      <c r="B1087" s="696">
        <v>42615.269062500003</v>
      </c>
      <c r="C1087" s="1" t="s">
        <v>495</v>
      </c>
      <c r="E1087" t="s">
        <v>225</v>
      </c>
      <c r="F1087" t="s">
        <v>305</v>
      </c>
      <c r="G1087" s="1" t="s">
        <v>3</v>
      </c>
      <c r="H1087" s="1">
        <v>553017</v>
      </c>
      <c r="I1087" t="s">
        <v>292</v>
      </c>
      <c r="J1087" s="110">
        <v>600616</v>
      </c>
      <c r="K1087" s="4" t="s">
        <v>817</v>
      </c>
      <c r="L1087" s="805">
        <v>14.54</v>
      </c>
      <c r="M1087" s="4">
        <v>11.2</v>
      </c>
      <c r="N1087">
        <v>1</v>
      </c>
    </row>
    <row r="1088" spans="2:14" x14ac:dyDescent="0.2">
      <c r="B1088" s="696">
        <v>42615.295601851853</v>
      </c>
      <c r="C1088" s="1" t="s">
        <v>762</v>
      </c>
      <c r="E1088" t="s">
        <v>225</v>
      </c>
      <c r="F1088" t="s">
        <v>305</v>
      </c>
      <c r="G1088" s="1" t="s">
        <v>3</v>
      </c>
      <c r="H1088" s="1">
        <v>553666</v>
      </c>
      <c r="I1088" t="s">
        <v>292</v>
      </c>
      <c r="J1088" s="110">
        <v>47540414</v>
      </c>
      <c r="K1088" s="4">
        <v>95386389</v>
      </c>
      <c r="L1088" s="805">
        <v>70.55</v>
      </c>
      <c r="M1088" s="4">
        <v>12.1</v>
      </c>
      <c r="N1088">
        <v>2</v>
      </c>
    </row>
    <row r="1089" spans="2:14" x14ac:dyDescent="0.2">
      <c r="B1089" s="696">
        <v>42615.296412037038</v>
      </c>
      <c r="C1089" s="1" t="s">
        <v>762</v>
      </c>
      <c r="E1089" t="s">
        <v>225</v>
      </c>
      <c r="F1089" t="s">
        <v>305</v>
      </c>
      <c r="G1089" s="1" t="s">
        <v>3</v>
      </c>
      <c r="H1089" s="1">
        <v>553666</v>
      </c>
      <c r="I1089" t="s">
        <v>292</v>
      </c>
      <c r="J1089" s="110">
        <v>47540414</v>
      </c>
      <c r="K1089" s="4">
        <v>95786224</v>
      </c>
      <c r="L1089" s="805">
        <v>67.900000000000006</v>
      </c>
      <c r="M1089" s="4">
        <v>11.7</v>
      </c>
      <c r="N1089">
        <v>2</v>
      </c>
    </row>
    <row r="1090" spans="2:14" x14ac:dyDescent="0.2">
      <c r="B1090" s="696">
        <v>42615.296875</v>
      </c>
      <c r="C1090" s="1" t="s">
        <v>762</v>
      </c>
      <c r="E1090" t="s">
        <v>225</v>
      </c>
      <c r="F1090" t="s">
        <v>305</v>
      </c>
      <c r="G1090" s="1" t="s">
        <v>3</v>
      </c>
      <c r="H1090" s="1">
        <v>553666</v>
      </c>
      <c r="I1090" t="s">
        <v>643</v>
      </c>
      <c r="J1090" s="110">
        <v>47540414</v>
      </c>
      <c r="K1090" s="4">
        <v>95366001</v>
      </c>
      <c r="L1090" s="805">
        <v>68.55</v>
      </c>
      <c r="M1090" s="4">
        <v>11.6</v>
      </c>
      <c r="N1090">
        <v>1.96</v>
      </c>
    </row>
    <row r="1091" spans="2:14" x14ac:dyDescent="0.2">
      <c r="B1091" s="696">
        <v>42615.297303240739</v>
      </c>
      <c r="C1091" s="1" t="s">
        <v>762</v>
      </c>
      <c r="E1091" t="s">
        <v>225</v>
      </c>
      <c r="F1091" t="s">
        <v>305</v>
      </c>
      <c r="G1091" s="1" t="s">
        <v>3</v>
      </c>
      <c r="H1091" s="1">
        <v>553666</v>
      </c>
      <c r="I1091" t="s">
        <v>643</v>
      </c>
      <c r="J1091" s="110">
        <v>47540414</v>
      </c>
      <c r="K1091" s="4">
        <v>95394953</v>
      </c>
      <c r="L1091" s="805">
        <v>69.8</v>
      </c>
      <c r="M1091" s="4">
        <v>11.6</v>
      </c>
      <c r="N1091">
        <v>2</v>
      </c>
    </row>
    <row r="1092" spans="2:14" x14ac:dyDescent="0.2">
      <c r="B1092" s="749">
        <v>42614</v>
      </c>
      <c r="C1092" s="1" t="s">
        <v>641</v>
      </c>
      <c r="E1092" t="s">
        <v>225</v>
      </c>
      <c r="F1092" t="s">
        <v>305</v>
      </c>
      <c r="G1092" s="1" t="s">
        <v>3</v>
      </c>
      <c r="H1092" s="1">
        <v>551438</v>
      </c>
      <c r="I1092" t="s">
        <v>292</v>
      </c>
      <c r="J1092" s="110">
        <v>44056109</v>
      </c>
      <c r="K1092" s="4">
        <v>95649810</v>
      </c>
      <c r="L1092" s="805">
        <v>62.3</v>
      </c>
    </row>
    <row r="1093" spans="2:14" x14ac:dyDescent="0.2">
      <c r="B1093" s="749">
        <v>42614</v>
      </c>
      <c r="C1093" s="1" t="s">
        <v>641</v>
      </c>
      <c r="E1093" t="s">
        <v>225</v>
      </c>
      <c r="F1093" t="s">
        <v>305</v>
      </c>
      <c r="G1093" s="1" t="s">
        <v>3</v>
      </c>
      <c r="H1093" s="1">
        <v>551438</v>
      </c>
      <c r="I1093" t="s">
        <v>292</v>
      </c>
      <c r="J1093" s="110">
        <v>44056109</v>
      </c>
      <c r="K1093" s="4">
        <v>95681318</v>
      </c>
      <c r="L1093" s="805">
        <v>62.65</v>
      </c>
    </row>
    <row r="1094" spans="2:14" x14ac:dyDescent="0.2">
      <c r="B1094" s="749">
        <v>42614</v>
      </c>
      <c r="C1094" s="1" t="s">
        <v>641</v>
      </c>
      <c r="E1094" t="s">
        <v>225</v>
      </c>
      <c r="F1094" t="s">
        <v>305</v>
      </c>
      <c r="G1094" s="1" t="s">
        <v>3</v>
      </c>
      <c r="H1094" s="1">
        <v>551438</v>
      </c>
      <c r="I1094" t="s">
        <v>292</v>
      </c>
      <c r="J1094" s="110">
        <v>44056109</v>
      </c>
      <c r="K1094" s="4">
        <v>95543328</v>
      </c>
      <c r="L1094" s="805">
        <v>62</v>
      </c>
    </row>
    <row r="1095" spans="2:14" x14ac:dyDescent="0.2">
      <c r="B1095" s="749">
        <v>42614</v>
      </c>
      <c r="C1095" s="1" t="s">
        <v>641</v>
      </c>
      <c r="E1095" t="s">
        <v>225</v>
      </c>
      <c r="F1095" t="s">
        <v>305</v>
      </c>
      <c r="G1095" s="1" t="s">
        <v>3</v>
      </c>
      <c r="H1095" s="1">
        <v>551438</v>
      </c>
      <c r="I1095" t="s">
        <v>292</v>
      </c>
      <c r="J1095" s="110">
        <v>44056109</v>
      </c>
      <c r="K1095" s="4">
        <v>95396586</v>
      </c>
      <c r="L1095" s="805">
        <v>60.45</v>
      </c>
    </row>
    <row r="1096" spans="2:14" x14ac:dyDescent="0.2">
      <c r="B1096" s="749">
        <v>42614</v>
      </c>
      <c r="C1096" s="1" t="s">
        <v>641</v>
      </c>
      <c r="E1096" t="s">
        <v>225</v>
      </c>
      <c r="F1096" t="s">
        <v>305</v>
      </c>
      <c r="G1096" s="1" t="s">
        <v>3</v>
      </c>
      <c r="H1096" s="1">
        <v>551438</v>
      </c>
      <c r="I1096" t="s">
        <v>292</v>
      </c>
      <c r="J1096" s="110">
        <v>44056109</v>
      </c>
      <c r="K1096" s="4">
        <v>95317558</v>
      </c>
      <c r="L1096" s="805">
        <v>57.75</v>
      </c>
    </row>
    <row r="1097" spans="2:14" x14ac:dyDescent="0.2">
      <c r="B1097" s="749">
        <v>42614</v>
      </c>
      <c r="C1097" s="1" t="s">
        <v>641</v>
      </c>
      <c r="E1097" t="s">
        <v>225</v>
      </c>
      <c r="F1097" t="s">
        <v>305</v>
      </c>
      <c r="G1097" s="1" t="s">
        <v>3</v>
      </c>
      <c r="H1097" s="1">
        <v>551438</v>
      </c>
      <c r="I1097" t="s">
        <v>292</v>
      </c>
      <c r="J1097" s="110">
        <v>44056109</v>
      </c>
      <c r="K1097" s="4">
        <v>95668364</v>
      </c>
      <c r="L1097" s="805">
        <v>62.55</v>
      </c>
    </row>
    <row r="1098" spans="2:14" x14ac:dyDescent="0.2">
      <c r="B1098" s="696">
        <v>42614.62667824074</v>
      </c>
      <c r="C1098" s="1" t="s">
        <v>495</v>
      </c>
      <c r="E1098" t="s">
        <v>225</v>
      </c>
      <c r="F1098" t="s">
        <v>305</v>
      </c>
      <c r="G1098" s="1" t="s">
        <v>3</v>
      </c>
      <c r="H1098" s="1">
        <v>553496</v>
      </c>
      <c r="I1098" t="s">
        <v>467</v>
      </c>
      <c r="J1098" s="110">
        <v>600615</v>
      </c>
      <c r="K1098" s="4" t="s">
        <v>786</v>
      </c>
      <c r="L1098" s="4">
        <v>24.2</v>
      </c>
      <c r="M1098" s="4">
        <v>11.9</v>
      </c>
      <c r="N1098">
        <v>1.3</v>
      </c>
    </row>
    <row r="1099" spans="2:14" x14ac:dyDescent="0.2">
      <c r="B1099" s="696">
        <v>42615.124780092592</v>
      </c>
      <c r="C1099" s="1" t="s">
        <v>495</v>
      </c>
      <c r="E1099" t="s">
        <v>225</v>
      </c>
      <c r="F1099" t="s">
        <v>305</v>
      </c>
      <c r="G1099" s="1" t="s">
        <v>3</v>
      </c>
      <c r="H1099" s="1">
        <v>553496</v>
      </c>
      <c r="I1099" t="s">
        <v>467</v>
      </c>
      <c r="J1099" s="110">
        <v>600608</v>
      </c>
      <c r="K1099" s="4" t="s">
        <v>445</v>
      </c>
      <c r="L1099" s="4">
        <v>25.26</v>
      </c>
      <c r="M1099" s="4">
        <v>11.1</v>
      </c>
      <c r="N1099">
        <v>0.72</v>
      </c>
    </row>
    <row r="1100" spans="2:14" x14ac:dyDescent="0.2">
      <c r="B1100" s="749">
        <v>42614</v>
      </c>
      <c r="C1100" s="1" t="s">
        <v>644</v>
      </c>
      <c r="E1100" t="s">
        <v>225</v>
      </c>
      <c r="F1100" t="s">
        <v>305</v>
      </c>
      <c r="G1100" s="1" t="s">
        <v>3</v>
      </c>
      <c r="H1100" s="1">
        <v>552518</v>
      </c>
      <c r="I1100" t="s">
        <v>643</v>
      </c>
      <c r="J1100" s="110">
        <v>47455506</v>
      </c>
      <c r="K1100" s="4">
        <v>95362323</v>
      </c>
      <c r="L1100" s="4">
        <v>69.8</v>
      </c>
    </row>
    <row r="1101" spans="2:14" x14ac:dyDescent="0.2">
      <c r="B1101" s="749">
        <v>42614</v>
      </c>
      <c r="C1101" s="1" t="s">
        <v>644</v>
      </c>
      <c r="E1101" t="s">
        <v>225</v>
      </c>
      <c r="F1101" t="s">
        <v>305</v>
      </c>
      <c r="G1101" s="1" t="s">
        <v>3</v>
      </c>
      <c r="H1101" s="1">
        <v>552518</v>
      </c>
      <c r="I1101" t="s">
        <v>643</v>
      </c>
      <c r="J1101" s="110">
        <v>47455506</v>
      </c>
      <c r="K1101" s="4">
        <v>95345948</v>
      </c>
      <c r="L1101" s="4">
        <v>64.8</v>
      </c>
    </row>
    <row r="1102" spans="2:14" x14ac:dyDescent="0.2">
      <c r="B1102" s="749">
        <v>42614</v>
      </c>
      <c r="C1102" s="1" t="s">
        <v>644</v>
      </c>
      <c r="E1102" t="s">
        <v>225</v>
      </c>
      <c r="F1102" t="s">
        <v>305</v>
      </c>
      <c r="G1102" s="1" t="s">
        <v>3</v>
      </c>
      <c r="H1102" s="1">
        <v>552518</v>
      </c>
      <c r="I1102" t="s">
        <v>643</v>
      </c>
      <c r="J1102" s="110">
        <v>47543194</v>
      </c>
      <c r="K1102" s="4">
        <v>95450912</v>
      </c>
      <c r="L1102" s="4">
        <v>69.900000000000006</v>
      </c>
    </row>
    <row r="1103" spans="2:14" x14ac:dyDescent="0.2">
      <c r="B1103" s="749">
        <v>42614</v>
      </c>
      <c r="C1103" s="1" t="s">
        <v>644</v>
      </c>
      <c r="E1103" t="s">
        <v>225</v>
      </c>
      <c r="F1103" t="s">
        <v>305</v>
      </c>
      <c r="G1103" s="1" t="s">
        <v>3</v>
      </c>
      <c r="H1103" s="1">
        <v>552518</v>
      </c>
      <c r="I1103" t="s">
        <v>643</v>
      </c>
      <c r="J1103" s="110">
        <v>47543194</v>
      </c>
      <c r="K1103" s="4">
        <v>95653333</v>
      </c>
      <c r="L1103" s="4">
        <v>69.8</v>
      </c>
    </row>
    <row r="1104" spans="2:14" x14ac:dyDescent="0.2">
      <c r="B1104" s="749">
        <v>42614</v>
      </c>
      <c r="C1104" s="1" t="s">
        <v>644</v>
      </c>
      <c r="E1104" t="s">
        <v>225</v>
      </c>
      <c r="F1104" t="s">
        <v>305</v>
      </c>
      <c r="G1104" s="1" t="s">
        <v>3</v>
      </c>
      <c r="H1104" s="1">
        <v>552518</v>
      </c>
      <c r="I1104" t="s">
        <v>643</v>
      </c>
      <c r="J1104" s="110">
        <v>47543194</v>
      </c>
      <c r="K1104" s="4">
        <v>95833935</v>
      </c>
      <c r="L1104" s="4">
        <v>69.8</v>
      </c>
    </row>
    <row r="1105" spans="2:12" x14ac:dyDescent="0.2">
      <c r="B1105" s="749">
        <v>42614</v>
      </c>
      <c r="C1105" s="1" t="s">
        <v>644</v>
      </c>
      <c r="E1105" t="s">
        <v>225</v>
      </c>
      <c r="F1105" t="s">
        <v>305</v>
      </c>
      <c r="G1105" s="1" t="s">
        <v>3</v>
      </c>
      <c r="H1105" s="1">
        <v>552518</v>
      </c>
      <c r="I1105" t="s">
        <v>643</v>
      </c>
      <c r="J1105" s="110">
        <v>47543194</v>
      </c>
      <c r="K1105" s="4">
        <v>95526778</v>
      </c>
      <c r="L1105" s="4">
        <v>69.95</v>
      </c>
    </row>
    <row r="1106" spans="2:12" x14ac:dyDescent="0.2">
      <c r="B1106" s="696">
        <v>42616.637997685182</v>
      </c>
      <c r="C1106" s="1" t="s">
        <v>704</v>
      </c>
      <c r="E1106" t="s">
        <v>225</v>
      </c>
      <c r="F1106" t="s">
        <v>305</v>
      </c>
      <c r="G1106" s="1" t="s">
        <v>3</v>
      </c>
      <c r="H1106" s="1">
        <v>553610</v>
      </c>
      <c r="I1106" t="s">
        <v>763</v>
      </c>
      <c r="J1106" s="110">
        <v>40391104</v>
      </c>
      <c r="K1106" s="4">
        <v>95792107</v>
      </c>
      <c r="L1106" s="4">
        <v>60.7</v>
      </c>
    </row>
    <row r="1107" spans="2:12" x14ac:dyDescent="0.2">
      <c r="B1107" s="696">
        <v>42616.63863425926</v>
      </c>
      <c r="C1107" s="1" t="s">
        <v>704</v>
      </c>
      <c r="E1107" t="s">
        <v>225</v>
      </c>
      <c r="F1107" t="s">
        <v>305</v>
      </c>
      <c r="G1107" s="1" t="s">
        <v>3</v>
      </c>
      <c r="H1107" s="1">
        <v>553610</v>
      </c>
      <c r="I1107" t="s">
        <v>763</v>
      </c>
      <c r="J1107" s="110">
        <v>40395071</v>
      </c>
      <c r="K1107" s="4">
        <v>95647988</v>
      </c>
      <c r="L1107" s="4">
        <v>59.9</v>
      </c>
    </row>
    <row r="1108" spans="2:12" x14ac:dyDescent="0.2">
      <c r="B1108" s="696">
        <v>42616.639224537037</v>
      </c>
      <c r="C1108" s="1" t="s">
        <v>704</v>
      </c>
      <c r="E1108" t="s">
        <v>225</v>
      </c>
      <c r="F1108" t="s">
        <v>305</v>
      </c>
      <c r="G1108" s="1" t="s">
        <v>3</v>
      </c>
      <c r="H1108" s="1">
        <v>553610</v>
      </c>
      <c r="I1108" t="s">
        <v>763</v>
      </c>
      <c r="J1108" s="110">
        <v>40395071</v>
      </c>
      <c r="K1108" s="4">
        <v>95713327</v>
      </c>
      <c r="L1108" s="4">
        <v>59.65</v>
      </c>
    </row>
    <row r="1109" spans="2:12" x14ac:dyDescent="0.2">
      <c r="B1109" s="696">
        <v>42616.639710648145</v>
      </c>
      <c r="C1109" s="1" t="s">
        <v>704</v>
      </c>
      <c r="E1109" t="s">
        <v>225</v>
      </c>
      <c r="F1109" t="s">
        <v>305</v>
      </c>
      <c r="G1109" s="1" t="s">
        <v>3</v>
      </c>
      <c r="H1109" s="1">
        <v>553610</v>
      </c>
      <c r="I1109" t="s">
        <v>763</v>
      </c>
      <c r="J1109" s="110">
        <v>40391112</v>
      </c>
      <c r="K1109" s="4">
        <v>95640009</v>
      </c>
      <c r="L1109" s="4">
        <v>60.1</v>
      </c>
    </row>
    <row r="1110" spans="2:12" x14ac:dyDescent="0.2">
      <c r="B1110" s="696">
        <v>42616.640219907407</v>
      </c>
      <c r="C1110" s="1" t="s">
        <v>704</v>
      </c>
      <c r="E1110" t="s">
        <v>225</v>
      </c>
      <c r="F1110" t="s">
        <v>305</v>
      </c>
      <c r="G1110" s="1" t="s">
        <v>3</v>
      </c>
      <c r="H1110" s="1">
        <v>553610</v>
      </c>
      <c r="I1110" t="s">
        <v>763</v>
      </c>
      <c r="J1110" s="110">
        <v>40391112</v>
      </c>
      <c r="K1110" s="4">
        <v>95351276</v>
      </c>
      <c r="L1110" s="4">
        <v>57.8</v>
      </c>
    </row>
    <row r="1111" spans="2:12" x14ac:dyDescent="0.2">
      <c r="B1111" s="696">
        <v>42616.640729166669</v>
      </c>
      <c r="C1111" s="1" t="s">
        <v>704</v>
      </c>
      <c r="E1111" t="s">
        <v>225</v>
      </c>
      <c r="F1111" t="s">
        <v>305</v>
      </c>
      <c r="G1111" s="1" t="s">
        <v>3</v>
      </c>
      <c r="H1111" s="1">
        <v>553610</v>
      </c>
      <c r="I1111" t="s">
        <v>763</v>
      </c>
      <c r="J1111" s="110">
        <v>40391112</v>
      </c>
      <c r="K1111" s="4">
        <v>95758306</v>
      </c>
      <c r="L1111" s="4">
        <v>60.6</v>
      </c>
    </row>
    <row r="1112" spans="2:12" x14ac:dyDescent="0.2">
      <c r="B1112" s="696">
        <v>42616.641203703701</v>
      </c>
      <c r="C1112" s="1" t="s">
        <v>704</v>
      </c>
      <c r="E1112" t="s">
        <v>225</v>
      </c>
      <c r="F1112" t="s">
        <v>305</v>
      </c>
      <c r="G1112" s="1" t="s">
        <v>3</v>
      </c>
      <c r="H1112" s="1">
        <v>553610</v>
      </c>
      <c r="I1112" t="s">
        <v>763</v>
      </c>
      <c r="J1112" s="110">
        <v>40391112</v>
      </c>
      <c r="K1112" s="4">
        <v>95271565</v>
      </c>
      <c r="L1112" s="4">
        <v>60.75</v>
      </c>
    </row>
    <row r="1113" spans="2:12" x14ac:dyDescent="0.2">
      <c r="B1113" s="696">
        <v>42616.641805555555</v>
      </c>
      <c r="C1113" s="1" t="s">
        <v>704</v>
      </c>
      <c r="E1113" t="s">
        <v>225</v>
      </c>
      <c r="F1113" t="s">
        <v>305</v>
      </c>
      <c r="G1113" s="1" t="s">
        <v>3</v>
      </c>
      <c r="H1113" s="1">
        <v>553610</v>
      </c>
      <c r="I1113" t="s">
        <v>763</v>
      </c>
      <c r="J1113" s="110">
        <v>40391104</v>
      </c>
      <c r="K1113" s="4">
        <v>95313128</v>
      </c>
      <c r="L1113" s="4">
        <v>57.75</v>
      </c>
    </row>
    <row r="1114" spans="2:12" x14ac:dyDescent="0.2">
      <c r="B1114" s="696">
        <v>42616.642384259256</v>
      </c>
      <c r="C1114" s="1" t="s">
        <v>704</v>
      </c>
      <c r="E1114" t="s">
        <v>225</v>
      </c>
      <c r="F1114" t="s">
        <v>305</v>
      </c>
      <c r="G1114" s="1" t="s">
        <v>3</v>
      </c>
      <c r="H1114" s="1">
        <v>553610</v>
      </c>
      <c r="I1114" t="s">
        <v>763</v>
      </c>
      <c r="J1114" s="110">
        <v>40391112</v>
      </c>
      <c r="K1114" s="4">
        <v>95362828</v>
      </c>
      <c r="L1114" s="4">
        <v>60.7</v>
      </c>
    </row>
    <row r="1115" spans="2:12" x14ac:dyDescent="0.2">
      <c r="B1115" s="696">
        <v>42616.642905092594</v>
      </c>
      <c r="C1115" s="1" t="s">
        <v>704</v>
      </c>
      <c r="E1115" t="s">
        <v>225</v>
      </c>
      <c r="F1115" t="s">
        <v>305</v>
      </c>
      <c r="G1115" s="1" t="s">
        <v>3</v>
      </c>
      <c r="H1115" s="1">
        <v>553610</v>
      </c>
      <c r="I1115" t="s">
        <v>763</v>
      </c>
      <c r="J1115" s="110">
        <v>40391104</v>
      </c>
      <c r="K1115" s="4">
        <v>95643243</v>
      </c>
      <c r="L1115" s="4">
        <v>60.35</v>
      </c>
    </row>
    <row r="1116" spans="2:12" x14ac:dyDescent="0.2">
      <c r="B1116" s="696">
        <v>42617.435208333336</v>
      </c>
      <c r="C1116" s="1" t="s">
        <v>709</v>
      </c>
      <c r="E1116" t="s">
        <v>225</v>
      </c>
      <c r="F1116" t="s">
        <v>305</v>
      </c>
      <c r="G1116" s="1" t="s">
        <v>3</v>
      </c>
      <c r="H1116" s="1">
        <v>552974</v>
      </c>
      <c r="I1116" t="s">
        <v>763</v>
      </c>
      <c r="J1116" s="110">
        <v>40393316</v>
      </c>
      <c r="K1116" s="4">
        <v>95800736</v>
      </c>
      <c r="L1116" s="4">
        <v>60.35</v>
      </c>
    </row>
    <row r="1117" spans="2:12" x14ac:dyDescent="0.2">
      <c r="B1117" s="696">
        <v>42617.435763888891</v>
      </c>
      <c r="C1117" s="1" t="s">
        <v>709</v>
      </c>
      <c r="E1117" t="s">
        <v>225</v>
      </c>
      <c r="F1117" t="s">
        <v>305</v>
      </c>
      <c r="G1117" s="1" t="s">
        <v>3</v>
      </c>
      <c r="H1117" s="1">
        <v>552974</v>
      </c>
      <c r="I1117" t="s">
        <v>763</v>
      </c>
      <c r="J1117" s="110">
        <v>40393316</v>
      </c>
      <c r="K1117" s="4">
        <v>95527313</v>
      </c>
      <c r="L1117" s="4">
        <v>60.55</v>
      </c>
    </row>
    <row r="1118" spans="2:12" x14ac:dyDescent="0.2">
      <c r="B1118" s="696">
        <v>42617.436284722222</v>
      </c>
      <c r="C1118" s="1" t="s">
        <v>709</v>
      </c>
      <c r="E1118" t="s">
        <v>225</v>
      </c>
      <c r="F1118" t="s">
        <v>305</v>
      </c>
      <c r="G1118" s="1" t="s">
        <v>3</v>
      </c>
      <c r="H1118" s="1">
        <v>552974</v>
      </c>
      <c r="I1118" t="s">
        <v>763</v>
      </c>
      <c r="J1118" s="110">
        <v>40393316</v>
      </c>
      <c r="K1118" s="4">
        <v>95635512</v>
      </c>
      <c r="L1118" s="4">
        <v>60.85</v>
      </c>
    </row>
    <row r="1119" spans="2:12" x14ac:dyDescent="0.2">
      <c r="B1119" s="696">
        <v>42617.43677083333</v>
      </c>
      <c r="C1119" s="1" t="s">
        <v>709</v>
      </c>
      <c r="E1119" t="s">
        <v>225</v>
      </c>
      <c r="F1119" t="s">
        <v>305</v>
      </c>
      <c r="G1119" s="1" t="s">
        <v>3</v>
      </c>
      <c r="H1119" s="1">
        <v>552974</v>
      </c>
      <c r="I1119" t="s">
        <v>763</v>
      </c>
      <c r="J1119" s="110">
        <v>40393316</v>
      </c>
      <c r="K1119" s="4">
        <v>95453338</v>
      </c>
      <c r="L1119" s="4">
        <v>61.05</v>
      </c>
    </row>
    <row r="1120" spans="2:12" x14ac:dyDescent="0.2">
      <c r="B1120" s="696">
        <v>42617.437361111108</v>
      </c>
      <c r="C1120" s="1" t="s">
        <v>709</v>
      </c>
      <c r="E1120" t="s">
        <v>225</v>
      </c>
      <c r="F1120" t="s">
        <v>305</v>
      </c>
      <c r="G1120" s="1" t="s">
        <v>3</v>
      </c>
      <c r="H1120" s="1">
        <v>552974</v>
      </c>
      <c r="I1120" t="s">
        <v>763</v>
      </c>
      <c r="J1120" s="110">
        <v>40393316</v>
      </c>
      <c r="K1120" s="4">
        <v>95449013</v>
      </c>
      <c r="L1120" s="4">
        <v>61.15</v>
      </c>
    </row>
    <row r="1121" spans="2:12" x14ac:dyDescent="0.2">
      <c r="B1121" s="696">
        <v>42617.73332175926</v>
      </c>
      <c r="C1121" s="1" t="s">
        <v>709</v>
      </c>
      <c r="E1121" t="s">
        <v>225</v>
      </c>
      <c r="F1121" t="s">
        <v>305</v>
      </c>
      <c r="G1121" s="1" t="s">
        <v>3</v>
      </c>
      <c r="H1121" s="1">
        <v>552974</v>
      </c>
      <c r="I1121" t="s">
        <v>763</v>
      </c>
      <c r="J1121" s="110">
        <v>40393316</v>
      </c>
      <c r="K1121" s="4">
        <v>95618005</v>
      </c>
      <c r="L1121" s="4">
        <v>60.75</v>
      </c>
    </row>
    <row r="1122" spans="2:12" x14ac:dyDescent="0.2">
      <c r="B1122" s="696">
        <v>42615.399178240739</v>
      </c>
      <c r="C1122" s="1" t="s">
        <v>408</v>
      </c>
      <c r="E1122" t="s">
        <v>225</v>
      </c>
      <c r="F1122" t="s">
        <v>305</v>
      </c>
      <c r="G1122" s="1" t="s">
        <v>3</v>
      </c>
      <c r="H1122" s="1">
        <v>553894</v>
      </c>
      <c r="I1122" t="s">
        <v>643</v>
      </c>
      <c r="J1122" s="110">
        <v>359453</v>
      </c>
      <c r="K1122" s="4" t="s">
        <v>648</v>
      </c>
      <c r="L1122" s="4">
        <v>25.3</v>
      </c>
    </row>
    <row r="1123" spans="2:12" x14ac:dyDescent="0.2">
      <c r="B1123" s="696">
        <v>42615.413611111115</v>
      </c>
      <c r="C1123" s="1" t="s">
        <v>849</v>
      </c>
      <c r="E1123" t="s">
        <v>225</v>
      </c>
      <c r="F1123" t="s">
        <v>305</v>
      </c>
      <c r="G1123" s="1" t="s">
        <v>3</v>
      </c>
      <c r="H1123" s="1">
        <v>553017</v>
      </c>
      <c r="I1123" t="s">
        <v>643</v>
      </c>
      <c r="J1123" s="110">
        <v>600612</v>
      </c>
      <c r="K1123" s="4" t="s">
        <v>792</v>
      </c>
      <c r="L1123" s="4">
        <v>26.18</v>
      </c>
    </row>
    <row r="1124" spans="2:12" x14ac:dyDescent="0.2">
      <c r="B1124" s="696">
        <v>42615.42114583333</v>
      </c>
      <c r="C1124" s="1" t="s">
        <v>849</v>
      </c>
      <c r="E1124" t="s">
        <v>225</v>
      </c>
      <c r="F1124" t="s">
        <v>305</v>
      </c>
      <c r="G1124" s="1" t="s">
        <v>3</v>
      </c>
      <c r="H1124" s="1">
        <v>553017</v>
      </c>
      <c r="I1124" t="s">
        <v>643</v>
      </c>
      <c r="J1124" s="110">
        <v>600613</v>
      </c>
      <c r="K1124" s="4" t="s">
        <v>416</v>
      </c>
      <c r="L1124" s="4">
        <v>26.86</v>
      </c>
    </row>
    <row r="1125" spans="2:12" x14ac:dyDescent="0.2">
      <c r="B1125" s="696">
        <v>42615.426724537036</v>
      </c>
      <c r="C1125" s="1" t="s">
        <v>408</v>
      </c>
      <c r="E1125" t="s">
        <v>225</v>
      </c>
      <c r="F1125" t="s">
        <v>305</v>
      </c>
      <c r="G1125" s="1" t="s">
        <v>3</v>
      </c>
      <c r="H1125" s="1">
        <v>553894</v>
      </c>
      <c r="I1125" t="s">
        <v>643</v>
      </c>
      <c r="J1125" s="110">
        <v>359432</v>
      </c>
      <c r="K1125" s="4" t="s">
        <v>821</v>
      </c>
      <c r="L1125" s="4">
        <v>22.46</v>
      </c>
    </row>
    <row r="1126" spans="2:12" x14ac:dyDescent="0.2">
      <c r="B1126" s="696">
        <v>42615.436840277776</v>
      </c>
      <c r="C1126" s="1" t="s">
        <v>762</v>
      </c>
      <c r="E1126" t="s">
        <v>225</v>
      </c>
      <c r="F1126" t="s">
        <v>305</v>
      </c>
      <c r="G1126" s="1" t="s">
        <v>3</v>
      </c>
      <c r="H1126" s="1">
        <v>553666</v>
      </c>
      <c r="I1126" t="s">
        <v>292</v>
      </c>
      <c r="J1126" s="110">
        <v>47540414</v>
      </c>
      <c r="K1126" s="4">
        <v>95357703</v>
      </c>
      <c r="L1126" s="4">
        <v>69.849999999999994</v>
      </c>
    </row>
    <row r="1127" spans="2:12" x14ac:dyDescent="0.2">
      <c r="B1127" s="696">
        <v>42615.438055555554</v>
      </c>
      <c r="C1127" s="1" t="s">
        <v>408</v>
      </c>
      <c r="E1127" t="s">
        <v>225</v>
      </c>
      <c r="F1127" t="s">
        <v>305</v>
      </c>
      <c r="G1127" s="1" t="s">
        <v>3</v>
      </c>
      <c r="H1127" s="1">
        <v>553894</v>
      </c>
      <c r="I1127" t="s">
        <v>643</v>
      </c>
      <c r="J1127" s="110">
        <v>359433</v>
      </c>
      <c r="K1127" s="4" t="s">
        <v>822</v>
      </c>
      <c r="L1127" s="4">
        <v>21.64</v>
      </c>
    </row>
    <row r="1128" spans="2:12" x14ac:dyDescent="0.2">
      <c r="B1128" s="696">
        <v>42615.464155092595</v>
      </c>
      <c r="C1128" s="1" t="s">
        <v>408</v>
      </c>
      <c r="E1128" t="s">
        <v>225</v>
      </c>
      <c r="F1128" t="s">
        <v>305</v>
      </c>
      <c r="G1128" s="1" t="s">
        <v>3</v>
      </c>
      <c r="H1128" s="1">
        <v>553894</v>
      </c>
      <c r="I1128" t="s">
        <v>292</v>
      </c>
      <c r="J1128" s="110">
        <v>354996</v>
      </c>
      <c r="K1128" s="4" t="s">
        <v>823</v>
      </c>
      <c r="L1128" s="4">
        <v>22.66</v>
      </c>
    </row>
    <row r="1129" spans="2:12" x14ac:dyDescent="0.2">
      <c r="B1129" s="696">
        <v>42615.47216435185</v>
      </c>
      <c r="C1129" s="1" t="s">
        <v>408</v>
      </c>
      <c r="E1129" t="s">
        <v>225</v>
      </c>
      <c r="F1129" t="s">
        <v>305</v>
      </c>
      <c r="G1129" s="1" t="s">
        <v>3</v>
      </c>
      <c r="H1129" s="1">
        <v>553894</v>
      </c>
      <c r="I1129" t="s">
        <v>292</v>
      </c>
      <c r="J1129" s="110">
        <v>359350</v>
      </c>
      <c r="K1129" s="4" t="s">
        <v>824</v>
      </c>
      <c r="L1129" s="4">
        <v>24.28</v>
      </c>
    </row>
    <row r="1130" spans="2:12" x14ac:dyDescent="0.2">
      <c r="B1130" s="696">
        <v>42615.476319444446</v>
      </c>
      <c r="C1130" s="1" t="s">
        <v>408</v>
      </c>
      <c r="E1130" t="s">
        <v>225</v>
      </c>
      <c r="F1130" t="s">
        <v>305</v>
      </c>
      <c r="G1130" s="1" t="s">
        <v>3</v>
      </c>
      <c r="H1130" s="1">
        <v>553894</v>
      </c>
      <c r="I1130" t="s">
        <v>292</v>
      </c>
      <c r="J1130" s="110">
        <v>359425</v>
      </c>
      <c r="K1130" s="4" t="s">
        <v>790</v>
      </c>
      <c r="L1130" s="4">
        <v>20.74</v>
      </c>
    </row>
    <row r="1131" spans="2:12" x14ac:dyDescent="0.2">
      <c r="B1131" s="696">
        <v>42615.571527777778</v>
      </c>
      <c r="C1131" s="1" t="s">
        <v>846</v>
      </c>
      <c r="E1131" t="s">
        <v>225</v>
      </c>
      <c r="F1131" t="s">
        <v>305</v>
      </c>
      <c r="G1131" s="1" t="s">
        <v>3</v>
      </c>
      <c r="H1131" s="1">
        <v>552636</v>
      </c>
      <c r="I1131" t="s">
        <v>292</v>
      </c>
      <c r="J1131" s="110">
        <v>47511183</v>
      </c>
      <c r="K1131" s="4">
        <v>95833604</v>
      </c>
      <c r="L1131" s="4">
        <v>61.15</v>
      </c>
    </row>
    <row r="1132" spans="2:12" x14ac:dyDescent="0.2">
      <c r="B1132" s="696">
        <v>42615.572152777779</v>
      </c>
      <c r="C1132" s="1" t="s">
        <v>846</v>
      </c>
      <c r="E1132" t="s">
        <v>225</v>
      </c>
      <c r="F1132" t="s">
        <v>305</v>
      </c>
      <c r="G1132" s="1" t="s">
        <v>3</v>
      </c>
      <c r="H1132" s="1">
        <v>552636</v>
      </c>
      <c r="I1132" t="s">
        <v>292</v>
      </c>
      <c r="J1132" s="110">
        <v>47511183</v>
      </c>
      <c r="K1132" s="4">
        <v>95344644</v>
      </c>
      <c r="L1132" s="4">
        <v>62.1</v>
      </c>
    </row>
    <row r="1133" spans="2:12" x14ac:dyDescent="0.2">
      <c r="B1133" s="696">
        <v>42615.572650462964</v>
      </c>
      <c r="C1133" s="1" t="s">
        <v>846</v>
      </c>
      <c r="E1133" t="s">
        <v>225</v>
      </c>
      <c r="F1133" t="s">
        <v>305</v>
      </c>
      <c r="G1133" s="1" t="s">
        <v>3</v>
      </c>
      <c r="H1133" s="1">
        <v>552636</v>
      </c>
      <c r="I1133" t="s">
        <v>292</v>
      </c>
      <c r="J1133" s="110">
        <v>47511183</v>
      </c>
      <c r="K1133" s="4">
        <v>95834149</v>
      </c>
      <c r="L1133" s="4">
        <v>61.9</v>
      </c>
    </row>
    <row r="1134" spans="2:12" x14ac:dyDescent="0.2">
      <c r="B1134" s="696">
        <v>42615.573229166665</v>
      </c>
      <c r="C1134" s="1" t="s">
        <v>820</v>
      </c>
      <c r="E1134" t="s">
        <v>225</v>
      </c>
      <c r="F1134" t="s">
        <v>305</v>
      </c>
      <c r="G1134" s="1" t="s">
        <v>3</v>
      </c>
      <c r="H1134" s="1">
        <v>553619</v>
      </c>
      <c r="I1134" t="s">
        <v>643</v>
      </c>
      <c r="J1134" s="110">
        <v>40407694</v>
      </c>
      <c r="K1134" s="4">
        <v>95485280</v>
      </c>
      <c r="L1134" s="4">
        <v>69.849999999999994</v>
      </c>
    </row>
    <row r="1135" spans="2:12" x14ac:dyDescent="0.2">
      <c r="B1135" s="696">
        <v>42615.57366898148</v>
      </c>
      <c r="C1135" s="1" t="s">
        <v>820</v>
      </c>
      <c r="E1135" t="s">
        <v>225</v>
      </c>
      <c r="F1135" t="s">
        <v>305</v>
      </c>
      <c r="G1135" s="1" t="s">
        <v>3</v>
      </c>
      <c r="H1135" s="1">
        <v>553619</v>
      </c>
      <c r="I1135" t="s">
        <v>643</v>
      </c>
      <c r="J1135" s="110">
        <v>40407694</v>
      </c>
      <c r="K1135" s="4">
        <v>95685319</v>
      </c>
      <c r="L1135" s="4">
        <v>70.349999999999994</v>
      </c>
    </row>
    <row r="1136" spans="2:12" x14ac:dyDescent="0.2">
      <c r="B1136" s="696">
        <v>42615.574155092596</v>
      </c>
      <c r="C1136" s="1" t="s">
        <v>820</v>
      </c>
      <c r="E1136" t="s">
        <v>225</v>
      </c>
      <c r="F1136" t="s">
        <v>305</v>
      </c>
      <c r="G1136" s="1" t="s">
        <v>3</v>
      </c>
      <c r="H1136" s="1">
        <v>553619</v>
      </c>
      <c r="I1136" t="s">
        <v>643</v>
      </c>
      <c r="J1136" s="110">
        <v>40407694</v>
      </c>
      <c r="K1136" s="4">
        <v>95682647</v>
      </c>
      <c r="L1136" s="4">
        <v>68.599999999999994</v>
      </c>
    </row>
    <row r="1137" spans="2:12" x14ac:dyDescent="0.2">
      <c r="B1137" s="696">
        <v>42615.574988425928</v>
      </c>
      <c r="C1137" s="1" t="s">
        <v>820</v>
      </c>
      <c r="E1137" t="s">
        <v>225</v>
      </c>
      <c r="F1137" t="s">
        <v>305</v>
      </c>
      <c r="G1137" s="1" t="s">
        <v>3</v>
      </c>
      <c r="H1137" s="1">
        <v>553619</v>
      </c>
      <c r="I1137" t="s">
        <v>643</v>
      </c>
      <c r="J1137" s="110">
        <v>40407694</v>
      </c>
      <c r="K1137" s="4">
        <v>95337028</v>
      </c>
      <c r="L1137" s="4">
        <v>69.8</v>
      </c>
    </row>
    <row r="1138" spans="2:12" x14ac:dyDescent="0.2">
      <c r="B1138" s="696">
        <v>42615.675509259258</v>
      </c>
      <c r="C1138" s="1" t="s">
        <v>408</v>
      </c>
      <c r="E1138" t="s">
        <v>225</v>
      </c>
      <c r="F1138" t="s">
        <v>305</v>
      </c>
      <c r="G1138" s="1" t="s">
        <v>3</v>
      </c>
      <c r="H1138" s="1">
        <v>553894</v>
      </c>
      <c r="I1138" t="s">
        <v>643</v>
      </c>
      <c r="J1138" s="110">
        <v>358837</v>
      </c>
      <c r="K1138" s="4" t="s">
        <v>533</v>
      </c>
      <c r="L1138" s="4">
        <v>22.84</v>
      </c>
    </row>
    <row r="1139" spans="2:12" x14ac:dyDescent="0.2">
      <c r="B1139" s="696">
        <v>42615.795416666668</v>
      </c>
      <c r="C1139" s="1" t="s">
        <v>408</v>
      </c>
      <c r="E1139" t="s">
        <v>225</v>
      </c>
      <c r="F1139" t="s">
        <v>305</v>
      </c>
      <c r="G1139" s="1" t="s">
        <v>3</v>
      </c>
      <c r="H1139" s="1">
        <v>553894</v>
      </c>
      <c r="I1139" t="s">
        <v>292</v>
      </c>
      <c r="J1139" s="110">
        <v>342842</v>
      </c>
      <c r="K1139" s="4" t="s">
        <v>825</v>
      </c>
      <c r="L1139" s="4">
        <v>25.84</v>
      </c>
    </row>
    <row r="1140" spans="2:12" x14ac:dyDescent="0.2">
      <c r="B1140" s="696">
        <v>42615.798726851855</v>
      </c>
      <c r="C1140" s="1" t="s">
        <v>408</v>
      </c>
      <c r="E1140" t="s">
        <v>225</v>
      </c>
      <c r="F1140" t="s">
        <v>305</v>
      </c>
      <c r="G1140" s="1" t="s">
        <v>3</v>
      </c>
      <c r="H1140" s="1">
        <v>553894</v>
      </c>
      <c r="I1140" t="s">
        <v>292</v>
      </c>
      <c r="J1140" s="110">
        <v>342840</v>
      </c>
      <c r="K1140" s="4" t="s">
        <v>826</v>
      </c>
      <c r="L1140" s="4">
        <v>23.46</v>
      </c>
    </row>
    <row r="1141" spans="2:12" x14ac:dyDescent="0.2">
      <c r="B1141" s="696">
        <v>42615.802025462966</v>
      </c>
      <c r="C1141" s="1" t="s">
        <v>408</v>
      </c>
      <c r="E1141" t="s">
        <v>225</v>
      </c>
      <c r="F1141" t="s">
        <v>305</v>
      </c>
      <c r="G1141" s="1" t="s">
        <v>3</v>
      </c>
      <c r="H1141" s="1">
        <v>553894</v>
      </c>
      <c r="I1141" t="s">
        <v>292</v>
      </c>
      <c r="J1141" s="110">
        <v>342843</v>
      </c>
      <c r="K1141" s="4" t="s">
        <v>751</v>
      </c>
      <c r="L1141" s="4">
        <v>23.8</v>
      </c>
    </row>
    <row r="1142" spans="2:12" x14ac:dyDescent="0.2">
      <c r="B1142" s="696">
        <v>42615.957476851851</v>
      </c>
      <c r="C1142" s="1" t="s">
        <v>849</v>
      </c>
      <c r="E1142" t="s">
        <v>225</v>
      </c>
      <c r="F1142" t="s">
        <v>305</v>
      </c>
      <c r="G1142" s="1" t="s">
        <v>3</v>
      </c>
      <c r="H1142" s="1">
        <v>553017</v>
      </c>
      <c r="I1142" t="s">
        <v>292</v>
      </c>
      <c r="J1142" s="110">
        <v>600617</v>
      </c>
      <c r="K1142" s="4" t="s">
        <v>513</v>
      </c>
      <c r="L1142" s="4">
        <v>22.76</v>
      </c>
    </row>
    <row r="1143" spans="2:12" x14ac:dyDescent="0.2">
      <c r="B1143" s="696">
        <v>42616.265844907408</v>
      </c>
      <c r="C1143" s="1" t="s">
        <v>408</v>
      </c>
      <c r="E1143" t="s">
        <v>225</v>
      </c>
      <c r="F1143" t="s">
        <v>305</v>
      </c>
      <c r="G1143" s="1" t="s">
        <v>3</v>
      </c>
      <c r="H1143" s="1">
        <v>553894</v>
      </c>
      <c r="I1143" t="s">
        <v>643</v>
      </c>
      <c r="J1143" s="110">
        <v>359444</v>
      </c>
      <c r="K1143" s="4" t="s">
        <v>827</v>
      </c>
      <c r="L1143" s="4">
        <v>26.18</v>
      </c>
    </row>
    <row r="1144" spans="2:12" x14ac:dyDescent="0.2">
      <c r="B1144" s="696">
        <v>42616.274039351854</v>
      </c>
      <c r="C1144" s="1" t="s">
        <v>818</v>
      </c>
      <c r="E1144" t="s">
        <v>225</v>
      </c>
      <c r="F1144" t="s">
        <v>305</v>
      </c>
      <c r="G1144" s="1" t="s">
        <v>3</v>
      </c>
      <c r="H1144" s="1">
        <v>553036</v>
      </c>
      <c r="I1144" t="s">
        <v>292</v>
      </c>
      <c r="J1144" s="110">
        <v>44072247</v>
      </c>
      <c r="K1144" s="4">
        <v>95452710</v>
      </c>
      <c r="L1144" s="4">
        <v>68.95</v>
      </c>
    </row>
    <row r="1145" spans="2:12" x14ac:dyDescent="0.2">
      <c r="B1145" s="696">
        <v>42616.274687500001</v>
      </c>
      <c r="C1145" s="1" t="s">
        <v>818</v>
      </c>
      <c r="E1145" t="s">
        <v>225</v>
      </c>
      <c r="F1145" t="s">
        <v>305</v>
      </c>
      <c r="G1145" s="1" t="s">
        <v>3</v>
      </c>
      <c r="H1145" s="1">
        <v>553036</v>
      </c>
      <c r="I1145" t="s">
        <v>292</v>
      </c>
      <c r="J1145" s="110">
        <v>44072247</v>
      </c>
      <c r="K1145" s="4">
        <v>95791786</v>
      </c>
      <c r="L1145" s="4">
        <v>68.900000000000006</v>
      </c>
    </row>
    <row r="1146" spans="2:12" x14ac:dyDescent="0.2">
      <c r="B1146" s="696">
        <v>42616.274791666663</v>
      </c>
      <c r="C1146" s="1" t="s">
        <v>408</v>
      </c>
      <c r="E1146" t="s">
        <v>225</v>
      </c>
      <c r="F1146" t="s">
        <v>305</v>
      </c>
      <c r="G1146" s="1" t="s">
        <v>3</v>
      </c>
      <c r="H1146" s="1">
        <v>553894</v>
      </c>
      <c r="I1146" t="s">
        <v>643</v>
      </c>
      <c r="J1146" s="110">
        <v>359445</v>
      </c>
      <c r="K1146" s="4" t="s">
        <v>718</v>
      </c>
      <c r="L1146" s="4">
        <v>25.32</v>
      </c>
    </row>
    <row r="1147" spans="2:12" x14ac:dyDescent="0.2">
      <c r="B1147" s="696">
        <v>42616.275312500002</v>
      </c>
      <c r="C1147" s="1" t="s">
        <v>818</v>
      </c>
      <c r="E1147" t="s">
        <v>225</v>
      </c>
      <c r="F1147" t="s">
        <v>305</v>
      </c>
      <c r="G1147" s="1" t="s">
        <v>3</v>
      </c>
      <c r="H1147" s="1">
        <v>553036</v>
      </c>
      <c r="I1147" t="s">
        <v>292</v>
      </c>
      <c r="J1147" s="110">
        <v>44072247</v>
      </c>
      <c r="K1147" s="4">
        <v>95692950</v>
      </c>
      <c r="L1147" s="4">
        <v>68.25</v>
      </c>
    </row>
    <row r="1148" spans="2:12" x14ac:dyDescent="0.2">
      <c r="B1148" s="696">
        <v>42616.276041666664</v>
      </c>
      <c r="C1148" s="1" t="s">
        <v>818</v>
      </c>
      <c r="E1148" t="s">
        <v>225</v>
      </c>
      <c r="F1148" t="s">
        <v>305</v>
      </c>
      <c r="G1148" s="1" t="s">
        <v>3</v>
      </c>
      <c r="H1148" s="1">
        <v>553036</v>
      </c>
      <c r="I1148" t="s">
        <v>292</v>
      </c>
      <c r="J1148" s="110">
        <v>44059038</v>
      </c>
      <c r="K1148" s="4">
        <v>95349288</v>
      </c>
      <c r="L1148" s="4">
        <v>67.3</v>
      </c>
    </row>
    <row r="1149" spans="2:12" x14ac:dyDescent="0.2">
      <c r="B1149" s="696">
        <v>42616.276736111111</v>
      </c>
      <c r="C1149" s="1" t="s">
        <v>818</v>
      </c>
      <c r="E1149" t="s">
        <v>225</v>
      </c>
      <c r="F1149" t="s">
        <v>305</v>
      </c>
      <c r="G1149" s="1" t="s">
        <v>3</v>
      </c>
      <c r="H1149" s="1">
        <v>553036</v>
      </c>
      <c r="I1149" t="s">
        <v>292</v>
      </c>
      <c r="J1149" s="110">
        <v>44059038</v>
      </c>
      <c r="K1149" s="4">
        <v>95680575</v>
      </c>
      <c r="L1149" s="4">
        <v>68.2</v>
      </c>
    </row>
    <row r="1150" spans="2:12" x14ac:dyDescent="0.2">
      <c r="B1150" s="696">
        <v>42616.277256944442</v>
      </c>
      <c r="C1150" s="1" t="s">
        <v>818</v>
      </c>
      <c r="E1150" t="s">
        <v>225</v>
      </c>
      <c r="F1150" t="s">
        <v>305</v>
      </c>
      <c r="G1150" s="1" t="s">
        <v>3</v>
      </c>
      <c r="H1150" s="1">
        <v>553036</v>
      </c>
      <c r="I1150" t="s">
        <v>292</v>
      </c>
      <c r="J1150" s="110">
        <v>44059038</v>
      </c>
      <c r="K1150" s="4">
        <v>95797643</v>
      </c>
      <c r="L1150" s="4">
        <v>68.05</v>
      </c>
    </row>
    <row r="1151" spans="2:12" x14ac:dyDescent="0.2">
      <c r="B1151" s="696">
        <v>42616.277916666666</v>
      </c>
      <c r="C1151" s="1" t="s">
        <v>818</v>
      </c>
      <c r="E1151" t="s">
        <v>225</v>
      </c>
      <c r="F1151" t="s">
        <v>305</v>
      </c>
      <c r="G1151" s="1" t="s">
        <v>3</v>
      </c>
      <c r="H1151" s="1">
        <v>553036</v>
      </c>
      <c r="I1151" t="s">
        <v>292</v>
      </c>
      <c r="J1151" s="110">
        <v>44059038</v>
      </c>
      <c r="K1151" s="4">
        <v>95399051</v>
      </c>
      <c r="L1151" s="4">
        <v>69</v>
      </c>
    </row>
    <row r="1152" spans="2:12" x14ac:dyDescent="0.2">
      <c r="B1152" s="696">
        <v>42616.27853009259</v>
      </c>
      <c r="C1152" s="1" t="s">
        <v>408</v>
      </c>
      <c r="E1152" t="s">
        <v>225</v>
      </c>
      <c r="F1152" t="s">
        <v>305</v>
      </c>
      <c r="G1152" s="1" t="s">
        <v>3</v>
      </c>
      <c r="H1152" s="1">
        <v>553894</v>
      </c>
      <c r="I1152" t="s">
        <v>643</v>
      </c>
      <c r="J1152" s="110">
        <v>359446</v>
      </c>
      <c r="K1152" s="4" t="s">
        <v>828</v>
      </c>
      <c r="L1152" s="4">
        <v>22.94</v>
      </c>
    </row>
    <row r="1153" spans="2:12" x14ac:dyDescent="0.2">
      <c r="B1153" s="696">
        <v>42616.278715277775</v>
      </c>
      <c r="C1153" s="1" t="s">
        <v>818</v>
      </c>
      <c r="E1153" t="s">
        <v>225</v>
      </c>
      <c r="F1153" t="s">
        <v>305</v>
      </c>
      <c r="G1153" s="1" t="s">
        <v>3</v>
      </c>
      <c r="H1153" s="1">
        <v>553036</v>
      </c>
      <c r="I1153" t="s">
        <v>292</v>
      </c>
      <c r="J1153" s="110">
        <v>44059038</v>
      </c>
      <c r="K1153" s="4">
        <v>95492385</v>
      </c>
      <c r="L1153" s="4">
        <v>69.150000000000006</v>
      </c>
    </row>
    <row r="1154" spans="2:12" x14ac:dyDescent="0.2">
      <c r="B1154" s="696">
        <v>42616.292962962965</v>
      </c>
      <c r="C1154" s="1" t="s">
        <v>408</v>
      </c>
      <c r="E1154" t="s">
        <v>225</v>
      </c>
      <c r="F1154" t="s">
        <v>305</v>
      </c>
      <c r="G1154" s="1" t="s">
        <v>3</v>
      </c>
      <c r="H1154" s="1">
        <v>553894</v>
      </c>
      <c r="I1154" t="s">
        <v>643</v>
      </c>
      <c r="J1154" s="110">
        <v>359449</v>
      </c>
      <c r="K1154" s="4" t="s">
        <v>829</v>
      </c>
      <c r="L1154" s="4">
        <v>21.86</v>
      </c>
    </row>
    <row r="1155" spans="2:12" x14ac:dyDescent="0.2">
      <c r="B1155" s="696">
        <v>42616.329837962963</v>
      </c>
      <c r="C1155" s="1" t="s">
        <v>408</v>
      </c>
      <c r="E1155" t="s">
        <v>225</v>
      </c>
      <c r="F1155" t="s">
        <v>305</v>
      </c>
      <c r="G1155" s="1" t="s">
        <v>3</v>
      </c>
      <c r="H1155" s="1">
        <v>553894</v>
      </c>
      <c r="I1155" t="s">
        <v>292</v>
      </c>
      <c r="J1155" s="110">
        <v>350862</v>
      </c>
      <c r="K1155" s="4" t="s">
        <v>648</v>
      </c>
      <c r="L1155" s="4">
        <v>24.78</v>
      </c>
    </row>
    <row r="1156" spans="2:12" x14ac:dyDescent="0.2">
      <c r="B1156" s="696">
        <v>42616.513252314813</v>
      </c>
      <c r="C1156" s="1" t="s">
        <v>820</v>
      </c>
      <c r="E1156" t="s">
        <v>225</v>
      </c>
      <c r="F1156" t="s">
        <v>305</v>
      </c>
      <c r="G1156" s="1" t="s">
        <v>3</v>
      </c>
      <c r="H1156" s="1">
        <v>553619</v>
      </c>
      <c r="I1156" t="s">
        <v>643</v>
      </c>
      <c r="J1156" s="110">
        <v>40466518</v>
      </c>
      <c r="K1156" s="4">
        <v>95053419</v>
      </c>
      <c r="L1156" s="4">
        <v>68.05</v>
      </c>
    </row>
    <row r="1157" spans="2:12" x14ac:dyDescent="0.2">
      <c r="B1157" s="696">
        <v>42616.513993055552</v>
      </c>
      <c r="C1157" s="1" t="s">
        <v>820</v>
      </c>
      <c r="E1157" t="s">
        <v>225</v>
      </c>
      <c r="F1157" t="s">
        <v>305</v>
      </c>
      <c r="G1157" s="1" t="s">
        <v>3</v>
      </c>
      <c r="H1157" s="1">
        <v>553619</v>
      </c>
      <c r="I1157" t="s">
        <v>643</v>
      </c>
      <c r="J1157" s="110">
        <v>40466518</v>
      </c>
      <c r="K1157" s="4">
        <v>95395869</v>
      </c>
      <c r="L1157" s="4">
        <v>67.45</v>
      </c>
    </row>
    <row r="1158" spans="2:12" x14ac:dyDescent="0.2">
      <c r="B1158" s="696">
        <v>42616.514513888891</v>
      </c>
      <c r="C1158" s="1" t="s">
        <v>818</v>
      </c>
      <c r="E1158" t="s">
        <v>225</v>
      </c>
      <c r="F1158" t="s">
        <v>305</v>
      </c>
      <c r="G1158" s="1" t="s">
        <v>3</v>
      </c>
      <c r="H1158" s="1">
        <v>553036</v>
      </c>
      <c r="I1158" t="s">
        <v>292</v>
      </c>
      <c r="J1158" s="110">
        <v>44072247</v>
      </c>
      <c r="K1158" s="4">
        <v>95651337</v>
      </c>
      <c r="L1158" s="4">
        <v>68.45</v>
      </c>
    </row>
    <row r="1159" spans="2:12" x14ac:dyDescent="0.2">
      <c r="B1159" s="696">
        <v>42616.514965277776</v>
      </c>
      <c r="C1159" s="1" t="s">
        <v>818</v>
      </c>
      <c r="E1159" t="s">
        <v>225</v>
      </c>
      <c r="F1159" t="s">
        <v>305</v>
      </c>
      <c r="G1159" s="1" t="s">
        <v>3</v>
      </c>
      <c r="H1159" s="1">
        <v>553036</v>
      </c>
      <c r="I1159" t="s">
        <v>292</v>
      </c>
      <c r="J1159" s="110">
        <v>44072247</v>
      </c>
      <c r="K1159" s="4">
        <v>95666889</v>
      </c>
      <c r="L1159" s="4">
        <v>69.55</v>
      </c>
    </row>
    <row r="1160" spans="2:12" x14ac:dyDescent="0.2">
      <c r="B1160" s="696">
        <v>42616.57917824074</v>
      </c>
      <c r="C1160" s="1" t="s">
        <v>408</v>
      </c>
      <c r="E1160" t="s">
        <v>225</v>
      </c>
      <c r="F1160" t="s">
        <v>305</v>
      </c>
      <c r="G1160" s="1" t="s">
        <v>3</v>
      </c>
      <c r="H1160" s="1">
        <v>553894</v>
      </c>
      <c r="I1160" t="s">
        <v>292</v>
      </c>
      <c r="J1160" s="110">
        <v>354664</v>
      </c>
      <c r="K1160" s="4" t="s">
        <v>514</v>
      </c>
      <c r="L1160" s="4">
        <v>23</v>
      </c>
    </row>
    <row r="1161" spans="2:12" x14ac:dyDescent="0.2">
      <c r="B1161" s="696">
        <v>42616.726666666669</v>
      </c>
      <c r="C1161" s="1" t="s">
        <v>408</v>
      </c>
      <c r="E1161" t="s">
        <v>225</v>
      </c>
      <c r="F1161" t="s">
        <v>305</v>
      </c>
      <c r="G1161" s="1" t="s">
        <v>3</v>
      </c>
      <c r="H1161" s="1">
        <v>553894</v>
      </c>
      <c r="I1161" t="s">
        <v>292</v>
      </c>
      <c r="J1161" s="110">
        <v>358716</v>
      </c>
      <c r="K1161" s="4" t="s">
        <v>521</v>
      </c>
      <c r="L1161" s="4">
        <v>24.68</v>
      </c>
    </row>
    <row r="1162" spans="2:12" x14ac:dyDescent="0.2">
      <c r="B1162" s="696">
        <v>42616.734201388892</v>
      </c>
      <c r="C1162" s="1" t="s">
        <v>408</v>
      </c>
      <c r="E1162" t="s">
        <v>225</v>
      </c>
      <c r="F1162" t="s">
        <v>305</v>
      </c>
      <c r="G1162" s="1" t="s">
        <v>3</v>
      </c>
      <c r="H1162" s="1">
        <v>553894</v>
      </c>
      <c r="I1162" t="s">
        <v>292</v>
      </c>
      <c r="J1162" s="110">
        <v>358718</v>
      </c>
      <c r="K1162" s="4" t="s">
        <v>500</v>
      </c>
      <c r="L1162" s="4">
        <v>25.52</v>
      </c>
    </row>
    <row r="1163" spans="2:12" x14ac:dyDescent="0.2">
      <c r="B1163" s="696">
        <v>42616.742754629631</v>
      </c>
      <c r="C1163" s="1" t="s">
        <v>408</v>
      </c>
      <c r="E1163" t="s">
        <v>225</v>
      </c>
      <c r="F1163" t="s">
        <v>305</v>
      </c>
      <c r="G1163" s="1" t="s">
        <v>3</v>
      </c>
      <c r="H1163" s="1">
        <v>553894</v>
      </c>
      <c r="I1163" t="s">
        <v>292</v>
      </c>
      <c r="J1163" s="110">
        <v>358715</v>
      </c>
      <c r="K1163" s="4" t="s">
        <v>830</v>
      </c>
      <c r="L1163" s="4">
        <v>22.9</v>
      </c>
    </row>
    <row r="1164" spans="2:12" x14ac:dyDescent="0.2">
      <c r="B1164" s="696">
        <v>42616.750243055554</v>
      </c>
      <c r="C1164" s="1" t="s">
        <v>408</v>
      </c>
      <c r="E1164" t="s">
        <v>225</v>
      </c>
      <c r="F1164" t="s">
        <v>305</v>
      </c>
      <c r="G1164" s="1" t="s">
        <v>3</v>
      </c>
      <c r="H1164" s="1">
        <v>553894</v>
      </c>
      <c r="I1164" t="s">
        <v>292</v>
      </c>
      <c r="J1164" s="110">
        <v>358717</v>
      </c>
      <c r="K1164" s="4" t="s">
        <v>831</v>
      </c>
      <c r="L1164" s="4">
        <v>24.86</v>
      </c>
    </row>
    <row r="1165" spans="2:12" x14ac:dyDescent="0.2">
      <c r="B1165" s="696">
        <v>42616.780717592592</v>
      </c>
      <c r="C1165" s="1" t="s">
        <v>818</v>
      </c>
      <c r="E1165" t="s">
        <v>225</v>
      </c>
      <c r="F1165" t="s">
        <v>305</v>
      </c>
      <c r="G1165" s="1" t="s">
        <v>3</v>
      </c>
      <c r="H1165" s="1">
        <v>553036</v>
      </c>
      <c r="I1165" t="s">
        <v>292</v>
      </c>
      <c r="J1165" s="110">
        <v>50619824</v>
      </c>
      <c r="K1165" s="4">
        <v>95832374</v>
      </c>
      <c r="L1165" s="4">
        <v>68.900000000000006</v>
      </c>
    </row>
    <row r="1166" spans="2:12" x14ac:dyDescent="0.2">
      <c r="B1166" s="696">
        <v>42616.781180555554</v>
      </c>
      <c r="C1166" s="1" t="s">
        <v>818</v>
      </c>
      <c r="E1166" t="s">
        <v>225</v>
      </c>
      <c r="F1166" t="s">
        <v>305</v>
      </c>
      <c r="G1166" s="1" t="s">
        <v>3</v>
      </c>
      <c r="H1166" s="1">
        <v>553036</v>
      </c>
      <c r="I1166" t="s">
        <v>292</v>
      </c>
      <c r="J1166" s="110">
        <v>50619824</v>
      </c>
      <c r="K1166" s="4">
        <v>95453551</v>
      </c>
      <c r="L1166" s="4">
        <v>68.55</v>
      </c>
    </row>
    <row r="1167" spans="2:12" x14ac:dyDescent="0.2">
      <c r="B1167" s="696">
        <v>42616.873124999998</v>
      </c>
      <c r="C1167" s="1" t="s">
        <v>818</v>
      </c>
      <c r="E1167" t="s">
        <v>225</v>
      </c>
      <c r="F1167" t="s">
        <v>305</v>
      </c>
      <c r="G1167" s="1" t="s">
        <v>3</v>
      </c>
      <c r="H1167" s="1">
        <v>553036</v>
      </c>
      <c r="I1167" t="s">
        <v>292</v>
      </c>
      <c r="J1167" s="110">
        <v>50619824</v>
      </c>
      <c r="K1167" s="4">
        <v>95385514</v>
      </c>
      <c r="L1167" s="4">
        <v>67.55</v>
      </c>
    </row>
    <row r="1168" spans="2:12" x14ac:dyDescent="0.2">
      <c r="B1168" s="696">
        <v>42616.874108796299</v>
      </c>
      <c r="C1168" s="1" t="s">
        <v>818</v>
      </c>
      <c r="E1168" t="s">
        <v>225</v>
      </c>
      <c r="F1168" t="s">
        <v>305</v>
      </c>
      <c r="G1168" s="1" t="s">
        <v>3</v>
      </c>
      <c r="H1168" s="1">
        <v>553036</v>
      </c>
      <c r="I1168" t="s">
        <v>292</v>
      </c>
      <c r="J1168" s="110">
        <v>50619824</v>
      </c>
      <c r="K1168" s="4">
        <v>95353009</v>
      </c>
      <c r="L1168" s="4">
        <v>68.349999999999994</v>
      </c>
    </row>
    <row r="1169" spans="2:12" x14ac:dyDescent="0.2">
      <c r="B1169" s="696">
        <v>42616.874745370369</v>
      </c>
      <c r="C1169" s="1" t="s">
        <v>818</v>
      </c>
      <c r="E1169" t="s">
        <v>225</v>
      </c>
      <c r="F1169" t="s">
        <v>305</v>
      </c>
      <c r="G1169" s="1" t="s">
        <v>3</v>
      </c>
      <c r="H1169" s="1">
        <v>553036</v>
      </c>
      <c r="I1169" t="s">
        <v>292</v>
      </c>
      <c r="J1169" s="110">
        <v>50619824</v>
      </c>
      <c r="K1169" s="4">
        <v>95525333</v>
      </c>
      <c r="L1169" s="4">
        <v>68.55</v>
      </c>
    </row>
    <row r="1170" spans="2:12" x14ac:dyDescent="0.2">
      <c r="B1170" s="696">
        <v>42616.90483796296</v>
      </c>
      <c r="C1170" s="1" t="s">
        <v>820</v>
      </c>
      <c r="E1170" t="s">
        <v>225</v>
      </c>
      <c r="F1170" t="s">
        <v>305</v>
      </c>
      <c r="G1170" s="1" t="s">
        <v>3</v>
      </c>
      <c r="H1170" s="1">
        <v>553619</v>
      </c>
      <c r="I1170" t="s">
        <v>643</v>
      </c>
      <c r="J1170" s="110">
        <v>40466518</v>
      </c>
      <c r="K1170" s="4">
        <v>95377834</v>
      </c>
      <c r="L1170" s="4">
        <v>68.2</v>
      </c>
    </row>
    <row r="1171" spans="2:12" x14ac:dyDescent="0.2">
      <c r="B1171" s="696">
        <v>42616.953819444447</v>
      </c>
      <c r="C1171" s="1" t="s">
        <v>408</v>
      </c>
      <c r="E1171" t="s">
        <v>225</v>
      </c>
      <c r="F1171" t="s">
        <v>305</v>
      </c>
      <c r="G1171" s="1" t="s">
        <v>3</v>
      </c>
      <c r="H1171" s="1">
        <v>553894</v>
      </c>
      <c r="I1171" t="s">
        <v>643</v>
      </c>
      <c r="J1171" s="110">
        <v>358711</v>
      </c>
      <c r="K1171" s="4" t="s">
        <v>832</v>
      </c>
      <c r="L1171" s="4">
        <v>21.92</v>
      </c>
    </row>
    <row r="1172" spans="2:12" x14ac:dyDescent="0.2">
      <c r="B1172" s="696">
        <v>42616.957766203705</v>
      </c>
      <c r="C1172" s="1" t="s">
        <v>849</v>
      </c>
      <c r="E1172" t="s">
        <v>225</v>
      </c>
      <c r="F1172" t="s">
        <v>305</v>
      </c>
      <c r="G1172" s="1" t="s">
        <v>3</v>
      </c>
      <c r="H1172" s="1">
        <v>553017</v>
      </c>
      <c r="I1172" t="s">
        <v>643</v>
      </c>
      <c r="J1172" s="110">
        <v>600619</v>
      </c>
      <c r="K1172" s="4" t="s">
        <v>833</v>
      </c>
      <c r="L1172" s="4">
        <v>25.94</v>
      </c>
    </row>
    <row r="1173" spans="2:12" x14ac:dyDescent="0.2">
      <c r="B1173" s="696">
        <v>42617.06040509259</v>
      </c>
      <c r="C1173" s="1" t="s">
        <v>644</v>
      </c>
      <c r="E1173" t="s">
        <v>225</v>
      </c>
      <c r="F1173" t="s">
        <v>305</v>
      </c>
      <c r="G1173" s="1" t="s">
        <v>3</v>
      </c>
      <c r="H1173" s="1">
        <v>552518</v>
      </c>
      <c r="I1173" t="s">
        <v>643</v>
      </c>
      <c r="J1173" s="110">
        <v>47615745</v>
      </c>
      <c r="K1173" s="4">
        <v>95375523</v>
      </c>
      <c r="L1173" s="4">
        <v>69.849999999999994</v>
      </c>
    </row>
    <row r="1174" spans="2:12" x14ac:dyDescent="0.2">
      <c r="B1174" s="696">
        <v>42617.061400462961</v>
      </c>
      <c r="C1174" s="1" t="s">
        <v>644</v>
      </c>
      <c r="E1174" t="s">
        <v>225</v>
      </c>
      <c r="F1174" t="s">
        <v>305</v>
      </c>
      <c r="G1174" s="1" t="s">
        <v>3</v>
      </c>
      <c r="H1174" s="1">
        <v>552518</v>
      </c>
      <c r="I1174" t="s">
        <v>643</v>
      </c>
      <c r="J1174" s="110">
        <v>47615745</v>
      </c>
      <c r="K1174" s="4">
        <v>95640728</v>
      </c>
      <c r="L1174" s="4">
        <v>69.900000000000006</v>
      </c>
    </row>
    <row r="1175" spans="2:12" x14ac:dyDescent="0.2">
      <c r="B1175" s="696">
        <v>42617.062002314815</v>
      </c>
      <c r="C1175" s="1" t="s">
        <v>644</v>
      </c>
      <c r="E1175" t="s">
        <v>225</v>
      </c>
      <c r="F1175" t="s">
        <v>305</v>
      </c>
      <c r="G1175" s="1" t="s">
        <v>3</v>
      </c>
      <c r="H1175" s="1">
        <v>552518</v>
      </c>
      <c r="I1175" t="s">
        <v>643</v>
      </c>
      <c r="J1175" s="110">
        <v>47615745</v>
      </c>
      <c r="K1175" s="4">
        <v>95679635</v>
      </c>
      <c r="L1175" s="4">
        <v>69.75</v>
      </c>
    </row>
    <row r="1176" spans="2:12" x14ac:dyDescent="0.2">
      <c r="B1176" s="696">
        <v>42617.062696759262</v>
      </c>
      <c r="C1176" s="1" t="s">
        <v>644</v>
      </c>
      <c r="E1176" t="s">
        <v>225</v>
      </c>
      <c r="F1176" t="s">
        <v>305</v>
      </c>
      <c r="G1176" s="1" t="s">
        <v>3</v>
      </c>
      <c r="H1176" s="1">
        <v>552518</v>
      </c>
      <c r="I1176" t="s">
        <v>643</v>
      </c>
      <c r="J1176" s="110">
        <v>47615745</v>
      </c>
      <c r="K1176" s="4">
        <v>95798757</v>
      </c>
      <c r="L1176" s="4">
        <v>69.900000000000006</v>
      </c>
    </row>
    <row r="1177" spans="2:12" x14ac:dyDescent="0.2">
      <c r="B1177" s="696">
        <v>42617.063402777778</v>
      </c>
      <c r="C1177" s="1" t="s">
        <v>641</v>
      </c>
      <c r="E1177" t="s">
        <v>225</v>
      </c>
      <c r="F1177" t="s">
        <v>305</v>
      </c>
      <c r="G1177" s="1" t="s">
        <v>3</v>
      </c>
      <c r="H1177" s="1">
        <v>551438</v>
      </c>
      <c r="I1177" t="s">
        <v>292</v>
      </c>
      <c r="J1177" s="110">
        <v>44072155</v>
      </c>
      <c r="K1177" s="4">
        <v>95759049</v>
      </c>
      <c r="L1177" s="4">
        <v>62.45</v>
      </c>
    </row>
    <row r="1178" spans="2:12" x14ac:dyDescent="0.2">
      <c r="B1178" s="696">
        <v>42617.064050925925</v>
      </c>
      <c r="C1178" s="1" t="s">
        <v>641</v>
      </c>
      <c r="E1178" t="s">
        <v>225</v>
      </c>
      <c r="F1178" t="s">
        <v>305</v>
      </c>
      <c r="G1178" s="1" t="s">
        <v>3</v>
      </c>
      <c r="H1178" s="1">
        <v>551438</v>
      </c>
      <c r="I1178" t="s">
        <v>292</v>
      </c>
      <c r="J1178" s="110">
        <v>44072155</v>
      </c>
      <c r="K1178" s="4">
        <v>95530051</v>
      </c>
      <c r="L1178" s="4">
        <v>62.95</v>
      </c>
    </row>
    <row r="1179" spans="2:12" x14ac:dyDescent="0.2">
      <c r="B1179" s="696">
        <v>42617.064687500002</v>
      </c>
      <c r="C1179" s="1" t="s">
        <v>641</v>
      </c>
      <c r="E1179" t="s">
        <v>225</v>
      </c>
      <c r="F1179" t="s">
        <v>305</v>
      </c>
      <c r="G1179" s="1" t="s">
        <v>3</v>
      </c>
      <c r="H1179" s="1">
        <v>551438</v>
      </c>
      <c r="I1179" t="s">
        <v>292</v>
      </c>
      <c r="J1179" s="110">
        <v>44072155</v>
      </c>
      <c r="K1179" s="4">
        <v>95795068</v>
      </c>
      <c r="L1179" s="4">
        <v>62.35</v>
      </c>
    </row>
    <row r="1180" spans="2:12" x14ac:dyDescent="0.2">
      <c r="B1180" s="696">
        <v>42617.06559027778</v>
      </c>
      <c r="C1180" s="1" t="s">
        <v>641</v>
      </c>
      <c r="E1180" t="s">
        <v>225</v>
      </c>
      <c r="F1180" t="s">
        <v>305</v>
      </c>
      <c r="G1180" s="1" t="s">
        <v>3</v>
      </c>
      <c r="H1180" s="1">
        <v>551438</v>
      </c>
      <c r="I1180" t="s">
        <v>292</v>
      </c>
      <c r="J1180" s="110">
        <v>44072155</v>
      </c>
      <c r="K1180" s="4">
        <v>95831202</v>
      </c>
      <c r="L1180" s="4">
        <v>61.35</v>
      </c>
    </row>
    <row r="1181" spans="2:12" x14ac:dyDescent="0.2">
      <c r="B1181" s="696">
        <v>42617.072106481479</v>
      </c>
      <c r="C1181" s="1" t="s">
        <v>818</v>
      </c>
      <c r="E1181" t="s">
        <v>225</v>
      </c>
      <c r="F1181" t="s">
        <v>305</v>
      </c>
      <c r="G1181" s="1" t="s">
        <v>3</v>
      </c>
      <c r="H1181" s="1">
        <v>553036</v>
      </c>
      <c r="I1181" t="s">
        <v>292</v>
      </c>
      <c r="J1181" s="110">
        <v>44083061</v>
      </c>
      <c r="K1181" s="4">
        <v>95360541</v>
      </c>
      <c r="L1181" s="4">
        <v>68.599999999999994</v>
      </c>
    </row>
    <row r="1182" spans="2:12" x14ac:dyDescent="0.2">
      <c r="B1182" s="696">
        <v>42617.072974537034</v>
      </c>
      <c r="C1182" s="1" t="s">
        <v>818</v>
      </c>
      <c r="E1182" t="s">
        <v>225</v>
      </c>
      <c r="F1182" t="s">
        <v>305</v>
      </c>
      <c r="G1182" s="1" t="s">
        <v>3</v>
      </c>
      <c r="H1182" s="1">
        <v>553036</v>
      </c>
      <c r="I1182" t="s">
        <v>292</v>
      </c>
      <c r="J1182" s="110">
        <v>44083061</v>
      </c>
      <c r="K1182" s="4">
        <v>95830436</v>
      </c>
      <c r="L1182" s="4">
        <v>67.099999999999994</v>
      </c>
    </row>
    <row r="1183" spans="2:12" x14ac:dyDescent="0.2">
      <c r="B1183" s="696">
        <v>42617.073877314811</v>
      </c>
      <c r="C1183" s="1" t="s">
        <v>818</v>
      </c>
      <c r="E1183" t="s">
        <v>225</v>
      </c>
      <c r="F1183" t="s">
        <v>305</v>
      </c>
      <c r="G1183" s="1" t="s">
        <v>3</v>
      </c>
      <c r="H1183" s="1">
        <v>553036</v>
      </c>
      <c r="I1183" t="s">
        <v>292</v>
      </c>
      <c r="J1183" s="110">
        <v>44083061</v>
      </c>
      <c r="K1183" s="4">
        <v>95645370</v>
      </c>
      <c r="L1183" s="4">
        <v>67.650000000000006</v>
      </c>
    </row>
    <row r="1184" spans="2:12" x14ac:dyDescent="0.2">
      <c r="B1184" s="696">
        <v>42617.074467592596</v>
      </c>
      <c r="C1184" s="1" t="s">
        <v>818</v>
      </c>
      <c r="E1184" t="s">
        <v>225</v>
      </c>
      <c r="F1184" t="s">
        <v>305</v>
      </c>
      <c r="G1184" s="1" t="s">
        <v>3</v>
      </c>
      <c r="H1184" s="1">
        <v>553036</v>
      </c>
      <c r="I1184" t="s">
        <v>292</v>
      </c>
      <c r="J1184" s="110">
        <v>44083061</v>
      </c>
      <c r="K1184" s="4">
        <v>95454229</v>
      </c>
      <c r="L1184" s="4">
        <v>69.650000000000006</v>
      </c>
    </row>
    <row r="1185" spans="2:12" x14ac:dyDescent="0.2">
      <c r="B1185" s="696">
        <v>42617.075289351851</v>
      </c>
      <c r="C1185" s="1" t="s">
        <v>818</v>
      </c>
      <c r="E1185" t="s">
        <v>225</v>
      </c>
      <c r="F1185" t="s">
        <v>305</v>
      </c>
      <c r="G1185" s="1" t="s">
        <v>3</v>
      </c>
      <c r="H1185" s="1">
        <v>553036</v>
      </c>
      <c r="I1185" t="s">
        <v>292</v>
      </c>
      <c r="J1185" s="110">
        <v>44083061</v>
      </c>
      <c r="K1185" s="4">
        <v>95752663</v>
      </c>
      <c r="L1185" s="4">
        <v>68.150000000000006</v>
      </c>
    </row>
    <row r="1186" spans="2:12" x14ac:dyDescent="0.2">
      <c r="B1186" s="696">
        <v>42617.258888888886</v>
      </c>
      <c r="C1186" s="1" t="s">
        <v>849</v>
      </c>
      <c r="E1186" t="s">
        <v>225</v>
      </c>
      <c r="F1186" t="s">
        <v>305</v>
      </c>
      <c r="G1186" s="1" t="s">
        <v>3</v>
      </c>
      <c r="H1186" s="1">
        <v>553017</v>
      </c>
      <c r="I1186" t="s">
        <v>292</v>
      </c>
      <c r="J1186" s="110">
        <v>600621</v>
      </c>
      <c r="K1186" s="4" t="s">
        <v>817</v>
      </c>
      <c r="L1186" s="4">
        <v>16.64</v>
      </c>
    </row>
    <row r="1187" spans="2:12" x14ac:dyDescent="0.2">
      <c r="B1187" s="696">
        <v>42617.266446759262</v>
      </c>
      <c r="C1187" s="1" t="s">
        <v>849</v>
      </c>
      <c r="E1187" t="s">
        <v>225</v>
      </c>
      <c r="F1187" t="s">
        <v>305</v>
      </c>
      <c r="G1187" s="1" t="s">
        <v>3</v>
      </c>
      <c r="H1187" s="1">
        <v>553017</v>
      </c>
      <c r="I1187" t="s">
        <v>292</v>
      </c>
      <c r="J1187" s="110">
        <v>600625</v>
      </c>
      <c r="K1187" s="4" t="s">
        <v>814</v>
      </c>
      <c r="L1187" s="4">
        <v>24.84</v>
      </c>
    </row>
    <row r="1188" spans="2:12" x14ac:dyDescent="0.2">
      <c r="B1188" s="696">
        <v>42617.310682870368</v>
      </c>
      <c r="C1188" s="1" t="s">
        <v>818</v>
      </c>
      <c r="E1188" t="s">
        <v>225</v>
      </c>
      <c r="F1188" t="s">
        <v>305</v>
      </c>
      <c r="G1188" s="1" t="s">
        <v>3</v>
      </c>
      <c r="H1188" s="1">
        <v>553036</v>
      </c>
      <c r="I1188" t="s">
        <v>643</v>
      </c>
      <c r="J1188" s="110">
        <v>50617547</v>
      </c>
      <c r="K1188" s="4">
        <v>95758280</v>
      </c>
      <c r="L1188" s="4">
        <v>68.75</v>
      </c>
    </row>
    <row r="1189" spans="2:12" x14ac:dyDescent="0.2">
      <c r="B1189" s="696">
        <v>42617.311597222222</v>
      </c>
      <c r="C1189" s="1" t="s">
        <v>818</v>
      </c>
      <c r="E1189" t="s">
        <v>225</v>
      </c>
      <c r="F1189" t="s">
        <v>305</v>
      </c>
      <c r="G1189" s="1" t="s">
        <v>3</v>
      </c>
      <c r="H1189" s="1">
        <v>553036</v>
      </c>
      <c r="I1189" t="s">
        <v>643</v>
      </c>
      <c r="J1189" s="110">
        <v>50617547</v>
      </c>
      <c r="K1189" s="4">
        <v>95447405</v>
      </c>
      <c r="L1189" s="4">
        <v>68.45</v>
      </c>
    </row>
    <row r="1190" spans="2:12" x14ac:dyDescent="0.2">
      <c r="B1190" s="696">
        <v>42617.312245370369</v>
      </c>
      <c r="C1190" s="1" t="s">
        <v>818</v>
      </c>
      <c r="E1190" t="s">
        <v>225</v>
      </c>
      <c r="F1190" t="s">
        <v>305</v>
      </c>
      <c r="G1190" s="1" t="s">
        <v>3</v>
      </c>
      <c r="H1190" s="1">
        <v>553036</v>
      </c>
      <c r="I1190" t="s">
        <v>643</v>
      </c>
      <c r="J1190" s="110">
        <v>50617547</v>
      </c>
      <c r="K1190" s="4">
        <v>95450607</v>
      </c>
      <c r="L1190" s="4">
        <v>69.3</v>
      </c>
    </row>
    <row r="1191" spans="2:12" x14ac:dyDescent="0.2">
      <c r="B1191" s="696">
        <v>42617.313240740739</v>
      </c>
      <c r="C1191" s="1" t="s">
        <v>818</v>
      </c>
      <c r="E1191" t="s">
        <v>225</v>
      </c>
      <c r="F1191" t="s">
        <v>305</v>
      </c>
      <c r="G1191" s="1" t="s">
        <v>3</v>
      </c>
      <c r="H1191" s="1">
        <v>553036</v>
      </c>
      <c r="I1191" t="s">
        <v>643</v>
      </c>
      <c r="J1191" s="110">
        <v>50617547</v>
      </c>
      <c r="K1191" s="4">
        <v>95798005</v>
      </c>
      <c r="L1191" s="4">
        <v>69.8</v>
      </c>
    </row>
    <row r="1192" spans="2:12" x14ac:dyDescent="0.2">
      <c r="B1192" s="696">
        <v>42617.619351851848</v>
      </c>
      <c r="C1192" s="1" t="s">
        <v>408</v>
      </c>
      <c r="E1192" t="s">
        <v>225</v>
      </c>
      <c r="F1192" t="s">
        <v>305</v>
      </c>
      <c r="G1192" s="1" t="s">
        <v>3</v>
      </c>
      <c r="H1192" s="1">
        <v>553894</v>
      </c>
      <c r="I1192" t="s">
        <v>643</v>
      </c>
      <c r="J1192" s="110">
        <v>358722</v>
      </c>
      <c r="K1192" s="4" t="s">
        <v>521</v>
      </c>
      <c r="L1192" s="4">
        <v>25.14</v>
      </c>
    </row>
    <row r="1193" spans="2:12" x14ac:dyDescent="0.2">
      <c r="B1193" s="696">
        <v>42617.72760416667</v>
      </c>
      <c r="C1193" s="1" t="s">
        <v>818</v>
      </c>
      <c r="E1193" t="s">
        <v>225</v>
      </c>
      <c r="F1193" t="s">
        <v>305</v>
      </c>
      <c r="G1193" s="1" t="s">
        <v>3</v>
      </c>
      <c r="H1193" s="1">
        <v>553036</v>
      </c>
      <c r="I1193" t="s">
        <v>643</v>
      </c>
      <c r="J1193" s="110">
        <v>50617547</v>
      </c>
      <c r="K1193" s="4">
        <v>95640470</v>
      </c>
      <c r="L1193" s="4">
        <v>63.55</v>
      </c>
    </row>
    <row r="1194" spans="2:12" x14ac:dyDescent="0.2">
      <c r="B1194" s="696">
        <v>42618.035115740742</v>
      </c>
      <c r="C1194" s="1" t="s">
        <v>495</v>
      </c>
      <c r="E1194" t="s">
        <v>225</v>
      </c>
      <c r="F1194" t="s">
        <v>305</v>
      </c>
      <c r="G1194" s="1" t="s">
        <v>3</v>
      </c>
      <c r="H1194" s="1">
        <v>553017</v>
      </c>
      <c r="I1194" t="s">
        <v>643</v>
      </c>
      <c r="J1194" s="110">
        <v>47657259</v>
      </c>
      <c r="K1194" s="4">
        <v>95794954</v>
      </c>
      <c r="L1194" s="4">
        <v>69.05</v>
      </c>
    </row>
    <row r="1195" spans="2:12" x14ac:dyDescent="0.2">
      <c r="B1195" s="696">
        <v>42618.035752314812</v>
      </c>
      <c r="C1195" s="1" t="s">
        <v>495</v>
      </c>
      <c r="E1195" t="s">
        <v>225</v>
      </c>
      <c r="F1195" t="s">
        <v>305</v>
      </c>
      <c r="G1195" s="1" t="s">
        <v>3</v>
      </c>
      <c r="H1195" s="1">
        <v>553017</v>
      </c>
      <c r="I1195" t="s">
        <v>643</v>
      </c>
      <c r="J1195" s="110">
        <v>47657259</v>
      </c>
      <c r="K1195" s="4">
        <v>95834628</v>
      </c>
      <c r="L1195" s="4">
        <v>69.05</v>
      </c>
    </row>
    <row r="1196" spans="2:12" x14ac:dyDescent="0.2">
      <c r="B1196" s="696">
        <v>42618.036215277774</v>
      </c>
      <c r="C1196" s="1" t="s">
        <v>495</v>
      </c>
      <c r="E1196" t="s">
        <v>225</v>
      </c>
      <c r="F1196" t="s">
        <v>305</v>
      </c>
      <c r="G1196" s="1" t="s">
        <v>3</v>
      </c>
      <c r="H1196" s="1">
        <v>553017</v>
      </c>
      <c r="I1196" t="s">
        <v>643</v>
      </c>
      <c r="J1196" s="110">
        <v>47657259</v>
      </c>
      <c r="K1196" s="4">
        <v>95339487</v>
      </c>
      <c r="L1196" s="4">
        <v>65.099999999999994</v>
      </c>
    </row>
    <row r="1197" spans="2:12" x14ac:dyDescent="0.2">
      <c r="B1197" s="696">
        <v>42618.036689814813</v>
      </c>
      <c r="C1197" s="1" t="s">
        <v>495</v>
      </c>
      <c r="E1197" t="s">
        <v>225</v>
      </c>
      <c r="F1197" t="s">
        <v>305</v>
      </c>
      <c r="G1197" s="1" t="s">
        <v>3</v>
      </c>
      <c r="H1197" s="1">
        <v>553017</v>
      </c>
      <c r="I1197" t="s">
        <v>643</v>
      </c>
      <c r="J1197" s="110">
        <v>47657259</v>
      </c>
      <c r="K1197" s="4">
        <v>95389631</v>
      </c>
      <c r="L1197" s="4">
        <v>65.25</v>
      </c>
    </row>
    <row r="1198" spans="2:12" x14ac:dyDescent="0.2">
      <c r="B1198" s="696">
        <v>42618.098414351851</v>
      </c>
      <c r="C1198" s="1" t="s">
        <v>849</v>
      </c>
      <c r="E1198" t="s">
        <v>225</v>
      </c>
      <c r="F1198" t="s">
        <v>305</v>
      </c>
      <c r="G1198" s="1" t="s">
        <v>3</v>
      </c>
      <c r="H1198" s="1">
        <v>553017</v>
      </c>
      <c r="I1198" t="s">
        <v>292</v>
      </c>
      <c r="J1198" s="110">
        <v>600623</v>
      </c>
      <c r="K1198" s="4" t="s">
        <v>816</v>
      </c>
      <c r="L1198" s="4">
        <v>25.6</v>
      </c>
    </row>
    <row r="1199" spans="2:12" x14ac:dyDescent="0.2">
      <c r="B1199" s="696">
        <v>42618.282673611109</v>
      </c>
      <c r="C1199" s="1" t="s">
        <v>641</v>
      </c>
      <c r="E1199" t="s">
        <v>225</v>
      </c>
      <c r="F1199" t="s">
        <v>305</v>
      </c>
      <c r="G1199" s="1" t="s">
        <v>3</v>
      </c>
      <c r="H1199" s="1">
        <v>551438</v>
      </c>
      <c r="I1199" t="s">
        <v>292</v>
      </c>
      <c r="J1199" s="110">
        <v>44079960</v>
      </c>
      <c r="K1199" s="4">
        <v>95646378</v>
      </c>
      <c r="L1199" s="4">
        <v>61.55</v>
      </c>
    </row>
    <row r="1200" spans="2:12" x14ac:dyDescent="0.2">
      <c r="B1200" s="696">
        <v>42618.283518518518</v>
      </c>
      <c r="C1200" s="1" t="s">
        <v>641</v>
      </c>
      <c r="E1200" t="s">
        <v>225</v>
      </c>
      <c r="F1200" t="s">
        <v>305</v>
      </c>
      <c r="G1200" s="1" t="s">
        <v>3</v>
      </c>
      <c r="H1200" s="1">
        <v>551438</v>
      </c>
      <c r="I1200" t="s">
        <v>292</v>
      </c>
      <c r="J1200" s="110">
        <v>44079960</v>
      </c>
      <c r="K1200" s="4">
        <v>95317863</v>
      </c>
      <c r="L1200" s="4">
        <v>59</v>
      </c>
    </row>
    <row r="1201" spans="2:12" x14ac:dyDescent="0.2">
      <c r="B1201" s="696">
        <v>42618.284155092595</v>
      </c>
      <c r="C1201" s="1" t="s">
        <v>641</v>
      </c>
      <c r="E1201" t="s">
        <v>225</v>
      </c>
      <c r="F1201" t="s">
        <v>305</v>
      </c>
      <c r="G1201" s="1" t="s">
        <v>3</v>
      </c>
      <c r="H1201" s="1">
        <v>551438</v>
      </c>
      <c r="I1201" t="s">
        <v>292</v>
      </c>
      <c r="J1201" s="110">
        <v>44079960</v>
      </c>
      <c r="K1201" s="4">
        <v>95539862</v>
      </c>
      <c r="L1201" s="4">
        <v>60.75</v>
      </c>
    </row>
    <row r="1202" spans="2:12" x14ac:dyDescent="0.2">
      <c r="B1202" s="696">
        <v>42618.284745370373</v>
      </c>
      <c r="C1202" s="1" t="s">
        <v>641</v>
      </c>
      <c r="E1202" t="s">
        <v>225</v>
      </c>
      <c r="F1202" t="s">
        <v>305</v>
      </c>
      <c r="G1202" s="1" t="s">
        <v>3</v>
      </c>
      <c r="H1202" s="1">
        <v>551438</v>
      </c>
      <c r="I1202" t="s">
        <v>292</v>
      </c>
      <c r="J1202" s="110">
        <v>44079960</v>
      </c>
      <c r="K1202" s="4">
        <v>95318101</v>
      </c>
      <c r="L1202" s="4">
        <v>58.25</v>
      </c>
    </row>
    <row r="1203" spans="2:12" x14ac:dyDescent="0.2">
      <c r="B1203" s="696">
        <v>42618.285185185188</v>
      </c>
      <c r="C1203" s="1" t="s">
        <v>641</v>
      </c>
      <c r="E1203" t="s">
        <v>225</v>
      </c>
      <c r="F1203" t="s">
        <v>305</v>
      </c>
      <c r="G1203" s="1" t="s">
        <v>3</v>
      </c>
      <c r="H1203" s="1">
        <v>551438</v>
      </c>
      <c r="I1203" t="s">
        <v>292</v>
      </c>
      <c r="J1203" s="110">
        <v>44079960</v>
      </c>
      <c r="K1203" s="4">
        <v>95365912</v>
      </c>
      <c r="L1203" s="4">
        <v>60.4</v>
      </c>
    </row>
    <row r="1204" spans="2:12" x14ac:dyDescent="0.2">
      <c r="B1204" s="696">
        <v>42618.285729166666</v>
      </c>
      <c r="C1204" s="1" t="s">
        <v>641</v>
      </c>
      <c r="E1204" t="s">
        <v>225</v>
      </c>
      <c r="F1204" t="s">
        <v>305</v>
      </c>
      <c r="G1204" s="1" t="s">
        <v>3</v>
      </c>
      <c r="H1204" s="1">
        <v>551438</v>
      </c>
      <c r="I1204" t="s">
        <v>292</v>
      </c>
      <c r="J1204" s="110">
        <v>44079960</v>
      </c>
      <c r="K1204" s="4">
        <v>95390001</v>
      </c>
      <c r="L1204" s="4">
        <v>59.1</v>
      </c>
    </row>
    <row r="1205" spans="2:12" x14ac:dyDescent="0.2">
      <c r="B1205" s="696">
        <v>42618.286296296297</v>
      </c>
      <c r="C1205" s="1" t="s">
        <v>641</v>
      </c>
      <c r="E1205" t="s">
        <v>225</v>
      </c>
      <c r="F1205" t="s">
        <v>305</v>
      </c>
      <c r="G1205" s="1" t="s">
        <v>3</v>
      </c>
      <c r="H1205" s="1">
        <v>551438</v>
      </c>
      <c r="I1205" t="s">
        <v>292</v>
      </c>
      <c r="J1205" s="110">
        <v>44079960</v>
      </c>
      <c r="K1205" s="4">
        <v>95685335</v>
      </c>
      <c r="L1205" s="4">
        <v>59.7</v>
      </c>
    </row>
    <row r="1206" spans="2:12" x14ac:dyDescent="0.2">
      <c r="B1206" s="696">
        <v>42618.28670138889</v>
      </c>
      <c r="C1206" s="1" t="s">
        <v>641</v>
      </c>
      <c r="E1206" t="s">
        <v>225</v>
      </c>
      <c r="F1206" t="s">
        <v>305</v>
      </c>
      <c r="G1206" s="1" t="s">
        <v>3</v>
      </c>
      <c r="H1206" s="1">
        <v>551438</v>
      </c>
      <c r="I1206" t="s">
        <v>292</v>
      </c>
      <c r="J1206" s="110">
        <v>44079960</v>
      </c>
      <c r="K1206" s="4">
        <v>95802021</v>
      </c>
      <c r="L1206" s="4">
        <v>58.8</v>
      </c>
    </row>
    <row r="1207" spans="2:12" x14ac:dyDescent="0.2">
      <c r="B1207" s="696">
        <v>42618.287175925929</v>
      </c>
      <c r="C1207" s="1" t="s">
        <v>641</v>
      </c>
      <c r="E1207" t="s">
        <v>225</v>
      </c>
      <c r="F1207" t="s">
        <v>305</v>
      </c>
      <c r="G1207" s="1" t="s">
        <v>3</v>
      </c>
      <c r="H1207" s="1">
        <v>551438</v>
      </c>
      <c r="I1207" t="s">
        <v>292</v>
      </c>
      <c r="J1207" s="110">
        <v>44079960</v>
      </c>
      <c r="K1207" s="4">
        <v>95346300</v>
      </c>
      <c r="L1207" s="4">
        <v>59.35</v>
      </c>
    </row>
    <row r="1208" spans="2:12" x14ac:dyDescent="0.2">
      <c r="B1208" s="696">
        <v>42618.287685185183</v>
      </c>
      <c r="C1208" s="1" t="s">
        <v>641</v>
      </c>
      <c r="E1208" t="s">
        <v>225</v>
      </c>
      <c r="F1208" t="s">
        <v>305</v>
      </c>
      <c r="G1208" s="1" t="s">
        <v>3</v>
      </c>
      <c r="H1208" s="1">
        <v>551438</v>
      </c>
      <c r="I1208" t="s">
        <v>292</v>
      </c>
      <c r="J1208" s="110">
        <v>44079960</v>
      </c>
      <c r="K1208" s="4">
        <v>95367538</v>
      </c>
      <c r="L1208" s="4">
        <v>59.1</v>
      </c>
    </row>
    <row r="1209" spans="2:12" x14ac:dyDescent="0.2">
      <c r="B1209" s="696">
        <v>42615.430648148147</v>
      </c>
      <c r="C1209" s="1" t="s">
        <v>712</v>
      </c>
      <c r="E1209" t="s">
        <v>225</v>
      </c>
      <c r="F1209" t="s">
        <v>305</v>
      </c>
      <c r="G1209" s="1" t="s">
        <v>3</v>
      </c>
      <c r="H1209" s="1">
        <v>553450</v>
      </c>
      <c r="I1209" t="s">
        <v>467</v>
      </c>
      <c r="J1209" s="110">
        <v>40437857</v>
      </c>
      <c r="K1209" s="4">
        <v>95677712</v>
      </c>
      <c r="L1209" s="4">
        <v>68.400000000000006</v>
      </c>
    </row>
    <row r="1210" spans="2:12" x14ac:dyDescent="0.2">
      <c r="B1210" s="696">
        <v>42615.431168981479</v>
      </c>
      <c r="C1210" s="1" t="s">
        <v>712</v>
      </c>
      <c r="E1210" t="s">
        <v>225</v>
      </c>
      <c r="F1210" t="s">
        <v>305</v>
      </c>
      <c r="G1210" s="1" t="s">
        <v>3</v>
      </c>
      <c r="H1210" s="1">
        <v>553450</v>
      </c>
      <c r="I1210" t="s">
        <v>467</v>
      </c>
      <c r="J1210" s="110">
        <v>40437857</v>
      </c>
      <c r="K1210" s="4">
        <v>95635066</v>
      </c>
      <c r="L1210" s="4">
        <v>64.900000000000006</v>
      </c>
    </row>
    <row r="1211" spans="2:12" x14ac:dyDescent="0.2">
      <c r="B1211" s="696">
        <v>42615.43173611111</v>
      </c>
      <c r="C1211" s="1" t="s">
        <v>712</v>
      </c>
      <c r="E1211" t="s">
        <v>225</v>
      </c>
      <c r="F1211" t="s">
        <v>305</v>
      </c>
      <c r="G1211" s="1" t="s">
        <v>3</v>
      </c>
      <c r="H1211" s="1">
        <v>553450</v>
      </c>
      <c r="I1211" t="s">
        <v>467</v>
      </c>
      <c r="J1211" s="110">
        <v>40437857</v>
      </c>
      <c r="K1211" s="4">
        <v>95832366</v>
      </c>
      <c r="L1211" s="4">
        <v>67.900000000000006</v>
      </c>
    </row>
    <row r="1212" spans="2:12" x14ac:dyDescent="0.2">
      <c r="B1212" s="696">
        <v>42615.434039351851</v>
      </c>
      <c r="C1212" s="1" t="s">
        <v>712</v>
      </c>
      <c r="E1212" t="s">
        <v>225</v>
      </c>
      <c r="F1212" t="s">
        <v>305</v>
      </c>
      <c r="G1212" s="1" t="s">
        <v>3</v>
      </c>
      <c r="H1212" s="1">
        <v>553450</v>
      </c>
      <c r="I1212" t="s">
        <v>467</v>
      </c>
      <c r="J1212" s="110">
        <v>40437857</v>
      </c>
      <c r="K1212" s="4">
        <v>95636247</v>
      </c>
      <c r="L1212" s="4">
        <v>69.25</v>
      </c>
    </row>
    <row r="1213" spans="2:12" x14ac:dyDescent="0.2">
      <c r="B1213" s="696">
        <v>42615.43482638889</v>
      </c>
      <c r="C1213" s="1" t="s">
        <v>712</v>
      </c>
      <c r="E1213" t="s">
        <v>225</v>
      </c>
      <c r="F1213" t="s">
        <v>305</v>
      </c>
      <c r="G1213" s="1" t="s">
        <v>3</v>
      </c>
      <c r="H1213" s="1">
        <v>553450</v>
      </c>
      <c r="I1213" t="s">
        <v>467</v>
      </c>
      <c r="J1213" s="110">
        <v>40437857</v>
      </c>
      <c r="K1213" s="4">
        <v>95614806</v>
      </c>
      <c r="L1213" s="4">
        <v>68.150000000000006</v>
      </c>
    </row>
    <row r="1214" spans="2:12" x14ac:dyDescent="0.2">
      <c r="B1214" s="696">
        <v>42615.435567129629</v>
      </c>
      <c r="C1214" s="1" t="s">
        <v>712</v>
      </c>
      <c r="E1214" t="s">
        <v>225</v>
      </c>
      <c r="F1214" t="s">
        <v>305</v>
      </c>
      <c r="G1214" s="1" t="s">
        <v>3</v>
      </c>
      <c r="H1214" s="1">
        <v>553450</v>
      </c>
      <c r="I1214" t="s">
        <v>467</v>
      </c>
      <c r="J1214" s="110">
        <v>40437857</v>
      </c>
      <c r="K1214" s="4">
        <v>95831467</v>
      </c>
      <c r="L1214" s="4">
        <v>68.900000000000006</v>
      </c>
    </row>
    <row r="1215" spans="2:12" x14ac:dyDescent="0.2">
      <c r="B1215" s="696">
        <v>42615.436238425929</v>
      </c>
      <c r="C1215" s="1" t="s">
        <v>712</v>
      </c>
      <c r="E1215" t="s">
        <v>225</v>
      </c>
      <c r="F1215" t="s">
        <v>305</v>
      </c>
      <c r="G1215" s="1" t="s">
        <v>3</v>
      </c>
      <c r="H1215" s="1">
        <v>553450</v>
      </c>
      <c r="I1215" t="s">
        <v>467</v>
      </c>
      <c r="J1215" s="110">
        <v>40437857</v>
      </c>
      <c r="K1215" s="4">
        <v>95453247</v>
      </c>
      <c r="L1215" s="4">
        <v>69.75</v>
      </c>
    </row>
    <row r="1216" spans="2:12" x14ac:dyDescent="0.2">
      <c r="B1216" s="696">
        <v>42615.444594907407</v>
      </c>
      <c r="C1216" s="1" t="s">
        <v>848</v>
      </c>
      <c r="E1216" t="s">
        <v>225</v>
      </c>
      <c r="F1216" t="s">
        <v>305</v>
      </c>
      <c r="G1216" s="1" t="s">
        <v>3</v>
      </c>
      <c r="H1216" s="1">
        <v>553893</v>
      </c>
      <c r="I1216" t="s">
        <v>467</v>
      </c>
      <c r="J1216" s="110">
        <v>359434</v>
      </c>
      <c r="K1216" s="4" t="s">
        <v>787</v>
      </c>
      <c r="L1216" s="4">
        <v>20.6</v>
      </c>
    </row>
    <row r="1217" spans="2:12" x14ac:dyDescent="0.2">
      <c r="B1217" s="696">
        <v>42615.569872685184</v>
      </c>
      <c r="C1217" s="1" t="s">
        <v>847</v>
      </c>
      <c r="E1217" t="s">
        <v>225</v>
      </c>
      <c r="F1217" t="s">
        <v>305</v>
      </c>
      <c r="G1217" s="1" t="s">
        <v>3</v>
      </c>
      <c r="H1217" s="1">
        <v>553448</v>
      </c>
      <c r="I1217" t="s">
        <v>467</v>
      </c>
      <c r="J1217" s="110">
        <v>47509922</v>
      </c>
      <c r="K1217" s="4">
        <v>95399960</v>
      </c>
      <c r="L1217" s="4">
        <v>63.65</v>
      </c>
    </row>
    <row r="1218" spans="2:12" x14ac:dyDescent="0.2">
      <c r="B1218" s="696">
        <v>42615.570428240739</v>
      </c>
      <c r="C1218" s="1" t="s">
        <v>847</v>
      </c>
      <c r="E1218" t="s">
        <v>225</v>
      </c>
      <c r="F1218" t="s">
        <v>305</v>
      </c>
      <c r="G1218" s="1" t="s">
        <v>3</v>
      </c>
      <c r="H1218" s="1">
        <v>553448</v>
      </c>
      <c r="I1218" t="s">
        <v>467</v>
      </c>
      <c r="J1218" s="110">
        <v>47509922</v>
      </c>
      <c r="K1218" s="4">
        <v>95751061</v>
      </c>
      <c r="L1218" s="4">
        <v>68.95</v>
      </c>
    </row>
    <row r="1219" spans="2:12" x14ac:dyDescent="0.2">
      <c r="B1219" s="696">
        <v>42615.570937500001</v>
      </c>
      <c r="C1219" s="1" t="s">
        <v>847</v>
      </c>
      <c r="E1219" t="s">
        <v>225</v>
      </c>
      <c r="F1219" t="s">
        <v>305</v>
      </c>
      <c r="G1219" s="1" t="s">
        <v>3</v>
      </c>
      <c r="H1219" s="1">
        <v>553448</v>
      </c>
      <c r="I1219" t="s">
        <v>467</v>
      </c>
      <c r="J1219" s="110">
        <v>47509922</v>
      </c>
      <c r="K1219" s="4">
        <v>95523130</v>
      </c>
      <c r="L1219" s="4">
        <v>68.400000000000006</v>
      </c>
    </row>
    <row r="1220" spans="2:12" x14ac:dyDescent="0.2">
      <c r="B1220" s="696">
        <v>42615.859456018516</v>
      </c>
      <c r="C1220" s="1" t="s">
        <v>712</v>
      </c>
      <c r="E1220" t="s">
        <v>225</v>
      </c>
      <c r="F1220" t="s">
        <v>305</v>
      </c>
      <c r="G1220" s="1" t="s">
        <v>3</v>
      </c>
      <c r="H1220" s="1">
        <v>553450</v>
      </c>
      <c r="I1220" t="s">
        <v>467</v>
      </c>
      <c r="J1220" s="110">
        <v>40437857</v>
      </c>
      <c r="K1220" s="4">
        <v>95353942</v>
      </c>
      <c r="L1220" s="4">
        <v>69.599999999999994</v>
      </c>
    </row>
    <row r="1221" spans="2:12" x14ac:dyDescent="0.2">
      <c r="B1221" s="696">
        <v>42615.885335648149</v>
      </c>
      <c r="C1221" s="1" t="s">
        <v>762</v>
      </c>
      <c r="E1221" t="s">
        <v>225</v>
      </c>
      <c r="F1221" t="s">
        <v>305</v>
      </c>
      <c r="G1221" s="1" t="s">
        <v>3</v>
      </c>
      <c r="H1221" s="1">
        <v>553667</v>
      </c>
      <c r="I1221" t="s">
        <v>467</v>
      </c>
      <c r="J1221" s="110">
        <v>47571476</v>
      </c>
      <c r="K1221" s="4">
        <v>95649554</v>
      </c>
      <c r="L1221" s="4">
        <v>69.8</v>
      </c>
    </row>
    <row r="1222" spans="2:12" x14ac:dyDescent="0.2">
      <c r="B1222" s="696">
        <v>42615.885810185187</v>
      </c>
      <c r="C1222" s="1" t="s">
        <v>762</v>
      </c>
      <c r="E1222" t="s">
        <v>225</v>
      </c>
      <c r="F1222" t="s">
        <v>305</v>
      </c>
      <c r="G1222" s="1" t="s">
        <v>3</v>
      </c>
      <c r="H1222" s="1">
        <v>553667</v>
      </c>
      <c r="I1222" t="s">
        <v>467</v>
      </c>
      <c r="J1222" s="110">
        <v>47571476</v>
      </c>
      <c r="K1222" s="4">
        <v>95452124</v>
      </c>
      <c r="L1222" s="4">
        <v>69.099999999999994</v>
      </c>
    </row>
    <row r="1223" spans="2:12" x14ac:dyDescent="0.2">
      <c r="B1223" s="696">
        <v>42615.886331018519</v>
      </c>
      <c r="C1223" s="1" t="s">
        <v>762</v>
      </c>
      <c r="E1223" t="s">
        <v>225</v>
      </c>
      <c r="F1223" t="s">
        <v>305</v>
      </c>
      <c r="G1223" s="1" t="s">
        <v>3</v>
      </c>
      <c r="H1223" s="1">
        <v>553667</v>
      </c>
      <c r="I1223" t="s">
        <v>467</v>
      </c>
      <c r="J1223" s="110">
        <v>47571476</v>
      </c>
      <c r="K1223" s="4">
        <v>95380077</v>
      </c>
      <c r="L1223" s="4">
        <v>68.650000000000006</v>
      </c>
    </row>
    <row r="1224" spans="2:12" x14ac:dyDescent="0.2">
      <c r="B1224" s="696">
        <v>42615.886759259258</v>
      </c>
      <c r="C1224" s="1" t="s">
        <v>762</v>
      </c>
      <c r="E1224" t="s">
        <v>225</v>
      </c>
      <c r="F1224" t="s">
        <v>305</v>
      </c>
      <c r="G1224" s="1" t="s">
        <v>3</v>
      </c>
      <c r="H1224" s="1">
        <v>553667</v>
      </c>
      <c r="I1224" t="s">
        <v>467</v>
      </c>
      <c r="J1224" s="110">
        <v>47571476</v>
      </c>
      <c r="K1224" s="4">
        <v>95832911</v>
      </c>
      <c r="L1224" s="4">
        <v>68.45</v>
      </c>
    </row>
    <row r="1225" spans="2:12" x14ac:dyDescent="0.2">
      <c r="B1225" s="696">
        <v>42615.893078703702</v>
      </c>
      <c r="C1225" s="1" t="s">
        <v>848</v>
      </c>
      <c r="E1225" t="s">
        <v>225</v>
      </c>
      <c r="F1225" t="s">
        <v>305</v>
      </c>
      <c r="G1225" s="1" t="s">
        <v>3</v>
      </c>
      <c r="H1225" s="1">
        <v>553893</v>
      </c>
      <c r="I1225" t="s">
        <v>467</v>
      </c>
      <c r="J1225" s="110">
        <v>350610</v>
      </c>
      <c r="K1225" s="4" t="s">
        <v>575</v>
      </c>
      <c r="L1225" s="4">
        <v>25.32</v>
      </c>
    </row>
    <row r="1226" spans="2:12" x14ac:dyDescent="0.2">
      <c r="B1226" s="696">
        <v>42615.899756944447</v>
      </c>
      <c r="C1226" s="1" t="s">
        <v>848</v>
      </c>
      <c r="E1226" t="s">
        <v>225</v>
      </c>
      <c r="F1226" t="s">
        <v>305</v>
      </c>
      <c r="G1226" s="1" t="s">
        <v>3</v>
      </c>
      <c r="H1226" s="1">
        <v>553893</v>
      </c>
      <c r="I1226" t="s">
        <v>467</v>
      </c>
      <c r="J1226" s="110">
        <v>359487</v>
      </c>
      <c r="K1226" s="4" t="s">
        <v>834</v>
      </c>
      <c r="L1226" s="4">
        <v>23.64</v>
      </c>
    </row>
    <row r="1227" spans="2:12" x14ac:dyDescent="0.2">
      <c r="B1227" s="696">
        <v>42615.913576388892</v>
      </c>
      <c r="C1227" s="1" t="s">
        <v>848</v>
      </c>
      <c r="E1227" t="s">
        <v>225</v>
      </c>
      <c r="F1227" t="s">
        <v>305</v>
      </c>
      <c r="G1227" s="1" t="s">
        <v>3</v>
      </c>
      <c r="H1227" s="1">
        <v>553893</v>
      </c>
      <c r="I1227" t="s">
        <v>467</v>
      </c>
      <c r="J1227" s="110">
        <v>350864</v>
      </c>
      <c r="K1227" s="4" t="s">
        <v>649</v>
      </c>
      <c r="L1227" s="4">
        <v>23.6</v>
      </c>
    </row>
    <row r="1228" spans="2:12" x14ac:dyDescent="0.2">
      <c r="B1228" s="696">
        <v>42615.921018518522</v>
      </c>
      <c r="C1228" s="1" t="s">
        <v>408</v>
      </c>
      <c r="E1228" t="s">
        <v>225</v>
      </c>
      <c r="F1228" t="s">
        <v>305</v>
      </c>
      <c r="G1228" s="1" t="s">
        <v>3</v>
      </c>
      <c r="H1228" s="1">
        <v>553931</v>
      </c>
      <c r="I1228" t="s">
        <v>467</v>
      </c>
      <c r="J1228" s="110">
        <v>358927</v>
      </c>
      <c r="K1228" s="4" t="s">
        <v>717</v>
      </c>
      <c r="L1228" s="4">
        <v>22.38</v>
      </c>
    </row>
    <row r="1229" spans="2:12" x14ac:dyDescent="0.2">
      <c r="B1229" s="696">
        <v>42615.928437499999</v>
      </c>
      <c r="C1229" s="1" t="s">
        <v>408</v>
      </c>
      <c r="E1229" t="s">
        <v>225</v>
      </c>
      <c r="F1229" t="s">
        <v>305</v>
      </c>
      <c r="G1229" s="1" t="s">
        <v>3</v>
      </c>
      <c r="H1229" s="1">
        <v>553931</v>
      </c>
      <c r="I1229" t="s">
        <v>467</v>
      </c>
      <c r="J1229" s="110">
        <v>359435</v>
      </c>
      <c r="K1229" s="4" t="s">
        <v>835</v>
      </c>
      <c r="L1229" s="4">
        <v>22.16</v>
      </c>
    </row>
    <row r="1230" spans="2:12" x14ac:dyDescent="0.2">
      <c r="B1230" s="696">
        <v>42615.935798611114</v>
      </c>
      <c r="C1230" s="1" t="s">
        <v>408</v>
      </c>
      <c r="E1230" t="s">
        <v>225</v>
      </c>
      <c r="F1230" t="s">
        <v>305</v>
      </c>
      <c r="G1230" s="1" t="s">
        <v>3</v>
      </c>
      <c r="H1230" s="1">
        <v>553931</v>
      </c>
      <c r="I1230" t="s">
        <v>467</v>
      </c>
      <c r="J1230" s="110">
        <v>359436</v>
      </c>
      <c r="K1230" s="4" t="s">
        <v>836</v>
      </c>
      <c r="L1230" s="4">
        <v>25.18</v>
      </c>
    </row>
    <row r="1231" spans="2:12" x14ac:dyDescent="0.2">
      <c r="B1231" s="696">
        <v>42615.987615740742</v>
      </c>
      <c r="C1231" s="1" t="s">
        <v>408</v>
      </c>
      <c r="E1231" t="s">
        <v>225</v>
      </c>
      <c r="F1231" t="s">
        <v>305</v>
      </c>
      <c r="G1231" s="1" t="s">
        <v>3</v>
      </c>
      <c r="H1231" s="1">
        <v>553931</v>
      </c>
      <c r="I1231" t="s">
        <v>467</v>
      </c>
      <c r="J1231" s="110">
        <v>359440</v>
      </c>
      <c r="K1231" s="4" t="s">
        <v>786</v>
      </c>
      <c r="L1231" s="4">
        <v>24.1</v>
      </c>
    </row>
    <row r="1232" spans="2:12" x14ac:dyDescent="0.2">
      <c r="B1232" s="696">
        <v>42616.001087962963</v>
      </c>
      <c r="C1232" s="1" t="s">
        <v>408</v>
      </c>
      <c r="E1232" t="s">
        <v>225</v>
      </c>
      <c r="F1232" t="s">
        <v>305</v>
      </c>
      <c r="G1232" s="1" t="s">
        <v>3</v>
      </c>
      <c r="H1232" s="1">
        <v>553931</v>
      </c>
      <c r="I1232" t="s">
        <v>467</v>
      </c>
      <c r="J1232" s="110">
        <v>359438</v>
      </c>
      <c r="K1232" s="4" t="s">
        <v>788</v>
      </c>
      <c r="L1232" s="4">
        <v>19.72</v>
      </c>
    </row>
    <row r="1233" spans="2:12" x14ac:dyDescent="0.2">
      <c r="B1233" s="696">
        <v>42616.004189814812</v>
      </c>
      <c r="C1233" s="1" t="s">
        <v>408</v>
      </c>
      <c r="E1233" t="s">
        <v>225</v>
      </c>
      <c r="F1233" t="s">
        <v>305</v>
      </c>
      <c r="G1233" s="1" t="s">
        <v>3</v>
      </c>
      <c r="H1233" s="1">
        <v>553931</v>
      </c>
      <c r="I1233" t="s">
        <v>467</v>
      </c>
      <c r="J1233" s="110">
        <v>359441</v>
      </c>
      <c r="K1233" s="4" t="s">
        <v>803</v>
      </c>
      <c r="L1233" s="4">
        <v>23.8</v>
      </c>
    </row>
    <row r="1234" spans="2:12" x14ac:dyDescent="0.2">
      <c r="B1234" s="696">
        <v>42616.143391203703</v>
      </c>
      <c r="C1234" s="1" t="s">
        <v>730</v>
      </c>
      <c r="E1234" t="s">
        <v>225</v>
      </c>
      <c r="F1234" t="s">
        <v>305</v>
      </c>
      <c r="G1234" s="1" t="s">
        <v>3</v>
      </c>
      <c r="H1234" s="110">
        <v>552825</v>
      </c>
      <c r="I1234" s="4" t="s">
        <v>467</v>
      </c>
      <c r="J1234" s="110">
        <v>34988311</v>
      </c>
      <c r="K1234" s="4">
        <v>95303905</v>
      </c>
      <c r="L1234" s="4">
        <v>64.25</v>
      </c>
    </row>
    <row r="1235" spans="2:12" x14ac:dyDescent="0.2">
      <c r="B1235" s="696">
        <v>42616.144768518519</v>
      </c>
      <c r="C1235" s="1" t="s">
        <v>730</v>
      </c>
      <c r="E1235" t="s">
        <v>225</v>
      </c>
      <c r="F1235" t="s">
        <v>305</v>
      </c>
      <c r="G1235" s="1" t="s">
        <v>3</v>
      </c>
      <c r="H1235" s="110">
        <v>552825</v>
      </c>
      <c r="I1235" s="4" t="s">
        <v>467</v>
      </c>
      <c r="J1235" s="110">
        <v>34988311</v>
      </c>
      <c r="K1235" s="4">
        <v>95640660</v>
      </c>
      <c r="L1235" s="4">
        <v>69.3</v>
      </c>
    </row>
    <row r="1236" spans="2:12" x14ac:dyDescent="0.2">
      <c r="B1236" s="696">
        <v>42616.145405092589</v>
      </c>
      <c r="C1236" s="1" t="s">
        <v>730</v>
      </c>
      <c r="E1236" t="s">
        <v>225</v>
      </c>
      <c r="F1236" t="s">
        <v>305</v>
      </c>
      <c r="G1236" s="1" t="s">
        <v>3</v>
      </c>
      <c r="H1236" s="110">
        <v>552825</v>
      </c>
      <c r="I1236" s="4" t="s">
        <v>467</v>
      </c>
      <c r="J1236" s="110">
        <v>34988311</v>
      </c>
      <c r="K1236" s="4">
        <v>95679486</v>
      </c>
      <c r="L1236" s="4">
        <v>69.2</v>
      </c>
    </row>
    <row r="1237" spans="2:12" x14ac:dyDescent="0.2">
      <c r="B1237" s="696">
        <v>42616.146203703705</v>
      </c>
      <c r="C1237" s="1" t="s">
        <v>730</v>
      </c>
      <c r="E1237" t="s">
        <v>225</v>
      </c>
      <c r="F1237" t="s">
        <v>305</v>
      </c>
      <c r="G1237" s="1" t="s">
        <v>3</v>
      </c>
      <c r="H1237" s="110">
        <v>552825</v>
      </c>
      <c r="I1237" s="4" t="s">
        <v>467</v>
      </c>
      <c r="J1237" s="110">
        <v>34983346</v>
      </c>
      <c r="K1237" s="4">
        <v>95348421</v>
      </c>
      <c r="L1237" s="4">
        <v>69.349999999999994</v>
      </c>
    </row>
    <row r="1238" spans="2:12" x14ac:dyDescent="0.2">
      <c r="B1238" s="696">
        <v>42616.146944444445</v>
      </c>
      <c r="C1238" s="1" t="s">
        <v>730</v>
      </c>
      <c r="E1238" t="s">
        <v>225</v>
      </c>
      <c r="F1238" t="s">
        <v>305</v>
      </c>
      <c r="G1238" s="1" t="s">
        <v>3</v>
      </c>
      <c r="H1238" s="110">
        <v>552825</v>
      </c>
      <c r="I1238" s="4" t="s">
        <v>467</v>
      </c>
      <c r="J1238" s="110">
        <v>34983346</v>
      </c>
      <c r="K1238" s="4">
        <v>95684114</v>
      </c>
      <c r="L1238" s="4">
        <v>69.2</v>
      </c>
    </row>
    <row r="1239" spans="2:12" x14ac:dyDescent="0.2">
      <c r="B1239" s="696">
        <v>42616.147638888891</v>
      </c>
      <c r="C1239" s="1" t="s">
        <v>730</v>
      </c>
      <c r="E1239" t="s">
        <v>225</v>
      </c>
      <c r="F1239" t="s">
        <v>305</v>
      </c>
      <c r="G1239" s="1" t="s">
        <v>3</v>
      </c>
      <c r="H1239" s="110">
        <v>552825</v>
      </c>
      <c r="I1239" s="4" t="s">
        <v>467</v>
      </c>
      <c r="J1239" s="110">
        <v>34983346</v>
      </c>
      <c r="K1239" s="4">
        <v>95526851</v>
      </c>
      <c r="L1239" s="4">
        <v>69.599999999999994</v>
      </c>
    </row>
    <row r="1240" spans="2:12" x14ac:dyDescent="0.2">
      <c r="B1240" s="696">
        <v>42616.148368055554</v>
      </c>
      <c r="C1240" s="1" t="s">
        <v>730</v>
      </c>
      <c r="E1240" t="s">
        <v>225</v>
      </c>
      <c r="F1240" t="s">
        <v>305</v>
      </c>
      <c r="G1240" s="1" t="s">
        <v>3</v>
      </c>
      <c r="H1240" s="110">
        <v>552825</v>
      </c>
      <c r="I1240" s="4" t="s">
        <v>467</v>
      </c>
      <c r="J1240" s="110">
        <v>34983346</v>
      </c>
      <c r="K1240" s="4">
        <v>95753455</v>
      </c>
      <c r="L1240" s="4">
        <v>69.3</v>
      </c>
    </row>
    <row r="1241" spans="2:12" x14ac:dyDescent="0.2">
      <c r="B1241" s="696">
        <v>42616.149074074077</v>
      </c>
      <c r="C1241" s="1" t="s">
        <v>730</v>
      </c>
      <c r="E1241" t="s">
        <v>225</v>
      </c>
      <c r="F1241" t="s">
        <v>305</v>
      </c>
      <c r="G1241" s="1" t="s">
        <v>3</v>
      </c>
      <c r="H1241" s="110">
        <v>552825</v>
      </c>
      <c r="I1241" s="4" t="s">
        <v>467</v>
      </c>
      <c r="J1241" s="110">
        <v>34983346</v>
      </c>
      <c r="K1241" s="4">
        <v>95640025</v>
      </c>
      <c r="L1241" s="4">
        <v>69.099999999999994</v>
      </c>
    </row>
    <row r="1242" spans="2:12" x14ac:dyDescent="0.2">
      <c r="B1242" s="696">
        <v>42616.149675925924</v>
      </c>
      <c r="C1242" s="1" t="s">
        <v>730</v>
      </c>
      <c r="E1242" t="s">
        <v>225</v>
      </c>
      <c r="F1242" t="s">
        <v>305</v>
      </c>
      <c r="G1242" s="1" t="s">
        <v>3</v>
      </c>
      <c r="H1242" s="110">
        <v>552825</v>
      </c>
      <c r="I1242" s="4" t="s">
        <v>467</v>
      </c>
      <c r="J1242" s="110">
        <v>34983346</v>
      </c>
      <c r="K1242" s="4">
        <v>95756573</v>
      </c>
      <c r="L1242" s="4">
        <v>69.599999999999994</v>
      </c>
    </row>
    <row r="1243" spans="2:12" x14ac:dyDescent="0.2">
      <c r="B1243" s="696">
        <v>42616.150231481479</v>
      </c>
      <c r="C1243" s="1" t="s">
        <v>730</v>
      </c>
      <c r="E1243" t="s">
        <v>225</v>
      </c>
      <c r="F1243" t="s">
        <v>305</v>
      </c>
      <c r="G1243" s="1" t="s">
        <v>3</v>
      </c>
      <c r="H1243" s="110">
        <v>552825</v>
      </c>
      <c r="I1243" s="4" t="s">
        <v>467</v>
      </c>
      <c r="J1243" s="110">
        <v>34983346</v>
      </c>
      <c r="K1243" s="4">
        <v>95795829</v>
      </c>
      <c r="L1243" s="4">
        <v>69.099999999999994</v>
      </c>
    </row>
    <row r="1244" spans="2:12" x14ac:dyDescent="0.2">
      <c r="B1244" s="696">
        <v>42616.157592592594</v>
      </c>
      <c r="C1244" s="1" t="s">
        <v>845</v>
      </c>
      <c r="E1244" t="s">
        <v>225</v>
      </c>
      <c r="F1244" t="s">
        <v>305</v>
      </c>
      <c r="G1244" s="1" t="s">
        <v>3</v>
      </c>
      <c r="H1244" s="1">
        <v>551772</v>
      </c>
      <c r="I1244" t="s">
        <v>467</v>
      </c>
      <c r="J1244" s="110">
        <v>50595834</v>
      </c>
      <c r="K1244" s="4">
        <v>95320677</v>
      </c>
      <c r="L1244" s="4">
        <v>61.85</v>
      </c>
    </row>
    <row r="1245" spans="2:12" x14ac:dyDescent="0.2">
      <c r="B1245" s="696">
        <v>42616.158229166664</v>
      </c>
      <c r="C1245" s="1" t="s">
        <v>845</v>
      </c>
      <c r="E1245" t="s">
        <v>225</v>
      </c>
      <c r="F1245" t="s">
        <v>305</v>
      </c>
      <c r="G1245" s="1" t="s">
        <v>3</v>
      </c>
      <c r="H1245" s="1">
        <v>551772</v>
      </c>
      <c r="I1245" t="s">
        <v>467</v>
      </c>
      <c r="J1245" s="110">
        <v>50595834</v>
      </c>
      <c r="K1245" s="4">
        <v>95322954</v>
      </c>
      <c r="L1245" s="4">
        <v>62.75</v>
      </c>
    </row>
    <row r="1246" spans="2:12" x14ac:dyDescent="0.2">
      <c r="B1246" s="696">
        <v>42616.159282407411</v>
      </c>
      <c r="C1246" s="1" t="s">
        <v>845</v>
      </c>
      <c r="E1246" t="s">
        <v>225</v>
      </c>
      <c r="F1246" t="s">
        <v>305</v>
      </c>
      <c r="G1246" s="1" t="s">
        <v>3</v>
      </c>
      <c r="H1246" s="1">
        <v>551772</v>
      </c>
      <c r="I1246" t="s">
        <v>467</v>
      </c>
      <c r="J1246" s="110">
        <v>50595834</v>
      </c>
      <c r="K1246" s="4">
        <v>95544060</v>
      </c>
      <c r="L1246" s="4">
        <v>69.95</v>
      </c>
    </row>
    <row r="1247" spans="2:12" x14ac:dyDescent="0.2">
      <c r="B1247" s="696">
        <v>42616.159918981481</v>
      </c>
      <c r="C1247" s="1" t="s">
        <v>845</v>
      </c>
      <c r="E1247" t="s">
        <v>225</v>
      </c>
      <c r="F1247" t="s">
        <v>305</v>
      </c>
      <c r="G1247" s="1" t="s">
        <v>3</v>
      </c>
      <c r="H1247" s="1">
        <v>551772</v>
      </c>
      <c r="I1247" t="s">
        <v>467</v>
      </c>
      <c r="J1247" s="110">
        <v>50595834</v>
      </c>
      <c r="K1247" s="4">
        <v>95387577</v>
      </c>
      <c r="L1247" s="4">
        <v>68.5</v>
      </c>
    </row>
    <row r="1248" spans="2:12" x14ac:dyDescent="0.2">
      <c r="B1248" s="696">
        <v>42616.416712962964</v>
      </c>
      <c r="C1248" s="1" t="s">
        <v>730</v>
      </c>
      <c r="E1248" t="s">
        <v>225</v>
      </c>
      <c r="F1248" t="s">
        <v>305</v>
      </c>
      <c r="G1248" s="1" t="s">
        <v>3</v>
      </c>
      <c r="H1248" s="110">
        <v>552825</v>
      </c>
      <c r="I1248" s="4" t="s">
        <v>467</v>
      </c>
      <c r="J1248" s="110">
        <v>34978791</v>
      </c>
      <c r="K1248" s="4">
        <v>95541132</v>
      </c>
      <c r="L1248" s="4">
        <v>69.3</v>
      </c>
    </row>
    <row r="1249" spans="2:12" x14ac:dyDescent="0.2">
      <c r="B1249" s="696">
        <v>42616.417708333334</v>
      </c>
      <c r="C1249" s="1" t="s">
        <v>730</v>
      </c>
      <c r="E1249" t="s">
        <v>225</v>
      </c>
      <c r="F1249" t="s">
        <v>305</v>
      </c>
      <c r="G1249" s="1" t="s">
        <v>3</v>
      </c>
      <c r="H1249" s="110">
        <v>552825</v>
      </c>
      <c r="I1249" s="4" t="s">
        <v>467</v>
      </c>
      <c r="J1249" s="110">
        <v>34978791</v>
      </c>
      <c r="K1249" s="4">
        <v>95488516</v>
      </c>
      <c r="L1249" s="4">
        <v>69.400000000000006</v>
      </c>
    </row>
    <row r="1250" spans="2:12" x14ac:dyDescent="0.2">
      <c r="B1250" s="696">
        <v>42616.418171296296</v>
      </c>
      <c r="C1250" s="1" t="s">
        <v>730</v>
      </c>
      <c r="E1250" t="s">
        <v>225</v>
      </c>
      <c r="F1250" t="s">
        <v>305</v>
      </c>
      <c r="G1250" s="1" t="s">
        <v>3</v>
      </c>
      <c r="H1250" s="110">
        <v>552825</v>
      </c>
      <c r="I1250" s="4" t="s">
        <v>467</v>
      </c>
      <c r="J1250" s="110">
        <v>34978791</v>
      </c>
      <c r="K1250" s="4">
        <v>95756581</v>
      </c>
      <c r="L1250" s="4">
        <v>69.5</v>
      </c>
    </row>
    <row r="1251" spans="2:12" x14ac:dyDescent="0.2">
      <c r="B1251" s="696">
        <v>42616.615613425929</v>
      </c>
      <c r="C1251" s="1" t="s">
        <v>408</v>
      </c>
      <c r="E1251" t="s">
        <v>225</v>
      </c>
      <c r="F1251" t="s">
        <v>305</v>
      </c>
      <c r="G1251" s="1" t="s">
        <v>3</v>
      </c>
      <c r="H1251" s="1">
        <v>553931</v>
      </c>
      <c r="I1251" t="s">
        <v>467</v>
      </c>
      <c r="J1251" s="110">
        <v>359442</v>
      </c>
      <c r="K1251" s="4" t="s">
        <v>837</v>
      </c>
      <c r="L1251" s="4">
        <v>19.68</v>
      </c>
    </row>
    <row r="1252" spans="2:12" x14ac:dyDescent="0.2">
      <c r="B1252" s="696">
        <v>42616.62222222222</v>
      </c>
      <c r="C1252" s="1" t="s">
        <v>495</v>
      </c>
      <c r="E1252" t="s">
        <v>225</v>
      </c>
      <c r="F1252" t="s">
        <v>305</v>
      </c>
      <c r="G1252" s="1" t="s">
        <v>3</v>
      </c>
      <c r="H1252" s="1">
        <v>552936</v>
      </c>
      <c r="I1252" t="s">
        <v>467</v>
      </c>
      <c r="J1252" s="110">
        <v>600618</v>
      </c>
      <c r="K1252" s="4" t="s">
        <v>809</v>
      </c>
      <c r="L1252" s="4">
        <v>25.16</v>
      </c>
    </row>
    <row r="1253" spans="2:12" x14ac:dyDescent="0.2">
      <c r="B1253" s="696">
        <v>42616.62841435185</v>
      </c>
      <c r="C1253" s="1" t="s">
        <v>408</v>
      </c>
      <c r="E1253" t="s">
        <v>225</v>
      </c>
      <c r="F1253" t="s">
        <v>305</v>
      </c>
      <c r="G1253" s="1" t="s">
        <v>3</v>
      </c>
      <c r="H1253" s="1">
        <v>553931</v>
      </c>
      <c r="I1253" t="s">
        <v>467</v>
      </c>
      <c r="J1253" s="110">
        <v>342797</v>
      </c>
      <c r="K1253" s="4" t="s">
        <v>838</v>
      </c>
      <c r="L1253" s="4">
        <v>20.6</v>
      </c>
    </row>
    <row r="1254" spans="2:12" x14ac:dyDescent="0.2">
      <c r="B1254" s="696">
        <v>42616.636770833335</v>
      </c>
      <c r="C1254" s="1" t="s">
        <v>408</v>
      </c>
      <c r="E1254" t="s">
        <v>225</v>
      </c>
      <c r="F1254" t="s">
        <v>305</v>
      </c>
      <c r="G1254" s="1" t="s">
        <v>3</v>
      </c>
      <c r="H1254" s="1">
        <v>553931</v>
      </c>
      <c r="I1254" t="s">
        <v>467</v>
      </c>
      <c r="J1254" s="110">
        <v>350865</v>
      </c>
      <c r="K1254" s="4" t="s">
        <v>793</v>
      </c>
      <c r="L1254" s="4">
        <v>24.38</v>
      </c>
    </row>
    <row r="1255" spans="2:12" x14ac:dyDescent="0.2">
      <c r="B1255" s="696">
        <v>42616.681886574072</v>
      </c>
      <c r="C1255" s="1" t="s">
        <v>408</v>
      </c>
      <c r="E1255" t="s">
        <v>225</v>
      </c>
      <c r="F1255" t="s">
        <v>305</v>
      </c>
      <c r="G1255" s="1" t="s">
        <v>3</v>
      </c>
      <c r="H1255" s="1">
        <v>553931</v>
      </c>
      <c r="I1255" t="s">
        <v>467</v>
      </c>
      <c r="J1255" s="110">
        <v>358709</v>
      </c>
      <c r="K1255" s="4" t="s">
        <v>839</v>
      </c>
      <c r="L1255" s="4">
        <v>24.64</v>
      </c>
    </row>
    <row r="1256" spans="2:12" x14ac:dyDescent="0.2">
      <c r="B1256" s="696">
        <v>42616.910983796297</v>
      </c>
      <c r="C1256" s="1" t="s">
        <v>408</v>
      </c>
      <c r="E1256" t="s">
        <v>225</v>
      </c>
      <c r="F1256" t="s">
        <v>305</v>
      </c>
      <c r="G1256" s="1" t="s">
        <v>3</v>
      </c>
      <c r="H1256" s="1">
        <v>553931</v>
      </c>
      <c r="I1256" t="s">
        <v>467</v>
      </c>
      <c r="J1256" s="110">
        <v>359043</v>
      </c>
      <c r="K1256" s="4" t="s">
        <v>571</v>
      </c>
      <c r="L1256" s="4">
        <v>24.4</v>
      </c>
    </row>
    <row r="1257" spans="2:12" x14ac:dyDescent="0.2">
      <c r="B1257" s="696">
        <v>42616.918726851851</v>
      </c>
      <c r="C1257" s="1" t="s">
        <v>408</v>
      </c>
      <c r="E1257" t="s">
        <v>225</v>
      </c>
      <c r="F1257" t="s">
        <v>305</v>
      </c>
      <c r="G1257" s="1" t="s">
        <v>3</v>
      </c>
      <c r="H1257" s="1">
        <v>553931</v>
      </c>
      <c r="I1257" t="s">
        <v>467</v>
      </c>
      <c r="J1257" s="110">
        <v>359044</v>
      </c>
      <c r="K1257" s="4" t="s">
        <v>570</v>
      </c>
      <c r="L1257" s="4">
        <v>24</v>
      </c>
    </row>
    <row r="1258" spans="2:12" x14ac:dyDescent="0.2">
      <c r="B1258" s="696">
        <v>42616.92559027778</v>
      </c>
      <c r="C1258" s="1" t="s">
        <v>408</v>
      </c>
      <c r="E1258" t="s">
        <v>225</v>
      </c>
      <c r="F1258" t="s">
        <v>305</v>
      </c>
      <c r="G1258" s="1" t="s">
        <v>3</v>
      </c>
      <c r="H1258" s="1">
        <v>553931</v>
      </c>
      <c r="I1258" t="s">
        <v>467</v>
      </c>
      <c r="J1258" s="110">
        <v>359047</v>
      </c>
      <c r="K1258" s="4" t="s">
        <v>840</v>
      </c>
      <c r="L1258" s="4">
        <v>25.54</v>
      </c>
    </row>
    <row r="1259" spans="2:12" x14ac:dyDescent="0.2">
      <c r="B1259" s="696">
        <v>42616.935925925929</v>
      </c>
      <c r="C1259" s="1" t="s">
        <v>408</v>
      </c>
      <c r="E1259" t="s">
        <v>225</v>
      </c>
      <c r="F1259" t="s">
        <v>305</v>
      </c>
      <c r="G1259" s="1" t="s">
        <v>3</v>
      </c>
      <c r="H1259" s="1">
        <v>553931</v>
      </c>
      <c r="I1259" t="s">
        <v>467</v>
      </c>
      <c r="J1259" s="110">
        <v>359028</v>
      </c>
      <c r="K1259" s="4" t="s">
        <v>841</v>
      </c>
      <c r="L1259" s="4">
        <v>25.9</v>
      </c>
    </row>
    <row r="1260" spans="2:12" x14ac:dyDescent="0.2">
      <c r="B1260" s="696">
        <v>42616.949895833335</v>
      </c>
      <c r="C1260" s="1" t="s">
        <v>408</v>
      </c>
      <c r="E1260" t="s">
        <v>225</v>
      </c>
      <c r="F1260" t="s">
        <v>305</v>
      </c>
      <c r="G1260" s="1" t="s">
        <v>3</v>
      </c>
      <c r="H1260" s="1">
        <v>553931</v>
      </c>
      <c r="I1260" t="s">
        <v>467</v>
      </c>
      <c r="J1260" s="110">
        <v>350863</v>
      </c>
      <c r="K1260" s="4" t="s">
        <v>649</v>
      </c>
      <c r="L1260" s="4">
        <v>25.28</v>
      </c>
    </row>
    <row r="1261" spans="2:12" x14ac:dyDescent="0.2">
      <c r="B1261" s="696">
        <v>42617.208553240744</v>
      </c>
      <c r="C1261" s="1" t="s">
        <v>408</v>
      </c>
      <c r="E1261" t="s">
        <v>225</v>
      </c>
      <c r="F1261" t="s">
        <v>305</v>
      </c>
      <c r="G1261" s="1" t="s">
        <v>3</v>
      </c>
      <c r="H1261" s="1">
        <v>553931</v>
      </c>
      <c r="I1261" t="s">
        <v>467</v>
      </c>
      <c r="J1261" s="110">
        <v>358719</v>
      </c>
      <c r="K1261" s="4" t="s">
        <v>811</v>
      </c>
      <c r="L1261" s="4">
        <v>24.72</v>
      </c>
    </row>
    <row r="1262" spans="2:12" x14ac:dyDescent="0.2">
      <c r="B1262" s="696">
        <v>42617.21503472222</v>
      </c>
      <c r="C1262" s="1" t="s">
        <v>408</v>
      </c>
      <c r="E1262" t="s">
        <v>225</v>
      </c>
      <c r="F1262" t="s">
        <v>305</v>
      </c>
      <c r="G1262" s="1" t="s">
        <v>3</v>
      </c>
      <c r="H1262" s="1">
        <v>553931</v>
      </c>
      <c r="I1262" t="s">
        <v>467</v>
      </c>
      <c r="J1262" s="110">
        <v>358720</v>
      </c>
      <c r="K1262" s="4" t="s">
        <v>808</v>
      </c>
      <c r="L1262" s="4">
        <v>23.96</v>
      </c>
    </row>
    <row r="1263" spans="2:12" x14ac:dyDescent="0.2">
      <c r="B1263" s="696">
        <v>42617.220555555556</v>
      </c>
      <c r="C1263" s="1" t="s">
        <v>408</v>
      </c>
      <c r="E1263" t="s">
        <v>225</v>
      </c>
      <c r="F1263" t="s">
        <v>305</v>
      </c>
      <c r="G1263" s="1" t="s">
        <v>3</v>
      </c>
      <c r="H1263" s="1">
        <v>553931</v>
      </c>
      <c r="I1263" t="s">
        <v>467</v>
      </c>
      <c r="J1263" s="110">
        <v>358721</v>
      </c>
      <c r="K1263" s="4" t="s">
        <v>810</v>
      </c>
      <c r="L1263" s="4">
        <v>25.24</v>
      </c>
    </row>
    <row r="1264" spans="2:12" x14ac:dyDescent="0.2">
      <c r="B1264" s="696">
        <v>42617.22824074074</v>
      </c>
      <c r="C1264" s="1" t="s">
        <v>408</v>
      </c>
      <c r="E1264" t="s">
        <v>225</v>
      </c>
      <c r="F1264" t="s">
        <v>305</v>
      </c>
      <c r="G1264" s="1" t="s">
        <v>3</v>
      </c>
      <c r="H1264" s="1">
        <v>553931</v>
      </c>
      <c r="I1264" t="s">
        <v>467</v>
      </c>
      <c r="J1264" s="110">
        <v>359042</v>
      </c>
      <c r="K1264" s="4" t="s">
        <v>842</v>
      </c>
      <c r="L1264" s="4">
        <v>24.5</v>
      </c>
    </row>
    <row r="1265" spans="2:12" x14ac:dyDescent="0.2">
      <c r="B1265" s="696">
        <v>42617.238483796296</v>
      </c>
      <c r="C1265" s="1" t="s">
        <v>408</v>
      </c>
      <c r="E1265" t="s">
        <v>225</v>
      </c>
      <c r="F1265" t="s">
        <v>305</v>
      </c>
      <c r="G1265" s="1" t="s">
        <v>3</v>
      </c>
      <c r="H1265" s="1">
        <v>553931</v>
      </c>
      <c r="I1265" t="s">
        <v>467</v>
      </c>
      <c r="J1265" s="110">
        <v>359027</v>
      </c>
      <c r="K1265" s="4" t="s">
        <v>843</v>
      </c>
      <c r="L1265" s="4">
        <v>26.02</v>
      </c>
    </row>
    <row r="1266" spans="2:12" x14ac:dyDescent="0.2">
      <c r="B1266" s="696">
        <v>42617.247037037036</v>
      </c>
      <c r="C1266" s="1" t="s">
        <v>408</v>
      </c>
      <c r="E1266" t="s">
        <v>225</v>
      </c>
      <c r="F1266" t="s">
        <v>305</v>
      </c>
      <c r="G1266" s="1" t="s">
        <v>3</v>
      </c>
      <c r="H1266" s="1">
        <v>553931</v>
      </c>
      <c r="I1266" t="s">
        <v>467</v>
      </c>
      <c r="J1266" s="110">
        <v>359041</v>
      </c>
      <c r="K1266" s="4" t="s">
        <v>844</v>
      </c>
      <c r="L1266" s="4">
        <v>25.44</v>
      </c>
    </row>
    <row r="1267" spans="2:12" x14ac:dyDescent="0.2">
      <c r="B1267" s="696">
        <v>42617.722418981481</v>
      </c>
      <c r="C1267" s="1" t="s">
        <v>712</v>
      </c>
      <c r="E1267" t="s">
        <v>225</v>
      </c>
      <c r="F1267" t="s">
        <v>305</v>
      </c>
      <c r="G1267" s="1" t="s">
        <v>3</v>
      </c>
      <c r="H1267" s="1">
        <v>553450</v>
      </c>
      <c r="I1267" t="s">
        <v>467</v>
      </c>
      <c r="J1267" s="110">
        <v>40460156</v>
      </c>
      <c r="K1267" s="4">
        <v>95669081</v>
      </c>
      <c r="L1267" s="4">
        <v>69.55</v>
      </c>
    </row>
    <row r="1268" spans="2:12" x14ac:dyDescent="0.2">
      <c r="B1268" s="696">
        <v>42617.723495370374</v>
      </c>
      <c r="C1268" s="1" t="s">
        <v>712</v>
      </c>
      <c r="E1268" t="s">
        <v>225</v>
      </c>
      <c r="F1268" t="s">
        <v>305</v>
      </c>
      <c r="G1268" s="1" t="s">
        <v>3</v>
      </c>
      <c r="H1268" s="1">
        <v>553450</v>
      </c>
      <c r="I1268" t="s">
        <v>467</v>
      </c>
      <c r="J1268" s="110">
        <v>40460156</v>
      </c>
      <c r="K1268" s="4">
        <v>95527776</v>
      </c>
      <c r="L1268" s="4">
        <v>68.95</v>
      </c>
    </row>
    <row r="1269" spans="2:12" x14ac:dyDescent="0.2">
      <c r="B1269" s="696">
        <v>42617.724016203705</v>
      </c>
      <c r="C1269" s="1" t="s">
        <v>712</v>
      </c>
      <c r="E1269" t="s">
        <v>225</v>
      </c>
      <c r="F1269" t="s">
        <v>305</v>
      </c>
      <c r="G1269" s="1" t="s">
        <v>3</v>
      </c>
      <c r="H1269" s="1">
        <v>553450</v>
      </c>
      <c r="I1269" t="s">
        <v>467</v>
      </c>
      <c r="J1269" s="110">
        <v>40460156</v>
      </c>
      <c r="K1269" s="4">
        <v>95041364</v>
      </c>
      <c r="L1269" s="4">
        <v>66.55</v>
      </c>
    </row>
    <row r="1270" spans="2:12" x14ac:dyDescent="0.2">
      <c r="B1270" s="696">
        <v>42617.923761574071</v>
      </c>
      <c r="C1270" s="1" t="s">
        <v>712</v>
      </c>
      <c r="E1270" t="s">
        <v>225</v>
      </c>
      <c r="F1270" t="s">
        <v>305</v>
      </c>
      <c r="G1270" s="1" t="s">
        <v>3</v>
      </c>
      <c r="H1270" s="1">
        <v>553450</v>
      </c>
      <c r="I1270" t="s">
        <v>467</v>
      </c>
      <c r="J1270" s="110">
        <v>40460156</v>
      </c>
      <c r="K1270" s="4">
        <v>95538641</v>
      </c>
      <c r="L1270" s="4">
        <v>69</v>
      </c>
    </row>
    <row r="1271" spans="2:12" x14ac:dyDescent="0.2">
      <c r="B1271" s="696">
        <v>42617.924293981479</v>
      </c>
      <c r="C1271" s="1" t="s">
        <v>712</v>
      </c>
      <c r="E1271" t="s">
        <v>225</v>
      </c>
      <c r="F1271" t="s">
        <v>305</v>
      </c>
      <c r="G1271" s="1" t="s">
        <v>3</v>
      </c>
      <c r="H1271" s="1">
        <v>553450</v>
      </c>
      <c r="I1271" t="s">
        <v>467</v>
      </c>
      <c r="J1271" s="110">
        <v>40460156</v>
      </c>
      <c r="K1271" s="4">
        <v>95357430</v>
      </c>
      <c r="L1271" s="4">
        <v>68.5</v>
      </c>
    </row>
    <row r="1272" spans="2:12" x14ac:dyDescent="0.2">
      <c r="B1272" s="696">
        <v>42617.924988425926</v>
      </c>
      <c r="C1272" s="1" t="s">
        <v>712</v>
      </c>
      <c r="E1272" t="s">
        <v>225</v>
      </c>
      <c r="F1272" t="s">
        <v>305</v>
      </c>
      <c r="G1272" s="1" t="s">
        <v>3</v>
      </c>
      <c r="H1272" s="1">
        <v>553450</v>
      </c>
      <c r="I1272" t="s">
        <v>467</v>
      </c>
      <c r="J1272" s="110">
        <v>40460156</v>
      </c>
      <c r="K1272" s="4">
        <v>95304218</v>
      </c>
      <c r="L1272" s="4">
        <v>64.349999999999994</v>
      </c>
    </row>
    <row r="1273" spans="2:12" x14ac:dyDescent="0.2">
      <c r="B1273" s="696">
        <v>42617.925694444442</v>
      </c>
      <c r="C1273" s="1" t="s">
        <v>712</v>
      </c>
      <c r="E1273" t="s">
        <v>225</v>
      </c>
      <c r="F1273" t="s">
        <v>305</v>
      </c>
      <c r="G1273" s="1" t="s">
        <v>3</v>
      </c>
      <c r="H1273" s="1">
        <v>553450</v>
      </c>
      <c r="I1273" t="s">
        <v>467</v>
      </c>
      <c r="J1273" s="110">
        <v>40460156</v>
      </c>
      <c r="K1273" s="4">
        <v>95681888</v>
      </c>
      <c r="L1273" s="4">
        <v>68.8</v>
      </c>
    </row>
    <row r="1274" spans="2:12" x14ac:dyDescent="0.2">
      <c r="B1274" s="696">
        <v>42618.156655092593</v>
      </c>
      <c r="C1274" s="1" t="s">
        <v>712</v>
      </c>
      <c r="E1274" t="s">
        <v>225</v>
      </c>
      <c r="F1274" t="s">
        <v>305</v>
      </c>
      <c r="G1274" s="1" t="s">
        <v>3</v>
      </c>
      <c r="H1274" s="1">
        <v>553450</v>
      </c>
      <c r="I1274" t="s">
        <v>467</v>
      </c>
      <c r="J1274" s="110">
        <v>40496358</v>
      </c>
      <c r="K1274" s="4">
        <v>95834107</v>
      </c>
      <c r="L1274" s="4">
        <v>67.400000000000006</v>
      </c>
    </row>
    <row r="1275" spans="2:12" x14ac:dyDescent="0.2">
      <c r="B1275" s="696">
        <v>42618.15729166667</v>
      </c>
      <c r="C1275" s="1" t="s">
        <v>712</v>
      </c>
      <c r="E1275" t="s">
        <v>225</v>
      </c>
      <c r="F1275" t="s">
        <v>305</v>
      </c>
      <c r="G1275" s="1" t="s">
        <v>3</v>
      </c>
      <c r="H1275" s="1">
        <v>553450</v>
      </c>
      <c r="I1275" t="s">
        <v>467</v>
      </c>
      <c r="J1275" s="110">
        <v>40496358</v>
      </c>
      <c r="K1275" s="4">
        <v>95684148</v>
      </c>
      <c r="L1275" s="4">
        <v>66.099999999999994</v>
      </c>
    </row>
    <row r="1276" spans="2:12" x14ac:dyDescent="0.2">
      <c r="B1276" s="696">
        <v>42618.15797453704</v>
      </c>
      <c r="C1276" s="1" t="s">
        <v>712</v>
      </c>
      <c r="E1276" t="s">
        <v>225</v>
      </c>
      <c r="F1276" t="s">
        <v>305</v>
      </c>
      <c r="G1276" s="1" t="s">
        <v>3</v>
      </c>
      <c r="H1276" s="1">
        <v>553450</v>
      </c>
      <c r="I1276" t="s">
        <v>467</v>
      </c>
      <c r="J1276" s="110">
        <v>40496358</v>
      </c>
      <c r="K1276" s="4">
        <v>95541348</v>
      </c>
      <c r="L1276" s="4">
        <v>69.7</v>
      </c>
    </row>
    <row r="1277" spans="2:12" x14ac:dyDescent="0.2">
      <c r="B1277" s="696">
        <v>42618.158680555556</v>
      </c>
      <c r="C1277" s="1" t="s">
        <v>712</v>
      </c>
      <c r="E1277" t="s">
        <v>225</v>
      </c>
      <c r="F1277" t="s">
        <v>305</v>
      </c>
      <c r="G1277" s="1" t="s">
        <v>3</v>
      </c>
      <c r="H1277" s="1">
        <v>553450</v>
      </c>
      <c r="I1277" t="s">
        <v>467</v>
      </c>
      <c r="J1277" s="110">
        <v>40496358</v>
      </c>
      <c r="K1277" s="4">
        <v>95826616</v>
      </c>
      <c r="L1277" s="4">
        <v>68.650000000000006</v>
      </c>
    </row>
    <row r="1278" spans="2:12" x14ac:dyDescent="0.2">
      <c r="B1278" s="696">
        <v>42618.159178240741</v>
      </c>
      <c r="C1278" s="1" t="s">
        <v>712</v>
      </c>
      <c r="E1278" t="s">
        <v>225</v>
      </c>
      <c r="F1278" t="s">
        <v>305</v>
      </c>
      <c r="G1278" s="1" t="s">
        <v>3</v>
      </c>
      <c r="H1278" s="1">
        <v>553450</v>
      </c>
      <c r="I1278" t="s">
        <v>467</v>
      </c>
      <c r="J1278" s="110">
        <v>40496358</v>
      </c>
      <c r="K1278" s="4">
        <v>95379830</v>
      </c>
      <c r="L1278" s="4">
        <v>64.55</v>
      </c>
    </row>
    <row r="1279" spans="2:12" x14ac:dyDescent="0.2">
      <c r="B1279" s="696">
        <v>42618.159629629627</v>
      </c>
      <c r="C1279" s="1" t="s">
        <v>712</v>
      </c>
      <c r="E1279" t="s">
        <v>225</v>
      </c>
      <c r="F1279" t="s">
        <v>305</v>
      </c>
      <c r="G1279" s="1" t="s">
        <v>3</v>
      </c>
      <c r="H1279" s="1">
        <v>553450</v>
      </c>
      <c r="I1279" t="s">
        <v>467</v>
      </c>
      <c r="J1279" s="110">
        <v>40496358</v>
      </c>
      <c r="K1279" s="4">
        <v>95230843</v>
      </c>
      <c r="L1279" s="4">
        <v>68.45</v>
      </c>
    </row>
    <row r="1280" spans="2:12" x14ac:dyDescent="0.2">
      <c r="B1280" s="696">
        <v>42618.160081018519</v>
      </c>
      <c r="C1280" s="1" t="s">
        <v>712</v>
      </c>
      <c r="E1280" t="s">
        <v>225</v>
      </c>
      <c r="F1280" t="s">
        <v>305</v>
      </c>
      <c r="G1280" s="1" t="s">
        <v>3</v>
      </c>
      <c r="H1280" s="1">
        <v>553450</v>
      </c>
      <c r="I1280" t="s">
        <v>467</v>
      </c>
      <c r="J1280" s="110">
        <v>40496358</v>
      </c>
      <c r="K1280" s="4">
        <v>95453379</v>
      </c>
      <c r="L1280" s="4">
        <v>68.25</v>
      </c>
    </row>
    <row r="1281" spans="2:12" x14ac:dyDescent="0.2">
      <c r="B1281" s="696">
        <v>42618.654687499999</v>
      </c>
      <c r="C1281" s="1" t="s">
        <v>639</v>
      </c>
      <c r="E1281" t="s">
        <v>225</v>
      </c>
      <c r="F1281" t="s">
        <v>305</v>
      </c>
      <c r="G1281" s="1" t="s">
        <v>3</v>
      </c>
      <c r="H1281" s="1">
        <v>552862</v>
      </c>
      <c r="I1281" t="s">
        <v>467</v>
      </c>
      <c r="J1281" s="110">
        <v>38283792</v>
      </c>
      <c r="K1281" s="4">
        <v>95449971</v>
      </c>
      <c r="L1281" s="4">
        <v>69</v>
      </c>
    </row>
    <row r="1282" spans="2:12" x14ac:dyDescent="0.2">
      <c r="B1282" s="696">
        <v>42618.65519675926</v>
      </c>
      <c r="C1282" s="1" t="s">
        <v>639</v>
      </c>
      <c r="E1282" t="s">
        <v>225</v>
      </c>
      <c r="F1282" t="s">
        <v>305</v>
      </c>
      <c r="G1282" s="1" t="s">
        <v>3</v>
      </c>
      <c r="H1282" s="1">
        <v>552862</v>
      </c>
      <c r="I1282" t="s">
        <v>467</v>
      </c>
      <c r="J1282" s="110">
        <v>38283792</v>
      </c>
      <c r="K1282" s="4">
        <v>95391579</v>
      </c>
      <c r="L1282" s="4">
        <v>63.8</v>
      </c>
    </row>
    <row r="1283" spans="2:12" x14ac:dyDescent="0.2">
      <c r="B1283" s="696">
        <v>42618.655706018515</v>
      </c>
      <c r="C1283" s="1" t="s">
        <v>639</v>
      </c>
      <c r="E1283" t="s">
        <v>225</v>
      </c>
      <c r="F1283" t="s">
        <v>305</v>
      </c>
      <c r="G1283" s="1" t="s">
        <v>3</v>
      </c>
      <c r="H1283" s="1">
        <v>552862</v>
      </c>
      <c r="I1283" t="s">
        <v>467</v>
      </c>
      <c r="J1283" s="110">
        <v>38283792</v>
      </c>
      <c r="K1283" s="4">
        <v>95751251</v>
      </c>
      <c r="L1283" s="4">
        <v>68.349999999999994</v>
      </c>
    </row>
    <row r="1284" spans="2:12" x14ac:dyDescent="0.2">
      <c r="B1284" s="696">
        <v>42618.656307870369</v>
      </c>
      <c r="C1284" s="1" t="s">
        <v>639</v>
      </c>
      <c r="E1284" t="s">
        <v>225</v>
      </c>
      <c r="F1284" t="s">
        <v>305</v>
      </c>
      <c r="G1284" s="1" t="s">
        <v>3</v>
      </c>
      <c r="H1284" s="1">
        <v>552862</v>
      </c>
      <c r="I1284" t="s">
        <v>467</v>
      </c>
      <c r="J1284" s="110">
        <v>38283792</v>
      </c>
      <c r="K1284" s="4">
        <v>95453007</v>
      </c>
      <c r="L1284" s="4">
        <v>69.25</v>
      </c>
    </row>
    <row r="1285" spans="2:12" x14ac:dyDescent="0.2">
      <c r="B1285" s="696">
        <v>42618.656828703701</v>
      </c>
      <c r="C1285" s="1" t="s">
        <v>639</v>
      </c>
      <c r="E1285" t="s">
        <v>225</v>
      </c>
      <c r="F1285" t="s">
        <v>305</v>
      </c>
      <c r="G1285" s="1" t="s">
        <v>3</v>
      </c>
      <c r="H1285" s="1">
        <v>552862</v>
      </c>
      <c r="I1285" t="s">
        <v>467</v>
      </c>
      <c r="J1285" s="110">
        <v>38283792</v>
      </c>
      <c r="K1285" s="4">
        <v>95358636</v>
      </c>
      <c r="L1285" s="4">
        <v>69.150000000000006</v>
      </c>
    </row>
    <row r="1286" spans="2:12" x14ac:dyDescent="0.2">
      <c r="B1286" s="696">
        <v>42618.657256944447</v>
      </c>
      <c r="C1286" s="1" t="s">
        <v>639</v>
      </c>
      <c r="E1286" t="s">
        <v>225</v>
      </c>
      <c r="F1286" t="s">
        <v>305</v>
      </c>
      <c r="G1286" s="1" t="s">
        <v>3</v>
      </c>
      <c r="H1286" s="1">
        <v>552862</v>
      </c>
      <c r="I1286" t="s">
        <v>467</v>
      </c>
      <c r="J1286" s="110">
        <v>38283792</v>
      </c>
      <c r="K1286" s="4">
        <v>95348702</v>
      </c>
      <c r="L1286" s="4">
        <v>64.75</v>
      </c>
    </row>
    <row r="1287" spans="2:12" x14ac:dyDescent="0.2">
      <c r="B1287" s="696">
        <v>42619.100277777776</v>
      </c>
      <c r="C1287" s="1" t="s">
        <v>845</v>
      </c>
      <c r="E1287" t="s">
        <v>225</v>
      </c>
      <c r="F1287" t="s">
        <v>305</v>
      </c>
      <c r="G1287" s="1" t="s">
        <v>3</v>
      </c>
      <c r="H1287" s="1">
        <v>551772</v>
      </c>
      <c r="I1287" t="s">
        <v>467</v>
      </c>
      <c r="J1287" s="110">
        <v>50649102</v>
      </c>
      <c r="K1287" s="4">
        <v>95343620</v>
      </c>
      <c r="L1287" s="4">
        <v>67.400000000000006</v>
      </c>
    </row>
    <row r="1288" spans="2:12" x14ac:dyDescent="0.2">
      <c r="B1288" s="696">
        <v>42619.107858796298</v>
      </c>
      <c r="C1288" s="1" t="s">
        <v>495</v>
      </c>
      <c r="E1288" t="s">
        <v>225</v>
      </c>
      <c r="F1288" t="s">
        <v>305</v>
      </c>
      <c r="G1288" s="1" t="s">
        <v>3</v>
      </c>
      <c r="H1288" s="1">
        <v>552936</v>
      </c>
      <c r="I1288" t="s">
        <v>467</v>
      </c>
      <c r="J1288" s="110">
        <v>600619</v>
      </c>
      <c r="K1288" s="4" t="s">
        <v>805</v>
      </c>
      <c r="L1288" s="4">
        <v>23.74</v>
      </c>
    </row>
    <row r="1289" spans="2:12" x14ac:dyDescent="0.2">
      <c r="B1289" s="696">
        <v>42619.114270833335</v>
      </c>
      <c r="C1289" s="1" t="s">
        <v>495</v>
      </c>
      <c r="E1289" t="s">
        <v>225</v>
      </c>
      <c r="F1289" t="s">
        <v>305</v>
      </c>
      <c r="G1289" s="1" t="s">
        <v>3</v>
      </c>
      <c r="H1289" s="1">
        <v>552936</v>
      </c>
      <c r="I1289" t="s">
        <v>467</v>
      </c>
      <c r="J1289" s="110">
        <v>600617</v>
      </c>
      <c r="K1289" s="4" t="s">
        <v>808</v>
      </c>
      <c r="L1289" s="4">
        <v>23.64</v>
      </c>
    </row>
    <row r="1290" spans="2:12" x14ac:dyDescent="0.2">
      <c r="B1290" s="696">
        <v>42619.120520833334</v>
      </c>
      <c r="C1290" s="1" t="s">
        <v>495</v>
      </c>
      <c r="E1290" t="s">
        <v>225</v>
      </c>
      <c r="F1290" t="s">
        <v>305</v>
      </c>
      <c r="G1290" s="1" t="s">
        <v>3</v>
      </c>
      <c r="H1290" s="1">
        <v>552936</v>
      </c>
      <c r="I1290" t="s">
        <v>467</v>
      </c>
      <c r="J1290" s="110">
        <v>600616</v>
      </c>
      <c r="K1290" s="4" t="s">
        <v>811</v>
      </c>
      <c r="L1290" s="4">
        <v>24.32</v>
      </c>
    </row>
    <row r="1291" spans="2:12" x14ac:dyDescent="0.2">
      <c r="B1291" s="696">
        <v>42619.243391203701</v>
      </c>
      <c r="C1291" s="1" t="s">
        <v>495</v>
      </c>
      <c r="E1291" t="s">
        <v>225</v>
      </c>
      <c r="F1291" t="s">
        <v>305</v>
      </c>
      <c r="G1291" s="1" t="s">
        <v>3</v>
      </c>
      <c r="H1291" s="1">
        <v>552936</v>
      </c>
      <c r="I1291" t="s">
        <v>467</v>
      </c>
      <c r="J1291" s="110">
        <v>600614</v>
      </c>
      <c r="K1291" s="4" t="s">
        <v>838</v>
      </c>
      <c r="L1291" s="4">
        <v>19.739999999999998</v>
      </c>
    </row>
    <row r="1292" spans="2:12" x14ac:dyDescent="0.2">
      <c r="B1292" s="696">
        <v>42619.248726851853</v>
      </c>
      <c r="C1292" s="1" t="s">
        <v>495</v>
      </c>
      <c r="E1292" t="s">
        <v>225</v>
      </c>
      <c r="F1292" t="s">
        <v>305</v>
      </c>
      <c r="G1292" s="1" t="s">
        <v>3</v>
      </c>
      <c r="H1292" s="1">
        <v>552936</v>
      </c>
      <c r="I1292" t="s">
        <v>467</v>
      </c>
      <c r="J1292" s="110">
        <v>600615</v>
      </c>
      <c r="K1292" s="4" t="s">
        <v>810</v>
      </c>
      <c r="L1292" s="4">
        <v>25.84</v>
      </c>
    </row>
    <row r="1293" spans="2:12" x14ac:dyDescent="0.2">
      <c r="B1293" s="696">
        <v>42619.25472222222</v>
      </c>
      <c r="C1293" s="1" t="s">
        <v>495</v>
      </c>
      <c r="E1293" t="s">
        <v>225</v>
      </c>
      <c r="F1293" t="s">
        <v>305</v>
      </c>
      <c r="G1293" s="1" t="s">
        <v>3</v>
      </c>
      <c r="H1293" s="1">
        <v>552936</v>
      </c>
      <c r="I1293" t="s">
        <v>467</v>
      </c>
      <c r="J1293" s="110">
        <v>600618</v>
      </c>
      <c r="K1293" s="4" t="s">
        <v>790</v>
      </c>
      <c r="L1293" s="4">
        <v>20.38</v>
      </c>
    </row>
    <row r="1294" spans="2:12" x14ac:dyDescent="0.2">
      <c r="B1294" s="696">
        <v>42618.419212962966</v>
      </c>
      <c r="C1294" s="1" t="s">
        <v>641</v>
      </c>
      <c r="E1294" t="s">
        <v>225</v>
      </c>
      <c r="F1294" t="s">
        <v>305</v>
      </c>
      <c r="G1294" s="1" t="s">
        <v>3</v>
      </c>
      <c r="H1294" s="1">
        <v>551438</v>
      </c>
      <c r="I1294" t="s">
        <v>292</v>
      </c>
      <c r="J1294" s="110">
        <v>44079960</v>
      </c>
      <c r="K1294" s="4">
        <v>95329371</v>
      </c>
      <c r="L1294" s="4">
        <v>60.2</v>
      </c>
    </row>
    <row r="1295" spans="2:12" x14ac:dyDescent="0.2">
      <c r="B1295" s="696">
        <v>42618.420775462961</v>
      </c>
      <c r="C1295" s="1" t="s">
        <v>641</v>
      </c>
      <c r="E1295" t="s">
        <v>225</v>
      </c>
      <c r="F1295" t="s">
        <v>305</v>
      </c>
      <c r="G1295" s="1" t="s">
        <v>3</v>
      </c>
      <c r="H1295" s="1">
        <v>551438</v>
      </c>
      <c r="I1295" t="s">
        <v>292</v>
      </c>
      <c r="J1295" s="110">
        <v>44079960</v>
      </c>
      <c r="K1295" s="4">
        <v>95799581</v>
      </c>
      <c r="L1295" s="4">
        <v>62.1</v>
      </c>
    </row>
    <row r="1296" spans="2:12" x14ac:dyDescent="0.2">
      <c r="B1296" s="696">
        <v>42618.421423611115</v>
      </c>
      <c r="C1296" s="1" t="s">
        <v>641</v>
      </c>
      <c r="E1296" t="s">
        <v>225</v>
      </c>
      <c r="F1296" t="s">
        <v>305</v>
      </c>
      <c r="G1296" s="1" t="s">
        <v>3</v>
      </c>
      <c r="H1296" s="1">
        <v>551438</v>
      </c>
      <c r="I1296" t="s">
        <v>292</v>
      </c>
      <c r="J1296" s="110">
        <v>32041147</v>
      </c>
      <c r="K1296" s="4">
        <v>95613881</v>
      </c>
      <c r="L1296" s="4">
        <v>62.3</v>
      </c>
    </row>
    <row r="1297" spans="2:12" x14ac:dyDescent="0.2">
      <c r="B1297" s="696">
        <v>42618.421886574077</v>
      </c>
      <c r="C1297" s="1" t="s">
        <v>641</v>
      </c>
      <c r="E1297" t="s">
        <v>225</v>
      </c>
      <c r="F1297" t="s">
        <v>305</v>
      </c>
      <c r="G1297" s="1" t="s">
        <v>3</v>
      </c>
      <c r="H1297" s="1">
        <v>551438</v>
      </c>
      <c r="I1297" t="s">
        <v>292</v>
      </c>
      <c r="J1297" s="110">
        <v>32041147</v>
      </c>
      <c r="K1297" s="4">
        <v>95447652</v>
      </c>
      <c r="L1297" s="4">
        <v>62.35</v>
      </c>
    </row>
    <row r="1298" spans="2:12" x14ac:dyDescent="0.2">
      <c r="B1298" s="696">
        <v>42618.422407407408</v>
      </c>
      <c r="C1298" s="1" t="s">
        <v>641</v>
      </c>
      <c r="E1298" t="s">
        <v>225</v>
      </c>
      <c r="F1298" t="s">
        <v>305</v>
      </c>
      <c r="G1298" s="1" t="s">
        <v>3</v>
      </c>
      <c r="H1298" s="1">
        <v>551438</v>
      </c>
      <c r="I1298" t="s">
        <v>292</v>
      </c>
      <c r="J1298" s="110">
        <v>32041147</v>
      </c>
      <c r="K1298" s="4">
        <v>95525226</v>
      </c>
      <c r="L1298" s="4">
        <v>64.25</v>
      </c>
    </row>
    <row r="1299" spans="2:12" x14ac:dyDescent="0.2">
      <c r="B1299" s="696">
        <v>42618.423055555555</v>
      </c>
      <c r="C1299" s="1" t="s">
        <v>641</v>
      </c>
      <c r="E1299" t="s">
        <v>225</v>
      </c>
      <c r="F1299" t="s">
        <v>305</v>
      </c>
      <c r="G1299" s="1" t="s">
        <v>3</v>
      </c>
      <c r="H1299" s="1">
        <v>551438</v>
      </c>
      <c r="I1299" t="s">
        <v>292</v>
      </c>
      <c r="J1299" s="110">
        <v>32041147</v>
      </c>
      <c r="K1299" s="4">
        <v>95524229</v>
      </c>
      <c r="L1299" s="4">
        <v>61.4</v>
      </c>
    </row>
    <row r="1300" spans="2:12" x14ac:dyDescent="0.2">
      <c r="B1300" s="696">
        <v>42618.423587962963</v>
      </c>
      <c r="C1300" s="1" t="s">
        <v>641</v>
      </c>
      <c r="E1300" t="s">
        <v>225</v>
      </c>
      <c r="F1300" t="s">
        <v>305</v>
      </c>
      <c r="G1300" s="1" t="s">
        <v>3</v>
      </c>
      <c r="H1300" s="1">
        <v>551438</v>
      </c>
      <c r="I1300" t="s">
        <v>292</v>
      </c>
      <c r="J1300" s="110">
        <v>32041147</v>
      </c>
      <c r="K1300" s="4">
        <v>95831343</v>
      </c>
      <c r="L1300" s="4">
        <v>61.85</v>
      </c>
    </row>
    <row r="1301" spans="2:12" x14ac:dyDescent="0.2">
      <c r="B1301" s="696">
        <v>42618.424050925925</v>
      </c>
      <c r="C1301" s="1" t="s">
        <v>641</v>
      </c>
      <c r="E1301" t="s">
        <v>225</v>
      </c>
      <c r="F1301" t="s">
        <v>305</v>
      </c>
      <c r="G1301" s="1" t="s">
        <v>3</v>
      </c>
      <c r="H1301" s="1">
        <v>551438</v>
      </c>
      <c r="I1301" t="s">
        <v>292</v>
      </c>
      <c r="J1301" s="110">
        <v>32041147</v>
      </c>
      <c r="K1301" s="4">
        <v>95936860</v>
      </c>
      <c r="L1301" s="4">
        <v>63.9</v>
      </c>
    </row>
    <row r="1302" spans="2:12" x14ac:dyDescent="0.2">
      <c r="B1302" s="696">
        <v>42618.424571759257</v>
      </c>
      <c r="C1302" s="1" t="s">
        <v>641</v>
      </c>
      <c r="E1302" t="s">
        <v>225</v>
      </c>
      <c r="F1302" t="s">
        <v>305</v>
      </c>
      <c r="G1302" s="1" t="s">
        <v>3</v>
      </c>
      <c r="H1302" s="1">
        <v>551438</v>
      </c>
      <c r="I1302" t="s">
        <v>292</v>
      </c>
      <c r="J1302" s="110">
        <v>32041147</v>
      </c>
      <c r="K1302" s="4">
        <v>95366480</v>
      </c>
      <c r="L1302" s="4">
        <v>62.2</v>
      </c>
    </row>
    <row r="1303" spans="2:12" x14ac:dyDescent="0.2">
      <c r="B1303" s="696">
        <v>42618.425081018519</v>
      </c>
      <c r="C1303" s="1" t="s">
        <v>641</v>
      </c>
      <c r="E1303" t="s">
        <v>225</v>
      </c>
      <c r="F1303" t="s">
        <v>305</v>
      </c>
      <c r="G1303" s="1" t="s">
        <v>3</v>
      </c>
      <c r="H1303" s="1">
        <v>551438</v>
      </c>
      <c r="I1303" t="s">
        <v>292</v>
      </c>
      <c r="J1303" s="110">
        <v>32041147</v>
      </c>
      <c r="K1303" s="4">
        <v>95363669</v>
      </c>
      <c r="L1303" s="4">
        <v>62.5</v>
      </c>
    </row>
    <row r="1304" spans="2:12" x14ac:dyDescent="0.2">
      <c r="B1304" s="696">
        <v>42618.774375000001</v>
      </c>
      <c r="C1304" s="1" t="s">
        <v>762</v>
      </c>
      <c r="E1304" t="s">
        <v>225</v>
      </c>
      <c r="F1304" t="s">
        <v>305</v>
      </c>
      <c r="G1304" s="1" t="s">
        <v>3</v>
      </c>
      <c r="H1304" s="1">
        <v>553666</v>
      </c>
      <c r="I1304" t="s">
        <v>643</v>
      </c>
      <c r="J1304" s="110">
        <v>47689617</v>
      </c>
      <c r="K1304" s="4">
        <v>95452009</v>
      </c>
      <c r="L1304" s="4">
        <v>69.400000000000006</v>
      </c>
    </row>
    <row r="1305" spans="2:12" x14ac:dyDescent="0.2">
      <c r="B1305" s="696">
        <v>42618.775462962964</v>
      </c>
      <c r="C1305" s="1" t="s">
        <v>762</v>
      </c>
      <c r="E1305" t="s">
        <v>225</v>
      </c>
      <c r="F1305" t="s">
        <v>305</v>
      </c>
      <c r="G1305" s="1" t="s">
        <v>3</v>
      </c>
      <c r="H1305" s="1">
        <v>553666</v>
      </c>
      <c r="I1305" t="s">
        <v>643</v>
      </c>
      <c r="J1305" s="110">
        <v>47689617</v>
      </c>
      <c r="K1305" s="4">
        <v>95677522</v>
      </c>
      <c r="L1305" s="4">
        <v>69.150000000000006</v>
      </c>
    </row>
    <row r="1306" spans="2:12" x14ac:dyDescent="0.2">
      <c r="B1306" s="696">
        <v>42618.776041666664</v>
      </c>
      <c r="C1306" s="1" t="s">
        <v>762</v>
      </c>
      <c r="E1306" t="s">
        <v>225</v>
      </c>
      <c r="F1306" t="s">
        <v>305</v>
      </c>
      <c r="G1306" s="1" t="s">
        <v>3</v>
      </c>
      <c r="H1306" s="1">
        <v>553666</v>
      </c>
      <c r="I1306" t="s">
        <v>643</v>
      </c>
      <c r="J1306" s="110">
        <v>47689617</v>
      </c>
      <c r="K1306" s="4">
        <v>95449062</v>
      </c>
      <c r="L1306" s="4">
        <v>69.45</v>
      </c>
    </row>
    <row r="1307" spans="2:12" x14ac:dyDescent="0.2">
      <c r="B1307" s="696">
        <v>42618.776631944442</v>
      </c>
      <c r="C1307" s="1" t="s">
        <v>820</v>
      </c>
      <c r="E1307" t="s">
        <v>225</v>
      </c>
      <c r="F1307" t="s">
        <v>305</v>
      </c>
      <c r="G1307" s="1" t="s">
        <v>3</v>
      </c>
      <c r="H1307" s="1">
        <v>553619</v>
      </c>
      <c r="I1307" t="s">
        <v>643</v>
      </c>
      <c r="J1307" s="110">
        <v>40508632</v>
      </c>
      <c r="K1307" s="4">
        <v>95631073</v>
      </c>
      <c r="L1307" s="4">
        <v>70.400000000000006</v>
      </c>
    </row>
    <row r="1308" spans="2:12" x14ac:dyDescent="0.2">
      <c r="B1308" s="696">
        <v>42618.777141203704</v>
      </c>
      <c r="C1308" s="1" t="s">
        <v>820</v>
      </c>
      <c r="E1308" t="s">
        <v>225</v>
      </c>
      <c r="F1308" t="s">
        <v>305</v>
      </c>
      <c r="G1308" s="1" t="s">
        <v>3</v>
      </c>
      <c r="H1308" s="1">
        <v>553619</v>
      </c>
      <c r="I1308" t="s">
        <v>643</v>
      </c>
      <c r="J1308" s="110">
        <v>40508632</v>
      </c>
      <c r="K1308" s="4">
        <v>95641353</v>
      </c>
      <c r="L1308" s="4">
        <v>69.849999999999994</v>
      </c>
    </row>
    <row r="1309" spans="2:12" x14ac:dyDescent="0.2">
      <c r="B1309" s="696">
        <v>42618.777638888889</v>
      </c>
      <c r="C1309" s="1" t="s">
        <v>820</v>
      </c>
      <c r="E1309" t="s">
        <v>225</v>
      </c>
      <c r="F1309" t="s">
        <v>305</v>
      </c>
      <c r="G1309" s="1" t="s">
        <v>3</v>
      </c>
      <c r="H1309" s="1">
        <v>553619</v>
      </c>
      <c r="I1309" t="s">
        <v>643</v>
      </c>
      <c r="J1309" s="110">
        <v>40508632</v>
      </c>
      <c r="K1309" s="4">
        <v>95796256</v>
      </c>
      <c r="L1309" s="4">
        <v>69.099999999999994</v>
      </c>
    </row>
    <row r="1310" spans="2:12" x14ac:dyDescent="0.2">
      <c r="B1310" s="696">
        <v>42619.097337962965</v>
      </c>
      <c r="C1310" s="1" t="s">
        <v>818</v>
      </c>
      <c r="E1310" t="s">
        <v>225</v>
      </c>
      <c r="F1310" t="s">
        <v>305</v>
      </c>
      <c r="G1310" s="1" t="s">
        <v>3</v>
      </c>
      <c r="H1310" s="1">
        <v>553036</v>
      </c>
      <c r="I1310" t="s">
        <v>292</v>
      </c>
      <c r="J1310" s="110">
        <v>50693944</v>
      </c>
      <c r="K1310" s="4">
        <v>95636569</v>
      </c>
      <c r="L1310" s="4">
        <v>68.55</v>
      </c>
    </row>
    <row r="1311" spans="2:12" x14ac:dyDescent="0.2">
      <c r="B1311" s="696">
        <v>42619.09815972222</v>
      </c>
      <c r="C1311" s="1" t="s">
        <v>818</v>
      </c>
      <c r="E1311" t="s">
        <v>225</v>
      </c>
      <c r="F1311" t="s">
        <v>305</v>
      </c>
      <c r="G1311" s="1" t="s">
        <v>3</v>
      </c>
      <c r="H1311" s="1">
        <v>553036</v>
      </c>
      <c r="I1311" t="s">
        <v>292</v>
      </c>
      <c r="J1311" s="110">
        <v>50693944</v>
      </c>
      <c r="K1311" s="4">
        <v>95375309</v>
      </c>
      <c r="L1311" s="4">
        <v>63</v>
      </c>
    </row>
    <row r="1312" spans="2:12" x14ac:dyDescent="0.2">
      <c r="B1312" s="696">
        <v>42619.098761574074</v>
      </c>
      <c r="C1312" s="1" t="s">
        <v>818</v>
      </c>
      <c r="E1312" t="s">
        <v>225</v>
      </c>
      <c r="F1312" t="s">
        <v>305</v>
      </c>
      <c r="G1312" s="1" t="s">
        <v>3</v>
      </c>
      <c r="H1312" s="1">
        <v>553036</v>
      </c>
      <c r="I1312" t="s">
        <v>292</v>
      </c>
      <c r="J1312" s="110">
        <v>50693944</v>
      </c>
      <c r="K1312" s="4">
        <v>95317913</v>
      </c>
      <c r="L1312" s="4">
        <v>66.8</v>
      </c>
    </row>
    <row r="1313" spans="2:12" x14ac:dyDescent="0.2">
      <c r="B1313" s="696">
        <v>42619.099444444444</v>
      </c>
      <c r="C1313" s="1" t="s">
        <v>818</v>
      </c>
      <c r="E1313" t="s">
        <v>225</v>
      </c>
      <c r="F1313" t="s">
        <v>305</v>
      </c>
      <c r="G1313" s="1" t="s">
        <v>3</v>
      </c>
      <c r="H1313" s="1">
        <v>553036</v>
      </c>
      <c r="I1313" t="s">
        <v>292</v>
      </c>
      <c r="J1313" s="110">
        <v>50693944</v>
      </c>
      <c r="K1313" s="4">
        <v>95631107</v>
      </c>
      <c r="L1313" s="4">
        <v>58.35</v>
      </c>
    </row>
    <row r="1314" spans="2:12" x14ac:dyDescent="0.2">
      <c r="B1314" s="696">
        <v>42619.101099537038</v>
      </c>
      <c r="C1314" s="1" t="s">
        <v>818</v>
      </c>
      <c r="E1314" t="s">
        <v>225</v>
      </c>
      <c r="F1314" t="s">
        <v>305</v>
      </c>
      <c r="G1314" s="1" t="s">
        <v>3</v>
      </c>
      <c r="H1314" s="1">
        <v>553036</v>
      </c>
      <c r="I1314" t="s">
        <v>643</v>
      </c>
      <c r="J1314" s="110">
        <v>50665900</v>
      </c>
      <c r="K1314" s="4">
        <v>95527669</v>
      </c>
      <c r="L1314" s="4">
        <v>69.55</v>
      </c>
    </row>
    <row r="1315" spans="2:12" x14ac:dyDescent="0.2">
      <c r="B1315" s="696">
        <v>42619.101724537039</v>
      </c>
      <c r="C1315" s="1" t="s">
        <v>818</v>
      </c>
      <c r="E1315" t="s">
        <v>225</v>
      </c>
      <c r="F1315" t="s">
        <v>305</v>
      </c>
      <c r="G1315" s="1" t="s">
        <v>3</v>
      </c>
      <c r="H1315" s="1">
        <v>553036</v>
      </c>
      <c r="I1315" t="s">
        <v>643</v>
      </c>
      <c r="J1315" s="110">
        <v>50665900</v>
      </c>
      <c r="K1315" s="4">
        <v>95395687</v>
      </c>
      <c r="L1315" s="4">
        <v>69.7</v>
      </c>
    </row>
    <row r="1316" spans="2:12" x14ac:dyDescent="0.2">
      <c r="B1316" s="696">
        <v>42619.10229166667</v>
      </c>
      <c r="C1316" s="1" t="s">
        <v>818</v>
      </c>
      <c r="E1316" t="s">
        <v>225</v>
      </c>
      <c r="F1316" t="s">
        <v>305</v>
      </c>
      <c r="G1316" s="1" t="s">
        <v>3</v>
      </c>
      <c r="H1316" s="1">
        <v>553036</v>
      </c>
      <c r="I1316" t="s">
        <v>643</v>
      </c>
      <c r="J1316" s="110">
        <v>50665900</v>
      </c>
      <c r="K1316" s="4">
        <v>95800421</v>
      </c>
      <c r="L1316" s="4">
        <v>69.3</v>
      </c>
    </row>
    <row r="1317" spans="2:12" x14ac:dyDescent="0.2">
      <c r="B1317" s="696">
        <v>42619.102789351855</v>
      </c>
      <c r="C1317" s="1" t="s">
        <v>818</v>
      </c>
      <c r="E1317" t="s">
        <v>225</v>
      </c>
      <c r="F1317" t="s">
        <v>305</v>
      </c>
      <c r="G1317" s="1" t="s">
        <v>3</v>
      </c>
      <c r="H1317" s="1">
        <v>553036</v>
      </c>
      <c r="I1317" t="s">
        <v>292</v>
      </c>
      <c r="J1317" s="110">
        <v>50693944</v>
      </c>
      <c r="K1317" s="4">
        <v>95613717</v>
      </c>
      <c r="L1317" s="4">
        <v>69.349999999999994</v>
      </c>
    </row>
    <row r="1318" spans="2:12" x14ac:dyDescent="0.2">
      <c r="B1318" s="696">
        <v>42619.190405092595</v>
      </c>
      <c r="C1318" s="1" t="s">
        <v>641</v>
      </c>
      <c r="E1318" t="s">
        <v>225</v>
      </c>
      <c r="F1318" t="s">
        <v>305</v>
      </c>
      <c r="G1318" s="1" t="s">
        <v>3</v>
      </c>
      <c r="H1318" s="1">
        <v>551438</v>
      </c>
      <c r="I1318" t="s">
        <v>292</v>
      </c>
      <c r="J1318" s="110">
        <v>44091007</v>
      </c>
      <c r="K1318" s="4">
        <v>95667606</v>
      </c>
      <c r="L1318" s="4">
        <v>62.65</v>
      </c>
    </row>
    <row r="1319" spans="2:12" x14ac:dyDescent="0.2">
      <c r="B1319" s="696">
        <v>42619.191423611112</v>
      </c>
      <c r="C1319" s="1" t="s">
        <v>641</v>
      </c>
      <c r="E1319" t="s">
        <v>225</v>
      </c>
      <c r="F1319" t="s">
        <v>305</v>
      </c>
      <c r="G1319" s="1" t="s">
        <v>3</v>
      </c>
      <c r="H1319" s="1">
        <v>551438</v>
      </c>
      <c r="I1319" t="s">
        <v>292</v>
      </c>
      <c r="J1319" s="110">
        <v>44091007</v>
      </c>
      <c r="K1319" s="4">
        <v>95831947</v>
      </c>
      <c r="L1319" s="4">
        <v>63.15</v>
      </c>
    </row>
    <row r="1320" spans="2:12" x14ac:dyDescent="0.2">
      <c r="B1320" s="696">
        <v>42619.191944444443</v>
      </c>
      <c r="C1320" s="1" t="s">
        <v>641</v>
      </c>
      <c r="E1320" t="s">
        <v>225</v>
      </c>
      <c r="F1320" t="s">
        <v>305</v>
      </c>
      <c r="G1320" s="1" t="s">
        <v>3</v>
      </c>
      <c r="H1320" s="1">
        <v>551438</v>
      </c>
      <c r="I1320" t="s">
        <v>292</v>
      </c>
      <c r="J1320" s="110">
        <v>44091007</v>
      </c>
      <c r="K1320" s="4">
        <v>95517009</v>
      </c>
      <c r="L1320" s="4">
        <v>64.099999999999994</v>
      </c>
    </row>
    <row r="1321" spans="2:12" x14ac:dyDescent="0.2">
      <c r="B1321" s="696">
        <v>42619.192418981482</v>
      </c>
      <c r="C1321" s="1" t="s">
        <v>641</v>
      </c>
      <c r="E1321" t="s">
        <v>225</v>
      </c>
      <c r="F1321" t="s">
        <v>305</v>
      </c>
      <c r="G1321" s="1" t="s">
        <v>3</v>
      </c>
      <c r="H1321" s="1">
        <v>551438</v>
      </c>
      <c r="I1321" t="s">
        <v>292</v>
      </c>
      <c r="J1321" s="110">
        <v>44099828</v>
      </c>
      <c r="K1321" s="4">
        <v>95447108</v>
      </c>
      <c r="L1321" s="4">
        <v>61</v>
      </c>
    </row>
    <row r="1322" spans="2:12" x14ac:dyDescent="0.2">
      <c r="B1322" s="696">
        <v>42619.193055555559</v>
      </c>
      <c r="C1322" s="1" t="s">
        <v>641</v>
      </c>
      <c r="E1322" t="s">
        <v>225</v>
      </c>
      <c r="F1322" t="s">
        <v>305</v>
      </c>
      <c r="G1322" s="1" t="s">
        <v>3</v>
      </c>
      <c r="H1322" s="1">
        <v>551438</v>
      </c>
      <c r="I1322" t="s">
        <v>292</v>
      </c>
      <c r="J1322" s="110">
        <v>44099828</v>
      </c>
      <c r="K1322" s="4">
        <v>95372553</v>
      </c>
      <c r="L1322" s="4">
        <v>61.3</v>
      </c>
    </row>
    <row r="1323" spans="2:12" x14ac:dyDescent="0.2">
      <c r="B1323" s="696">
        <v>42619.193784722222</v>
      </c>
      <c r="C1323" s="1" t="s">
        <v>641</v>
      </c>
      <c r="E1323" t="s">
        <v>225</v>
      </c>
      <c r="F1323" t="s">
        <v>305</v>
      </c>
      <c r="G1323" s="1" t="s">
        <v>3</v>
      </c>
      <c r="H1323" s="1">
        <v>551438</v>
      </c>
      <c r="I1323" t="s">
        <v>292</v>
      </c>
      <c r="J1323" s="110">
        <v>44099828</v>
      </c>
      <c r="K1323" s="4">
        <v>95638474</v>
      </c>
      <c r="L1323" s="4">
        <v>61.2</v>
      </c>
    </row>
    <row r="1324" spans="2:12" x14ac:dyDescent="0.2">
      <c r="B1324" s="696">
        <v>42619.194398148145</v>
      </c>
      <c r="C1324" s="1" t="s">
        <v>641</v>
      </c>
      <c r="E1324" t="s">
        <v>225</v>
      </c>
      <c r="F1324" t="s">
        <v>305</v>
      </c>
      <c r="G1324" s="1" t="s">
        <v>3</v>
      </c>
      <c r="H1324" s="1">
        <v>551438</v>
      </c>
      <c r="I1324" t="s">
        <v>292</v>
      </c>
      <c r="J1324" s="110">
        <v>44099828</v>
      </c>
      <c r="K1324" s="4">
        <v>95679585</v>
      </c>
      <c r="L1324" s="4">
        <v>62.8</v>
      </c>
    </row>
    <row r="1325" spans="2:12" x14ac:dyDescent="0.2">
      <c r="B1325" s="696">
        <v>42619.194849537038</v>
      </c>
      <c r="C1325" s="1" t="s">
        <v>641</v>
      </c>
      <c r="E1325" t="s">
        <v>225</v>
      </c>
      <c r="F1325" t="s">
        <v>305</v>
      </c>
      <c r="G1325" s="1" t="s">
        <v>3</v>
      </c>
      <c r="H1325" s="1">
        <v>551438</v>
      </c>
      <c r="I1325" t="s">
        <v>292</v>
      </c>
      <c r="J1325" s="110">
        <v>44091007</v>
      </c>
      <c r="K1325" s="4">
        <v>95390324</v>
      </c>
      <c r="L1325" s="4">
        <v>59.25</v>
      </c>
    </row>
    <row r="1326" spans="2:12" x14ac:dyDescent="0.2">
      <c r="B1326" s="696">
        <v>42619.1952662037</v>
      </c>
      <c r="C1326" s="1" t="s">
        <v>641</v>
      </c>
      <c r="E1326" t="s">
        <v>225</v>
      </c>
      <c r="F1326" t="s">
        <v>305</v>
      </c>
      <c r="G1326" s="1" t="s">
        <v>3</v>
      </c>
      <c r="H1326" s="1">
        <v>551438</v>
      </c>
      <c r="I1326" t="s">
        <v>292</v>
      </c>
      <c r="J1326" s="110">
        <v>44091007</v>
      </c>
      <c r="K1326" s="4">
        <v>95331880</v>
      </c>
      <c r="L1326" s="4">
        <v>58.85</v>
      </c>
    </row>
    <row r="1327" spans="2:12" x14ac:dyDescent="0.2">
      <c r="B1327" s="696">
        <v>42619.195879629631</v>
      </c>
      <c r="C1327" s="1" t="s">
        <v>641</v>
      </c>
      <c r="E1327" t="s">
        <v>225</v>
      </c>
      <c r="F1327" t="s">
        <v>305</v>
      </c>
      <c r="G1327" s="1" t="s">
        <v>3</v>
      </c>
      <c r="H1327" s="1">
        <v>551438</v>
      </c>
      <c r="I1327" t="s">
        <v>292</v>
      </c>
      <c r="J1327" s="110">
        <v>44091007</v>
      </c>
      <c r="K1327" s="4">
        <v>95652368</v>
      </c>
      <c r="L1327" s="4">
        <v>62.75</v>
      </c>
    </row>
    <row r="1328" spans="2:12" x14ac:dyDescent="0.2">
      <c r="B1328" s="696">
        <v>42619.199861111112</v>
      </c>
      <c r="C1328" s="1" t="s">
        <v>818</v>
      </c>
      <c r="E1328" t="s">
        <v>225</v>
      </c>
      <c r="F1328" t="s">
        <v>305</v>
      </c>
      <c r="G1328" s="1" t="s">
        <v>3</v>
      </c>
      <c r="H1328" s="1">
        <v>553036</v>
      </c>
      <c r="I1328" t="s">
        <v>292</v>
      </c>
      <c r="J1328" s="110">
        <v>50641950</v>
      </c>
      <c r="K1328" s="4">
        <v>95679072</v>
      </c>
      <c r="L1328" s="4">
        <v>66.900000000000006</v>
      </c>
    </row>
    <row r="1329" spans="2:12" x14ac:dyDescent="0.2">
      <c r="B1329" s="696">
        <v>42619.200520833336</v>
      </c>
      <c r="C1329" s="1" t="s">
        <v>818</v>
      </c>
      <c r="E1329" t="s">
        <v>225</v>
      </c>
      <c r="F1329" t="s">
        <v>305</v>
      </c>
      <c r="G1329" s="1" t="s">
        <v>3</v>
      </c>
      <c r="H1329" s="1">
        <v>553036</v>
      </c>
      <c r="I1329" t="s">
        <v>292</v>
      </c>
      <c r="J1329" s="110">
        <v>50641950</v>
      </c>
      <c r="K1329" s="4">
        <v>95643045</v>
      </c>
      <c r="L1329" s="4">
        <v>63.3</v>
      </c>
    </row>
    <row r="1330" spans="2:12" x14ac:dyDescent="0.2">
      <c r="B1330" s="696">
        <v>42619.201377314814</v>
      </c>
      <c r="C1330" s="1" t="s">
        <v>818</v>
      </c>
      <c r="E1330" t="s">
        <v>225</v>
      </c>
      <c r="F1330" t="s">
        <v>305</v>
      </c>
      <c r="G1330" s="1" t="s">
        <v>3</v>
      </c>
      <c r="H1330" s="1">
        <v>553036</v>
      </c>
      <c r="I1330" t="s">
        <v>292</v>
      </c>
      <c r="J1330" s="110">
        <v>50641950</v>
      </c>
      <c r="K1330" s="4">
        <v>95681938</v>
      </c>
      <c r="L1330" s="4">
        <v>67.45</v>
      </c>
    </row>
    <row r="1331" spans="2:12" x14ac:dyDescent="0.2">
      <c r="B1331" s="696">
        <v>42619.202094907407</v>
      </c>
      <c r="C1331" s="1" t="s">
        <v>818</v>
      </c>
      <c r="E1331" t="s">
        <v>225</v>
      </c>
      <c r="F1331" t="s">
        <v>305</v>
      </c>
      <c r="G1331" s="1" t="s">
        <v>3</v>
      </c>
      <c r="H1331" s="1">
        <v>553036</v>
      </c>
      <c r="I1331" t="s">
        <v>292</v>
      </c>
      <c r="J1331" s="110">
        <v>50641950</v>
      </c>
      <c r="K1331" s="4">
        <v>95524088</v>
      </c>
      <c r="L1331" s="4">
        <v>69.849999999999994</v>
      </c>
    </row>
    <row r="1332" spans="2:12" x14ac:dyDescent="0.2">
      <c r="B1332" s="696">
        <v>42619.26363425926</v>
      </c>
      <c r="C1332" s="1" t="s">
        <v>408</v>
      </c>
      <c r="E1332" t="s">
        <v>225</v>
      </c>
      <c r="F1332" t="s">
        <v>305</v>
      </c>
      <c r="G1332" s="1" t="s">
        <v>3</v>
      </c>
      <c r="H1332" s="1">
        <v>553894</v>
      </c>
      <c r="I1332" t="s">
        <v>292</v>
      </c>
      <c r="J1332" s="110">
        <v>358849</v>
      </c>
      <c r="K1332" s="4" t="s">
        <v>665</v>
      </c>
      <c r="L1332" s="4">
        <v>26.1</v>
      </c>
    </row>
    <row r="1333" spans="2:12" x14ac:dyDescent="0.2">
      <c r="B1333" s="696">
        <v>42619.270856481482</v>
      </c>
      <c r="C1333" s="1" t="s">
        <v>408</v>
      </c>
      <c r="E1333" t="s">
        <v>225</v>
      </c>
      <c r="F1333" t="s">
        <v>305</v>
      </c>
      <c r="G1333" s="1" t="s">
        <v>3</v>
      </c>
      <c r="H1333" s="1">
        <v>553894</v>
      </c>
      <c r="I1333" t="s">
        <v>643</v>
      </c>
      <c r="J1333" s="110">
        <v>359306</v>
      </c>
      <c r="K1333" s="4" t="s">
        <v>675</v>
      </c>
      <c r="L1333" s="4">
        <v>26.48</v>
      </c>
    </row>
    <row r="1334" spans="2:12" x14ac:dyDescent="0.2">
      <c r="B1334" s="1" t="s">
        <v>851</v>
      </c>
      <c r="C1334" s="1" t="s">
        <v>868</v>
      </c>
      <c r="E1334" t="s">
        <v>225</v>
      </c>
      <c r="F1334" t="s">
        <v>305</v>
      </c>
      <c r="G1334" s="1" t="s">
        <v>3</v>
      </c>
      <c r="H1334" s="1">
        <v>553970</v>
      </c>
      <c r="I1334" t="s">
        <v>870</v>
      </c>
      <c r="J1334" s="110">
        <v>273646</v>
      </c>
      <c r="K1334" s="4" t="s">
        <v>860</v>
      </c>
      <c r="L1334" s="4">
        <v>22.02</v>
      </c>
    </row>
    <row r="1335" spans="2:12" x14ac:dyDescent="0.2">
      <c r="B1335" s="1" t="s">
        <v>852</v>
      </c>
      <c r="C1335" s="1" t="s">
        <v>868</v>
      </c>
      <c r="E1335" t="s">
        <v>225</v>
      </c>
      <c r="F1335" t="s">
        <v>305</v>
      </c>
      <c r="G1335" s="1" t="s">
        <v>3</v>
      </c>
      <c r="H1335" s="1">
        <v>553970</v>
      </c>
      <c r="I1335" t="s">
        <v>870</v>
      </c>
      <c r="J1335" s="110">
        <v>273647</v>
      </c>
      <c r="K1335" s="4" t="s">
        <v>861</v>
      </c>
      <c r="L1335" s="4">
        <v>23.26</v>
      </c>
    </row>
    <row r="1336" spans="2:12" x14ac:dyDescent="0.2">
      <c r="B1336" s="1" t="s">
        <v>853</v>
      </c>
      <c r="C1336" s="1" t="s">
        <v>868</v>
      </c>
      <c r="E1336" t="s">
        <v>225</v>
      </c>
      <c r="F1336" t="s">
        <v>305</v>
      </c>
      <c r="G1336" s="1" t="s">
        <v>3</v>
      </c>
      <c r="H1336" s="1">
        <v>553970</v>
      </c>
      <c r="I1336" t="s">
        <v>870</v>
      </c>
      <c r="J1336" s="110">
        <v>273649</v>
      </c>
      <c r="K1336" s="4" t="s">
        <v>862</v>
      </c>
      <c r="L1336" s="4">
        <v>22.06</v>
      </c>
    </row>
    <row r="1337" spans="2:12" x14ac:dyDescent="0.2">
      <c r="B1337" s="1" t="s">
        <v>854</v>
      </c>
      <c r="C1337" s="1" t="s">
        <v>868</v>
      </c>
      <c r="E1337" t="s">
        <v>225</v>
      </c>
      <c r="F1337" t="s">
        <v>305</v>
      </c>
      <c r="G1337" s="1" t="s">
        <v>3</v>
      </c>
      <c r="H1337" s="1">
        <v>553970</v>
      </c>
      <c r="I1337" t="s">
        <v>870</v>
      </c>
      <c r="J1337" s="110">
        <v>273642</v>
      </c>
      <c r="K1337" s="4" t="s">
        <v>863</v>
      </c>
      <c r="L1337" s="4">
        <v>22.88</v>
      </c>
    </row>
    <row r="1338" spans="2:12" x14ac:dyDescent="0.2">
      <c r="B1338" s="1" t="s">
        <v>855</v>
      </c>
      <c r="C1338" s="1" t="s">
        <v>868</v>
      </c>
      <c r="E1338" t="s">
        <v>225</v>
      </c>
      <c r="F1338" t="s">
        <v>305</v>
      </c>
      <c r="G1338" s="1" t="s">
        <v>3</v>
      </c>
      <c r="H1338" s="1">
        <v>553970</v>
      </c>
      <c r="I1338" t="s">
        <v>870</v>
      </c>
      <c r="J1338" s="110">
        <v>273643</v>
      </c>
      <c r="K1338" s="4" t="s">
        <v>450</v>
      </c>
      <c r="L1338" s="4">
        <v>23.5</v>
      </c>
    </row>
    <row r="1339" spans="2:12" x14ac:dyDescent="0.2">
      <c r="B1339" s="1" t="s">
        <v>856</v>
      </c>
      <c r="C1339" s="1" t="s">
        <v>868</v>
      </c>
      <c r="E1339" t="s">
        <v>225</v>
      </c>
      <c r="F1339" t="s">
        <v>305</v>
      </c>
      <c r="G1339" s="1" t="s">
        <v>3</v>
      </c>
      <c r="H1339" s="1">
        <v>553970</v>
      </c>
      <c r="I1339" t="s">
        <v>870</v>
      </c>
      <c r="J1339" s="110">
        <v>350346</v>
      </c>
      <c r="K1339" s="4" t="s">
        <v>864</v>
      </c>
      <c r="L1339" s="4">
        <v>25.78</v>
      </c>
    </row>
    <row r="1340" spans="2:12" x14ac:dyDescent="0.2">
      <c r="B1340" s="1" t="s">
        <v>857</v>
      </c>
      <c r="C1340" s="1" t="s">
        <v>868</v>
      </c>
      <c r="E1340" t="s">
        <v>225</v>
      </c>
      <c r="F1340" t="s">
        <v>305</v>
      </c>
      <c r="G1340" s="1" t="s">
        <v>3</v>
      </c>
      <c r="H1340" s="1">
        <v>553970</v>
      </c>
      <c r="I1340" t="s">
        <v>870</v>
      </c>
      <c r="J1340" s="110">
        <v>348419</v>
      </c>
      <c r="K1340" s="4" t="s">
        <v>865</v>
      </c>
      <c r="L1340" s="4">
        <v>19.3</v>
      </c>
    </row>
    <row r="1341" spans="2:12" x14ac:dyDescent="0.2">
      <c r="B1341" s="1" t="s">
        <v>858</v>
      </c>
      <c r="C1341" s="1" t="s">
        <v>868</v>
      </c>
      <c r="E1341" t="s">
        <v>225</v>
      </c>
      <c r="F1341" t="s">
        <v>305</v>
      </c>
      <c r="G1341" s="1" t="s">
        <v>3</v>
      </c>
      <c r="H1341" s="1">
        <v>553970</v>
      </c>
      <c r="I1341" t="s">
        <v>870</v>
      </c>
      <c r="J1341" s="110">
        <v>348418</v>
      </c>
      <c r="K1341" s="4" t="s">
        <v>866</v>
      </c>
      <c r="L1341" s="4">
        <v>20.68</v>
      </c>
    </row>
    <row r="1342" spans="2:12" x14ac:dyDescent="0.2">
      <c r="B1342" s="1" t="s">
        <v>859</v>
      </c>
      <c r="C1342" s="1" t="s">
        <v>868</v>
      </c>
      <c r="E1342" t="s">
        <v>225</v>
      </c>
      <c r="F1342" t="s">
        <v>305</v>
      </c>
      <c r="G1342" s="1" t="s">
        <v>3</v>
      </c>
      <c r="H1342" s="1">
        <v>553970</v>
      </c>
      <c r="I1342" t="s">
        <v>870</v>
      </c>
      <c r="J1342" s="110">
        <v>330064</v>
      </c>
      <c r="K1342" s="4" t="s">
        <v>867</v>
      </c>
      <c r="L1342" s="4">
        <v>21.4</v>
      </c>
    </row>
    <row r="1343" spans="2:12" x14ac:dyDescent="0.2">
      <c r="B1343" s="696">
        <v>42618.774988425925</v>
      </c>
      <c r="C1343" s="1" t="s">
        <v>495</v>
      </c>
      <c r="E1343" t="s">
        <v>225</v>
      </c>
      <c r="F1343" t="s">
        <v>305</v>
      </c>
      <c r="G1343" s="1" t="s">
        <v>3</v>
      </c>
      <c r="H1343" s="1">
        <v>553017</v>
      </c>
      <c r="I1343" t="s">
        <v>643</v>
      </c>
      <c r="J1343" s="110">
        <v>47689625</v>
      </c>
      <c r="K1343" s="4">
        <v>95794269</v>
      </c>
      <c r="L1343" s="4">
        <v>68.5</v>
      </c>
    </row>
    <row r="1344" spans="2:12" x14ac:dyDescent="0.2">
      <c r="B1344" s="749">
        <v>42619</v>
      </c>
      <c r="C1344" s="1" t="s">
        <v>871</v>
      </c>
      <c r="E1344" t="s">
        <v>225</v>
      </c>
      <c r="F1344" s="750" t="s">
        <v>784</v>
      </c>
      <c r="G1344" s="1" t="s">
        <v>3</v>
      </c>
      <c r="H1344" s="1">
        <v>552825</v>
      </c>
      <c r="I1344" t="s">
        <v>467</v>
      </c>
      <c r="J1344" s="110">
        <v>34993717</v>
      </c>
      <c r="K1344" s="4">
        <v>95319075</v>
      </c>
      <c r="L1344" s="4">
        <v>68.239999999999995</v>
      </c>
    </row>
    <row r="1345" spans="2:12" x14ac:dyDescent="0.2">
      <c r="B1345" s="749">
        <v>42619</v>
      </c>
      <c r="C1345" s="1" t="s">
        <v>871</v>
      </c>
      <c r="E1345" t="s">
        <v>225</v>
      </c>
      <c r="F1345" s="750" t="s">
        <v>784</v>
      </c>
      <c r="G1345" s="1" t="s">
        <v>3</v>
      </c>
      <c r="H1345" s="1">
        <v>552825</v>
      </c>
      <c r="I1345" t="s">
        <v>467</v>
      </c>
      <c r="J1345" s="110">
        <v>34993717</v>
      </c>
      <c r="K1345" s="4">
        <v>95641122</v>
      </c>
      <c r="L1345" s="4">
        <v>69.47</v>
      </c>
    </row>
    <row r="1346" spans="2:12" x14ac:dyDescent="0.2">
      <c r="B1346" s="749">
        <v>42619</v>
      </c>
      <c r="C1346" s="1" t="s">
        <v>871</v>
      </c>
      <c r="E1346" t="s">
        <v>225</v>
      </c>
      <c r="F1346" s="750" t="s">
        <v>784</v>
      </c>
      <c r="G1346" s="1" t="s">
        <v>3</v>
      </c>
      <c r="H1346" s="1">
        <v>552825</v>
      </c>
      <c r="I1346" t="s">
        <v>467</v>
      </c>
      <c r="J1346" s="110">
        <v>34993717</v>
      </c>
      <c r="K1346" s="4">
        <v>95801254</v>
      </c>
      <c r="L1346" s="4">
        <v>68.260000000000005</v>
      </c>
    </row>
    <row r="1347" spans="2:12" x14ac:dyDescent="0.2">
      <c r="B1347" s="749">
        <v>42619</v>
      </c>
      <c r="C1347" s="1" t="s">
        <v>871</v>
      </c>
      <c r="E1347" t="s">
        <v>225</v>
      </c>
      <c r="F1347" s="750" t="s">
        <v>784</v>
      </c>
      <c r="G1347" s="1" t="s">
        <v>3</v>
      </c>
      <c r="H1347" s="1">
        <v>552825</v>
      </c>
      <c r="I1347" t="s">
        <v>467</v>
      </c>
      <c r="J1347" s="110">
        <v>34993717</v>
      </c>
      <c r="K1347" s="4">
        <v>95356952</v>
      </c>
      <c r="L1347" s="4">
        <v>69.42</v>
      </c>
    </row>
    <row r="1348" spans="2:12" x14ac:dyDescent="0.2">
      <c r="B1348" s="749">
        <v>42619</v>
      </c>
      <c r="C1348" s="1" t="s">
        <v>871</v>
      </c>
      <c r="E1348" t="s">
        <v>225</v>
      </c>
      <c r="F1348" s="750" t="s">
        <v>784</v>
      </c>
      <c r="G1348" s="1" t="s">
        <v>3</v>
      </c>
      <c r="H1348" s="1">
        <v>552825</v>
      </c>
      <c r="I1348" t="s">
        <v>467</v>
      </c>
      <c r="J1348" s="110">
        <v>34993717</v>
      </c>
      <c r="K1348" s="4">
        <v>95639142</v>
      </c>
      <c r="L1348" s="4">
        <v>68.91</v>
      </c>
    </row>
    <row r="1349" spans="2:12" x14ac:dyDescent="0.2">
      <c r="B1349" s="749">
        <v>42619</v>
      </c>
      <c r="C1349" s="1" t="s">
        <v>871</v>
      </c>
      <c r="E1349" t="s">
        <v>225</v>
      </c>
      <c r="F1349" s="750" t="s">
        <v>784</v>
      </c>
      <c r="G1349" s="1" t="s">
        <v>3</v>
      </c>
      <c r="H1349" s="1">
        <v>552825</v>
      </c>
      <c r="I1349" t="s">
        <v>467</v>
      </c>
      <c r="J1349" s="110">
        <v>34993717</v>
      </c>
      <c r="K1349" s="4">
        <v>95310447</v>
      </c>
      <c r="L1349" s="4">
        <v>64.37</v>
      </c>
    </row>
    <row r="1350" spans="2:12" x14ac:dyDescent="0.2">
      <c r="B1350" s="749">
        <v>42619</v>
      </c>
      <c r="C1350" s="1" t="s">
        <v>871</v>
      </c>
      <c r="E1350" t="s">
        <v>225</v>
      </c>
      <c r="F1350" s="750" t="s">
        <v>784</v>
      </c>
      <c r="G1350" s="1" t="s">
        <v>3</v>
      </c>
      <c r="H1350" s="1">
        <v>552825</v>
      </c>
      <c r="I1350" t="s">
        <v>467</v>
      </c>
      <c r="J1350" s="110">
        <v>34993717</v>
      </c>
      <c r="K1350" s="4">
        <v>95523205</v>
      </c>
      <c r="L1350" s="4">
        <v>68.900000000000006</v>
      </c>
    </row>
    <row r="1351" spans="2:12" x14ac:dyDescent="0.2">
      <c r="B1351" s="749">
        <v>42619</v>
      </c>
      <c r="C1351" s="1" t="s">
        <v>871</v>
      </c>
      <c r="E1351" t="s">
        <v>225</v>
      </c>
      <c r="F1351" s="750" t="s">
        <v>784</v>
      </c>
      <c r="G1351" s="1" t="s">
        <v>3</v>
      </c>
      <c r="H1351" s="1">
        <v>552825</v>
      </c>
      <c r="I1351" t="s">
        <v>467</v>
      </c>
      <c r="J1351" s="110">
        <v>34993717</v>
      </c>
      <c r="K1351" s="4">
        <v>95639159</v>
      </c>
      <c r="L1351" s="4">
        <v>68.8</v>
      </c>
    </row>
    <row r="1352" spans="2:12" x14ac:dyDescent="0.2">
      <c r="B1352" s="749">
        <v>42619</v>
      </c>
      <c r="C1352" s="1" t="s">
        <v>871</v>
      </c>
      <c r="E1352" t="s">
        <v>225</v>
      </c>
      <c r="F1352" s="750" t="s">
        <v>784</v>
      </c>
      <c r="G1352" s="1" t="s">
        <v>3</v>
      </c>
      <c r="H1352" s="1">
        <v>552825</v>
      </c>
      <c r="I1352" t="s">
        <v>467</v>
      </c>
      <c r="J1352" s="110">
        <v>34993717</v>
      </c>
      <c r="K1352" s="4">
        <v>95796330</v>
      </c>
      <c r="L1352" s="4">
        <v>68.5</v>
      </c>
    </row>
    <row r="1353" spans="2:12" x14ac:dyDescent="0.2">
      <c r="B1353" s="749">
        <v>42619</v>
      </c>
      <c r="C1353" s="1" t="s">
        <v>770</v>
      </c>
      <c r="E1353" t="s">
        <v>225</v>
      </c>
      <c r="F1353" s="750" t="s">
        <v>784</v>
      </c>
      <c r="G1353" s="1" t="s">
        <v>3</v>
      </c>
      <c r="H1353" s="1">
        <v>553630</v>
      </c>
      <c r="I1353" t="s">
        <v>467</v>
      </c>
      <c r="J1353" s="110">
        <v>32016222</v>
      </c>
      <c r="K1353" s="4">
        <v>95791414</v>
      </c>
      <c r="L1353" s="4">
        <v>67.5</v>
      </c>
    </row>
    <row r="1354" spans="2:12" x14ac:dyDescent="0.2">
      <c r="B1354" s="749">
        <v>42619</v>
      </c>
      <c r="C1354" s="1" t="s">
        <v>770</v>
      </c>
      <c r="E1354" t="s">
        <v>225</v>
      </c>
      <c r="F1354" s="750" t="s">
        <v>784</v>
      </c>
      <c r="G1354" s="1" t="s">
        <v>3</v>
      </c>
      <c r="H1354" s="1">
        <v>553630</v>
      </c>
      <c r="I1354" t="s">
        <v>467</v>
      </c>
      <c r="J1354" s="110">
        <v>32016222</v>
      </c>
      <c r="K1354" s="4">
        <v>95613816</v>
      </c>
      <c r="L1354" s="4">
        <v>67.099999999999994</v>
      </c>
    </row>
    <row r="1355" spans="2:12" x14ac:dyDescent="0.2">
      <c r="B1355" s="749">
        <v>42619</v>
      </c>
      <c r="C1355" s="1" t="s">
        <v>770</v>
      </c>
      <c r="E1355" t="s">
        <v>225</v>
      </c>
      <c r="F1355" s="750" t="s">
        <v>784</v>
      </c>
      <c r="G1355" s="1" t="s">
        <v>3</v>
      </c>
      <c r="H1355" s="1">
        <v>553630</v>
      </c>
      <c r="I1355" t="s">
        <v>467</v>
      </c>
      <c r="J1355" s="110">
        <v>32015570</v>
      </c>
      <c r="K1355" s="4">
        <v>95377842</v>
      </c>
      <c r="L1355" s="4">
        <v>68.95</v>
      </c>
    </row>
    <row r="1356" spans="2:12" x14ac:dyDescent="0.2">
      <c r="B1356" s="749">
        <v>42619</v>
      </c>
      <c r="C1356" s="1" t="s">
        <v>770</v>
      </c>
      <c r="E1356" t="s">
        <v>225</v>
      </c>
      <c r="F1356" s="750" t="s">
        <v>784</v>
      </c>
      <c r="G1356" s="1" t="s">
        <v>3</v>
      </c>
      <c r="H1356" s="1">
        <v>553630</v>
      </c>
      <c r="I1356" t="s">
        <v>467</v>
      </c>
      <c r="J1356" s="110">
        <v>32015570</v>
      </c>
      <c r="K1356" s="4">
        <v>95752788</v>
      </c>
      <c r="L1356" s="4">
        <v>69.400000000000006</v>
      </c>
    </row>
    <row r="1357" spans="2:12" x14ac:dyDescent="0.2">
      <c r="B1357" s="749">
        <v>42619</v>
      </c>
      <c r="C1357" s="1" t="s">
        <v>770</v>
      </c>
      <c r="E1357" t="s">
        <v>225</v>
      </c>
      <c r="F1357" s="750" t="s">
        <v>784</v>
      </c>
      <c r="G1357" s="1" t="s">
        <v>3</v>
      </c>
      <c r="H1357" s="1">
        <v>553630</v>
      </c>
      <c r="I1357" t="s">
        <v>467</v>
      </c>
      <c r="J1357" s="110">
        <v>44100857</v>
      </c>
      <c r="K1357" s="4">
        <v>95527081</v>
      </c>
      <c r="L1357" s="4">
        <v>61.51</v>
      </c>
    </row>
    <row r="1358" spans="2:12" x14ac:dyDescent="0.2">
      <c r="B1358" s="749">
        <v>42619</v>
      </c>
      <c r="C1358" s="1" t="s">
        <v>770</v>
      </c>
      <c r="E1358" t="s">
        <v>225</v>
      </c>
      <c r="F1358" s="750" t="s">
        <v>784</v>
      </c>
      <c r="G1358" s="1" t="s">
        <v>3</v>
      </c>
      <c r="H1358" s="1">
        <v>553630</v>
      </c>
      <c r="I1358" t="s">
        <v>467</v>
      </c>
      <c r="J1358" s="110">
        <v>44100857</v>
      </c>
      <c r="K1358" s="4">
        <v>95370607</v>
      </c>
      <c r="L1358" s="4">
        <v>68.23</v>
      </c>
    </row>
    <row r="1359" spans="2:12" x14ac:dyDescent="0.2">
      <c r="B1359" s="749">
        <v>42619</v>
      </c>
      <c r="C1359" s="1" t="s">
        <v>770</v>
      </c>
      <c r="E1359" t="s">
        <v>225</v>
      </c>
      <c r="F1359" s="750" t="s">
        <v>784</v>
      </c>
      <c r="G1359" s="1" t="s">
        <v>3</v>
      </c>
      <c r="H1359" s="1">
        <v>553630</v>
      </c>
      <c r="I1359" t="s">
        <v>467</v>
      </c>
      <c r="J1359" s="110">
        <v>32028748</v>
      </c>
      <c r="K1359" s="4">
        <v>95797106</v>
      </c>
      <c r="L1359" s="4">
        <v>68.8</v>
      </c>
    </row>
    <row r="1360" spans="2:12" x14ac:dyDescent="0.2">
      <c r="B1360" s="749">
        <v>42619</v>
      </c>
      <c r="C1360" s="1" t="s">
        <v>770</v>
      </c>
      <c r="E1360" t="s">
        <v>225</v>
      </c>
      <c r="F1360" s="750" t="s">
        <v>784</v>
      </c>
      <c r="G1360" s="1" t="s">
        <v>3</v>
      </c>
      <c r="H1360" s="1">
        <v>553630</v>
      </c>
      <c r="I1360" t="s">
        <v>467</v>
      </c>
      <c r="J1360" s="110">
        <v>32028748</v>
      </c>
      <c r="K1360" s="4">
        <v>95618054</v>
      </c>
      <c r="L1360" s="4">
        <v>69.150000000000006</v>
      </c>
    </row>
    <row r="1361" spans="2:12" x14ac:dyDescent="0.2">
      <c r="B1361" s="749">
        <v>42619</v>
      </c>
      <c r="C1361" s="1" t="s">
        <v>770</v>
      </c>
      <c r="E1361" t="s">
        <v>225</v>
      </c>
      <c r="F1361" s="750" t="s">
        <v>784</v>
      </c>
      <c r="G1361" s="1" t="s">
        <v>3</v>
      </c>
      <c r="H1361" s="1">
        <v>553630</v>
      </c>
      <c r="I1361" t="s">
        <v>467</v>
      </c>
      <c r="J1361" s="110">
        <v>32025546</v>
      </c>
      <c r="K1361" s="4">
        <v>95751665</v>
      </c>
      <c r="L1361" s="4">
        <v>66.650000000000006</v>
      </c>
    </row>
    <row r="1362" spans="2:12" x14ac:dyDescent="0.2">
      <c r="B1362" s="749">
        <v>42619</v>
      </c>
      <c r="C1362" s="1" t="s">
        <v>770</v>
      </c>
      <c r="E1362" t="s">
        <v>225</v>
      </c>
      <c r="F1362" s="750" t="s">
        <v>784</v>
      </c>
      <c r="G1362" s="1" t="s">
        <v>3</v>
      </c>
      <c r="H1362" s="1">
        <v>553630</v>
      </c>
      <c r="I1362" t="s">
        <v>467</v>
      </c>
      <c r="J1362" s="110">
        <v>32025546</v>
      </c>
      <c r="K1362" s="4">
        <v>95757027</v>
      </c>
      <c r="L1362" s="4">
        <v>68</v>
      </c>
    </row>
    <row r="1363" spans="2:12" x14ac:dyDescent="0.2">
      <c r="B1363" s="749">
        <v>42619</v>
      </c>
      <c r="C1363" s="1" t="s">
        <v>770</v>
      </c>
      <c r="E1363" t="s">
        <v>225</v>
      </c>
      <c r="F1363" s="750" t="s">
        <v>784</v>
      </c>
      <c r="G1363" s="1" t="s">
        <v>3</v>
      </c>
      <c r="H1363" s="1">
        <v>553630</v>
      </c>
      <c r="I1363" t="s">
        <v>467</v>
      </c>
      <c r="J1363" s="110">
        <v>32025546</v>
      </c>
      <c r="K1363" s="4">
        <v>95713061</v>
      </c>
      <c r="L1363" s="4">
        <v>66</v>
      </c>
    </row>
    <row r="1364" spans="2:12" x14ac:dyDescent="0.2">
      <c r="B1364" s="749">
        <v>42619</v>
      </c>
      <c r="C1364" s="1" t="s">
        <v>770</v>
      </c>
      <c r="E1364" t="s">
        <v>225</v>
      </c>
      <c r="F1364" s="750" t="s">
        <v>784</v>
      </c>
      <c r="G1364" s="1" t="s">
        <v>3</v>
      </c>
      <c r="H1364" s="1">
        <v>553630</v>
      </c>
      <c r="I1364" t="s">
        <v>467</v>
      </c>
      <c r="J1364" s="110">
        <v>32025546</v>
      </c>
      <c r="K1364" s="4">
        <v>95230876</v>
      </c>
      <c r="L1364" s="4">
        <v>66.05</v>
      </c>
    </row>
    <row r="1365" spans="2:12" x14ac:dyDescent="0.2">
      <c r="B1365" s="749">
        <v>42619</v>
      </c>
      <c r="C1365" s="1" t="s">
        <v>770</v>
      </c>
      <c r="E1365" t="s">
        <v>225</v>
      </c>
      <c r="F1365" s="750" t="s">
        <v>784</v>
      </c>
      <c r="G1365" s="1" t="s">
        <v>3</v>
      </c>
      <c r="H1365" s="1">
        <v>553630</v>
      </c>
      <c r="I1365" t="s">
        <v>467</v>
      </c>
      <c r="J1365" s="110">
        <v>32025546</v>
      </c>
      <c r="K1365" s="4">
        <v>95396131</v>
      </c>
      <c r="L1365" s="4">
        <v>66</v>
      </c>
    </row>
    <row r="1366" spans="2:12" x14ac:dyDescent="0.2">
      <c r="B1366" s="749">
        <v>42619</v>
      </c>
      <c r="C1366" s="1" t="s">
        <v>770</v>
      </c>
      <c r="E1366" t="s">
        <v>225</v>
      </c>
      <c r="F1366" s="750" t="s">
        <v>784</v>
      </c>
      <c r="G1366" s="1" t="s">
        <v>3</v>
      </c>
      <c r="H1366" s="1">
        <v>553630</v>
      </c>
      <c r="I1366" t="s">
        <v>467</v>
      </c>
      <c r="J1366" s="110">
        <v>32025546</v>
      </c>
      <c r="K1366" s="4">
        <v>95390027</v>
      </c>
      <c r="L1366" s="4">
        <v>66.95</v>
      </c>
    </row>
    <row r="1367" spans="2:12" x14ac:dyDescent="0.2">
      <c r="B1367" s="749">
        <v>42619</v>
      </c>
      <c r="C1367" s="1" t="s">
        <v>770</v>
      </c>
      <c r="E1367" t="s">
        <v>225</v>
      </c>
      <c r="F1367" s="750" t="s">
        <v>784</v>
      </c>
      <c r="G1367" s="1" t="s">
        <v>3</v>
      </c>
      <c r="H1367" s="1">
        <v>553630</v>
      </c>
      <c r="I1367" t="s">
        <v>467</v>
      </c>
      <c r="J1367" s="110">
        <v>44090207</v>
      </c>
      <c r="K1367" s="4">
        <v>95530754</v>
      </c>
      <c r="L1367" s="4">
        <v>67.8</v>
      </c>
    </row>
    <row r="1368" spans="2:12" x14ac:dyDescent="0.2">
      <c r="B1368" s="749">
        <v>42619</v>
      </c>
      <c r="C1368" s="1" t="s">
        <v>770</v>
      </c>
      <c r="E1368" t="s">
        <v>225</v>
      </c>
      <c r="F1368" s="750" t="s">
        <v>784</v>
      </c>
      <c r="G1368" s="1" t="s">
        <v>3</v>
      </c>
      <c r="H1368" s="1">
        <v>553630</v>
      </c>
      <c r="I1368" t="s">
        <v>467</v>
      </c>
      <c r="J1368" s="110">
        <v>32031346</v>
      </c>
      <c r="K1368" s="4">
        <v>95694444</v>
      </c>
      <c r="L1368" s="4">
        <v>68.92</v>
      </c>
    </row>
    <row r="1369" spans="2:12" x14ac:dyDescent="0.2">
      <c r="B1369" s="749">
        <v>42619</v>
      </c>
      <c r="C1369" s="1" t="s">
        <v>770</v>
      </c>
      <c r="E1369" t="s">
        <v>225</v>
      </c>
      <c r="F1369" s="750" t="s">
        <v>784</v>
      </c>
      <c r="G1369" s="1" t="s">
        <v>3</v>
      </c>
      <c r="H1369" s="1">
        <v>553630</v>
      </c>
      <c r="I1369" t="s">
        <v>467</v>
      </c>
      <c r="J1369" s="110">
        <v>32031346</v>
      </c>
      <c r="K1369" s="4">
        <v>95337382</v>
      </c>
      <c r="L1369" s="4">
        <v>64.89</v>
      </c>
    </row>
    <row r="1370" spans="2:12" x14ac:dyDescent="0.2">
      <c r="B1370" s="696">
        <v>42619.720567129632</v>
      </c>
      <c r="C1370" s="1" t="s">
        <v>408</v>
      </c>
      <c r="E1370" t="s">
        <v>225</v>
      </c>
      <c r="F1370" t="s">
        <v>305</v>
      </c>
      <c r="G1370" s="1" t="s">
        <v>3</v>
      </c>
      <c r="H1370" s="1">
        <v>553931</v>
      </c>
      <c r="I1370" t="s">
        <v>467</v>
      </c>
      <c r="J1370" s="110">
        <v>358727</v>
      </c>
      <c r="K1370" s="4" t="s">
        <v>807</v>
      </c>
      <c r="L1370" s="4">
        <v>23.68</v>
      </c>
    </row>
    <row r="1371" spans="2:12" x14ac:dyDescent="0.2">
      <c r="B1371" s="696">
        <v>42619.918715277781</v>
      </c>
      <c r="C1371" s="1" t="s">
        <v>495</v>
      </c>
      <c r="E1371" t="s">
        <v>225</v>
      </c>
      <c r="F1371" t="s">
        <v>305</v>
      </c>
      <c r="G1371" s="1" t="s">
        <v>3</v>
      </c>
      <c r="H1371" s="1">
        <v>553615</v>
      </c>
      <c r="I1371" t="s">
        <v>467</v>
      </c>
      <c r="J1371" s="110">
        <v>50698059</v>
      </c>
      <c r="K1371" s="4">
        <v>95932349</v>
      </c>
      <c r="L1371" s="4">
        <v>69.150000000000006</v>
      </c>
    </row>
    <row r="1372" spans="2:12" x14ac:dyDescent="0.2">
      <c r="B1372" s="696">
        <v>42619.919270833336</v>
      </c>
      <c r="C1372" s="1" t="s">
        <v>495</v>
      </c>
      <c r="E1372" t="s">
        <v>225</v>
      </c>
      <c r="F1372" t="s">
        <v>305</v>
      </c>
      <c r="G1372" s="1" t="s">
        <v>3</v>
      </c>
      <c r="H1372" s="1">
        <v>553615</v>
      </c>
      <c r="I1372" t="s">
        <v>467</v>
      </c>
      <c r="J1372" s="110">
        <v>50698059</v>
      </c>
      <c r="K1372" s="4">
        <v>95334231</v>
      </c>
      <c r="L1372" s="4">
        <v>68.5</v>
      </c>
    </row>
    <row r="1373" spans="2:12" x14ac:dyDescent="0.2">
      <c r="B1373" s="696">
        <v>42619.919791666667</v>
      </c>
      <c r="C1373" s="1" t="s">
        <v>495</v>
      </c>
      <c r="E1373" t="s">
        <v>225</v>
      </c>
      <c r="F1373" t="s">
        <v>305</v>
      </c>
      <c r="G1373" s="1" t="s">
        <v>3</v>
      </c>
      <c r="H1373" s="1">
        <v>553615</v>
      </c>
      <c r="I1373" t="s">
        <v>467</v>
      </c>
      <c r="J1373" s="110">
        <v>50698059</v>
      </c>
      <c r="K1373" s="4">
        <v>95979324</v>
      </c>
      <c r="L1373" s="4">
        <v>69.349999999999994</v>
      </c>
    </row>
    <row r="1374" spans="2:12" x14ac:dyDescent="0.2">
      <c r="B1374" s="696">
        <v>42619.920231481483</v>
      </c>
      <c r="C1374" s="1" t="s">
        <v>495</v>
      </c>
      <c r="E1374" t="s">
        <v>225</v>
      </c>
      <c r="F1374" t="s">
        <v>305</v>
      </c>
      <c r="G1374" s="1" t="s">
        <v>3</v>
      </c>
      <c r="H1374" s="1">
        <v>553615</v>
      </c>
      <c r="I1374" t="s">
        <v>467</v>
      </c>
      <c r="J1374" s="110">
        <v>50698059</v>
      </c>
      <c r="K1374" s="4">
        <v>95797510</v>
      </c>
      <c r="L1374" s="4">
        <v>68.900000000000006</v>
      </c>
    </row>
    <row r="1375" spans="2:12" x14ac:dyDescent="0.2">
      <c r="B1375" s="696">
        <v>42619.920787037037</v>
      </c>
      <c r="C1375" s="1" t="s">
        <v>495</v>
      </c>
      <c r="E1375" t="s">
        <v>225</v>
      </c>
      <c r="F1375" t="s">
        <v>305</v>
      </c>
      <c r="G1375" s="1" t="s">
        <v>3</v>
      </c>
      <c r="H1375" s="1">
        <v>553615</v>
      </c>
      <c r="I1375" t="s">
        <v>467</v>
      </c>
      <c r="J1375" s="110">
        <v>50698059</v>
      </c>
      <c r="K1375" s="4">
        <v>95682654</v>
      </c>
      <c r="L1375" s="4">
        <v>68.349999999999994</v>
      </c>
    </row>
    <row r="1376" spans="2:12" x14ac:dyDescent="0.2">
      <c r="B1376" s="696">
        <v>42619.921226851853</v>
      </c>
      <c r="C1376" s="1" t="s">
        <v>495</v>
      </c>
      <c r="E1376" t="s">
        <v>225</v>
      </c>
      <c r="F1376" t="s">
        <v>305</v>
      </c>
      <c r="G1376" s="1" t="s">
        <v>3</v>
      </c>
      <c r="H1376" s="1">
        <v>553615</v>
      </c>
      <c r="I1376" t="s">
        <v>467</v>
      </c>
      <c r="J1376" s="110">
        <v>50698059</v>
      </c>
      <c r="K1376" s="4">
        <v>95668844</v>
      </c>
      <c r="L1376" s="4">
        <v>68.150000000000006</v>
      </c>
    </row>
    <row r="1377" spans="2:12" x14ac:dyDescent="0.2">
      <c r="B1377" s="696">
        <v>42620.229733796295</v>
      </c>
      <c r="C1377" s="1" t="s">
        <v>619</v>
      </c>
      <c r="E1377" t="s">
        <v>225</v>
      </c>
      <c r="F1377" t="s">
        <v>305</v>
      </c>
      <c r="G1377" s="1" t="s">
        <v>3</v>
      </c>
      <c r="H1377" s="1">
        <v>551128</v>
      </c>
      <c r="I1377" t="s">
        <v>467</v>
      </c>
      <c r="J1377" s="110">
        <v>50645134</v>
      </c>
      <c r="K1377" s="4">
        <v>95347522</v>
      </c>
      <c r="L1377" s="4">
        <v>61.7</v>
      </c>
    </row>
    <row r="1378" spans="2:12" x14ac:dyDescent="0.2">
      <c r="B1378" s="696">
        <v>42620.230555555558</v>
      </c>
      <c r="C1378" s="1" t="s">
        <v>619</v>
      </c>
      <c r="E1378" t="s">
        <v>225</v>
      </c>
      <c r="F1378" t="s">
        <v>305</v>
      </c>
      <c r="G1378" s="1" t="s">
        <v>3</v>
      </c>
      <c r="H1378" s="1">
        <v>551128</v>
      </c>
      <c r="I1378" t="s">
        <v>467</v>
      </c>
      <c r="J1378" s="110">
        <v>50645134</v>
      </c>
      <c r="K1378" s="4">
        <v>95758645</v>
      </c>
      <c r="L1378" s="4">
        <v>68</v>
      </c>
    </row>
    <row r="1379" spans="2:12" x14ac:dyDescent="0.2">
      <c r="B1379" s="696">
        <v>42620.231134259258</v>
      </c>
      <c r="C1379" s="1" t="s">
        <v>619</v>
      </c>
      <c r="E1379" t="s">
        <v>225</v>
      </c>
      <c r="F1379" t="s">
        <v>305</v>
      </c>
      <c r="G1379" s="1" t="s">
        <v>3</v>
      </c>
      <c r="H1379" s="1">
        <v>551128</v>
      </c>
      <c r="I1379" t="s">
        <v>467</v>
      </c>
      <c r="J1379" s="110">
        <v>50645134</v>
      </c>
      <c r="K1379" s="4">
        <v>95829677</v>
      </c>
      <c r="L1379" s="4">
        <v>67.599999999999994</v>
      </c>
    </row>
    <row r="1380" spans="2:12" x14ac:dyDescent="0.2">
      <c r="B1380" s="696">
        <v>42620.231631944444</v>
      </c>
      <c r="C1380" s="1" t="s">
        <v>619</v>
      </c>
      <c r="E1380" t="s">
        <v>225</v>
      </c>
      <c r="F1380" t="s">
        <v>305</v>
      </c>
      <c r="G1380" s="1" t="s">
        <v>3</v>
      </c>
      <c r="H1380" s="1">
        <v>551128</v>
      </c>
      <c r="I1380" t="s">
        <v>467</v>
      </c>
      <c r="J1380" s="110">
        <v>50694991</v>
      </c>
      <c r="K1380" s="4">
        <v>95372983</v>
      </c>
      <c r="L1380" s="4">
        <v>64.45</v>
      </c>
    </row>
    <row r="1381" spans="2:12" x14ac:dyDescent="0.2">
      <c r="B1381" s="696">
        <v>42620.232106481482</v>
      </c>
      <c r="C1381" s="1" t="s">
        <v>619</v>
      </c>
      <c r="E1381" t="s">
        <v>225</v>
      </c>
      <c r="F1381" t="s">
        <v>305</v>
      </c>
      <c r="G1381" s="1" t="s">
        <v>3</v>
      </c>
      <c r="H1381" s="1">
        <v>551128</v>
      </c>
      <c r="I1381" t="s">
        <v>467</v>
      </c>
      <c r="J1381" s="110">
        <v>50694991</v>
      </c>
      <c r="K1381" s="4">
        <v>95390910</v>
      </c>
      <c r="L1381" s="4">
        <v>68.099999999999994</v>
      </c>
    </row>
    <row r="1382" spans="2:12" x14ac:dyDescent="0.2">
      <c r="B1382" s="696">
        <v>42620.232754629629</v>
      </c>
      <c r="C1382" s="1" t="s">
        <v>619</v>
      </c>
      <c r="E1382" t="s">
        <v>225</v>
      </c>
      <c r="F1382" t="s">
        <v>305</v>
      </c>
      <c r="G1382" s="1" t="s">
        <v>3</v>
      </c>
      <c r="H1382" s="1">
        <v>551128</v>
      </c>
      <c r="I1382" t="s">
        <v>467</v>
      </c>
      <c r="J1382" s="110">
        <v>50694991</v>
      </c>
      <c r="K1382" s="4">
        <v>95134425</v>
      </c>
      <c r="L1382" s="4">
        <v>68.2</v>
      </c>
    </row>
    <row r="1383" spans="2:12" x14ac:dyDescent="0.2">
      <c r="B1383" s="696">
        <v>42620.233599537038</v>
      </c>
      <c r="C1383" s="1" t="s">
        <v>619</v>
      </c>
      <c r="E1383" t="s">
        <v>225</v>
      </c>
      <c r="F1383" t="s">
        <v>305</v>
      </c>
      <c r="G1383" s="1" t="s">
        <v>3</v>
      </c>
      <c r="H1383" s="1">
        <v>551128</v>
      </c>
      <c r="I1383" t="s">
        <v>467</v>
      </c>
      <c r="J1383" s="110">
        <v>50694991</v>
      </c>
      <c r="K1383" s="4">
        <v>95352639</v>
      </c>
      <c r="L1383" s="4">
        <v>68.349999999999994</v>
      </c>
    </row>
    <row r="1384" spans="2:12" x14ac:dyDescent="0.2">
      <c r="B1384" s="696">
        <v>42620.234085648146</v>
      </c>
      <c r="C1384" s="1" t="s">
        <v>619</v>
      </c>
      <c r="E1384" t="s">
        <v>225</v>
      </c>
      <c r="F1384" t="s">
        <v>305</v>
      </c>
      <c r="G1384" s="1" t="s">
        <v>3</v>
      </c>
      <c r="H1384" s="1">
        <v>551128</v>
      </c>
      <c r="I1384" t="s">
        <v>467</v>
      </c>
      <c r="J1384" s="110">
        <v>50694991</v>
      </c>
      <c r="K1384" s="4">
        <v>95620902</v>
      </c>
      <c r="L1384" s="4">
        <v>65.55</v>
      </c>
    </row>
    <row r="1385" spans="2:12" x14ac:dyDescent="0.2">
      <c r="B1385" s="696">
        <v>42619.464537037034</v>
      </c>
      <c r="C1385" s="1" t="s">
        <v>886</v>
      </c>
      <c r="E1385" t="s">
        <v>225</v>
      </c>
      <c r="F1385" t="s">
        <v>305</v>
      </c>
      <c r="G1385" s="1" t="s">
        <v>3</v>
      </c>
      <c r="H1385" s="1">
        <v>553593</v>
      </c>
      <c r="I1385" t="s">
        <v>292</v>
      </c>
      <c r="J1385" s="110">
        <v>40439879</v>
      </c>
      <c r="K1385" s="4">
        <v>95651329</v>
      </c>
      <c r="L1385" s="4">
        <v>69.75</v>
      </c>
    </row>
    <row r="1386" spans="2:12" x14ac:dyDescent="0.2">
      <c r="B1386" s="696">
        <v>42619.465069444443</v>
      </c>
      <c r="C1386" s="1" t="s">
        <v>886</v>
      </c>
      <c r="E1386" t="s">
        <v>225</v>
      </c>
      <c r="F1386" t="s">
        <v>305</v>
      </c>
      <c r="G1386" s="1" t="s">
        <v>3</v>
      </c>
      <c r="H1386" s="1">
        <v>553593</v>
      </c>
      <c r="I1386" t="s">
        <v>292</v>
      </c>
      <c r="J1386" s="110">
        <v>40439879</v>
      </c>
      <c r="K1386" s="4">
        <v>95450581</v>
      </c>
      <c r="L1386" s="4">
        <v>69.8</v>
      </c>
    </row>
    <row r="1387" spans="2:12" x14ac:dyDescent="0.2">
      <c r="B1387" s="696">
        <v>42619.465613425928</v>
      </c>
      <c r="C1387" s="1" t="s">
        <v>886</v>
      </c>
      <c r="E1387" t="s">
        <v>225</v>
      </c>
      <c r="F1387" t="s">
        <v>305</v>
      </c>
      <c r="G1387" s="1" t="s">
        <v>3</v>
      </c>
      <c r="H1387" s="1">
        <v>553593</v>
      </c>
      <c r="I1387" t="s">
        <v>292</v>
      </c>
      <c r="J1387" s="110">
        <v>40439879</v>
      </c>
      <c r="K1387" s="4">
        <v>95541058</v>
      </c>
      <c r="L1387" s="4">
        <v>69.599999999999994</v>
      </c>
    </row>
    <row r="1388" spans="2:12" x14ac:dyDescent="0.2">
      <c r="B1388" s="696">
        <v>42619.46634259259</v>
      </c>
      <c r="C1388" s="1" t="s">
        <v>886</v>
      </c>
      <c r="E1388" t="s">
        <v>225</v>
      </c>
      <c r="F1388" t="s">
        <v>305</v>
      </c>
      <c r="G1388" s="1" t="s">
        <v>3</v>
      </c>
      <c r="H1388" s="1">
        <v>553593</v>
      </c>
      <c r="I1388" t="s">
        <v>292</v>
      </c>
      <c r="J1388" s="110">
        <v>40439879</v>
      </c>
      <c r="K1388" s="4">
        <v>95647152</v>
      </c>
      <c r="L1388" s="4">
        <v>69.599999999999994</v>
      </c>
    </row>
    <row r="1389" spans="2:12" x14ac:dyDescent="0.2">
      <c r="B1389" s="696">
        <v>42620.054363425923</v>
      </c>
      <c r="C1389" s="1" t="s">
        <v>818</v>
      </c>
      <c r="E1389" t="s">
        <v>225</v>
      </c>
      <c r="F1389" t="s">
        <v>305</v>
      </c>
      <c r="G1389" s="1" t="s">
        <v>3</v>
      </c>
      <c r="H1389" s="1">
        <v>553036</v>
      </c>
      <c r="I1389" t="s">
        <v>292</v>
      </c>
      <c r="J1389" s="110">
        <v>50718121</v>
      </c>
      <c r="K1389" s="4">
        <v>95614004</v>
      </c>
      <c r="L1389" s="4">
        <v>69.150000000000006</v>
      </c>
    </row>
    <row r="1390" spans="2:12" x14ac:dyDescent="0.2">
      <c r="B1390" s="696">
        <v>42620.054930555554</v>
      </c>
      <c r="C1390" s="1" t="s">
        <v>818</v>
      </c>
      <c r="E1390" t="s">
        <v>225</v>
      </c>
      <c r="F1390" t="s">
        <v>305</v>
      </c>
      <c r="G1390" s="1" t="s">
        <v>3</v>
      </c>
      <c r="H1390" s="1">
        <v>553036</v>
      </c>
      <c r="I1390" t="s">
        <v>292</v>
      </c>
      <c r="J1390" s="110">
        <v>50718121</v>
      </c>
      <c r="K1390" s="4">
        <v>95801056</v>
      </c>
      <c r="L1390" s="4">
        <v>69.75</v>
      </c>
    </row>
    <row r="1391" spans="2:12" x14ac:dyDescent="0.2">
      <c r="B1391" s="696">
        <v>42620.265520833331</v>
      </c>
      <c r="C1391" s="1" t="s">
        <v>820</v>
      </c>
      <c r="E1391" t="s">
        <v>225</v>
      </c>
      <c r="F1391" t="s">
        <v>305</v>
      </c>
      <c r="G1391" s="1" t="s">
        <v>3</v>
      </c>
      <c r="H1391" s="1">
        <v>553619</v>
      </c>
      <c r="I1391" t="s">
        <v>643</v>
      </c>
      <c r="J1391" s="110">
        <v>40543589</v>
      </c>
      <c r="K1391" s="4">
        <v>95693644</v>
      </c>
      <c r="L1391" s="4">
        <v>70.2</v>
      </c>
    </row>
    <row r="1392" spans="2:12" x14ac:dyDescent="0.2">
      <c r="B1392" s="696">
        <v>42620.26599537037</v>
      </c>
      <c r="C1392" s="1" t="s">
        <v>820</v>
      </c>
      <c r="E1392" t="s">
        <v>225</v>
      </c>
      <c r="F1392" t="s">
        <v>305</v>
      </c>
      <c r="G1392" s="1" t="s">
        <v>3</v>
      </c>
      <c r="H1392" s="1">
        <v>553619</v>
      </c>
      <c r="I1392" t="s">
        <v>643</v>
      </c>
      <c r="J1392" s="110">
        <v>40543589</v>
      </c>
      <c r="K1392" s="4">
        <v>95353876</v>
      </c>
      <c r="L1392" s="4">
        <v>69.7</v>
      </c>
    </row>
    <row r="1393" spans="2:12" x14ac:dyDescent="0.2">
      <c r="B1393" s="696">
        <v>42620.266493055555</v>
      </c>
      <c r="C1393" s="1" t="s">
        <v>820</v>
      </c>
      <c r="E1393" t="s">
        <v>225</v>
      </c>
      <c r="F1393" t="s">
        <v>305</v>
      </c>
      <c r="G1393" s="1" t="s">
        <v>3</v>
      </c>
      <c r="H1393" s="1">
        <v>553619</v>
      </c>
      <c r="I1393" t="s">
        <v>643</v>
      </c>
      <c r="J1393" s="110">
        <v>40543589</v>
      </c>
      <c r="K1393" s="4">
        <v>95370318</v>
      </c>
      <c r="L1393" s="4">
        <v>70.150000000000006</v>
      </c>
    </row>
    <row r="1394" spans="2:12" x14ac:dyDescent="0.2">
      <c r="B1394" s="696">
        <v>42620.266944444447</v>
      </c>
      <c r="C1394" s="1" t="s">
        <v>820</v>
      </c>
      <c r="E1394" t="s">
        <v>225</v>
      </c>
      <c r="F1394" t="s">
        <v>305</v>
      </c>
      <c r="G1394" s="1" t="s">
        <v>3</v>
      </c>
      <c r="H1394" s="1">
        <v>553619</v>
      </c>
      <c r="I1394" t="s">
        <v>643</v>
      </c>
      <c r="J1394" s="110">
        <v>40543589</v>
      </c>
      <c r="K1394" s="4">
        <v>95649141</v>
      </c>
      <c r="L1394" s="4">
        <v>69.849999999999994</v>
      </c>
    </row>
    <row r="1395" spans="2:12" x14ac:dyDescent="0.2">
      <c r="B1395" s="1" t="s">
        <v>873</v>
      </c>
      <c r="C1395" s="1" t="s">
        <v>868</v>
      </c>
      <c r="E1395" t="s">
        <v>225</v>
      </c>
      <c r="F1395" t="s">
        <v>305</v>
      </c>
      <c r="G1395" s="1" t="s">
        <v>3</v>
      </c>
      <c r="H1395" s="1">
        <v>553970</v>
      </c>
      <c r="I1395" t="s">
        <v>870</v>
      </c>
      <c r="J1395" s="110">
        <v>15606</v>
      </c>
      <c r="K1395" s="4" t="s">
        <v>881</v>
      </c>
      <c r="L1395" s="4">
        <v>25.62</v>
      </c>
    </row>
    <row r="1396" spans="2:12" x14ac:dyDescent="0.2">
      <c r="B1396" s="1" t="s">
        <v>874</v>
      </c>
      <c r="C1396" s="1" t="s">
        <v>868</v>
      </c>
      <c r="E1396" t="s">
        <v>225</v>
      </c>
      <c r="F1396" t="s">
        <v>305</v>
      </c>
      <c r="G1396" s="1" t="s">
        <v>3</v>
      </c>
      <c r="H1396" s="1">
        <v>553970</v>
      </c>
      <c r="I1396" t="s">
        <v>870</v>
      </c>
      <c r="J1396" s="110">
        <v>9771</v>
      </c>
      <c r="K1396" s="4" t="s">
        <v>882</v>
      </c>
      <c r="L1396" s="4">
        <v>24.96</v>
      </c>
    </row>
    <row r="1397" spans="2:12" x14ac:dyDescent="0.2">
      <c r="B1397" s="1" t="s">
        <v>875</v>
      </c>
      <c r="C1397" s="1" t="s">
        <v>868</v>
      </c>
      <c r="E1397" t="s">
        <v>225</v>
      </c>
      <c r="F1397" t="s">
        <v>305</v>
      </c>
      <c r="G1397" s="1" t="s">
        <v>3</v>
      </c>
      <c r="H1397" s="1">
        <v>553970</v>
      </c>
      <c r="I1397" t="s">
        <v>870</v>
      </c>
      <c r="J1397" s="110">
        <v>9769</v>
      </c>
      <c r="K1397" s="4" t="s">
        <v>883</v>
      </c>
      <c r="L1397" s="4">
        <v>22.38</v>
      </c>
    </row>
    <row r="1398" spans="2:12" x14ac:dyDescent="0.2">
      <c r="B1398" s="1" t="s">
        <v>876</v>
      </c>
      <c r="C1398" s="1" t="s">
        <v>868</v>
      </c>
      <c r="E1398" t="s">
        <v>225</v>
      </c>
      <c r="F1398" t="s">
        <v>305</v>
      </c>
      <c r="G1398" s="1" t="s">
        <v>3</v>
      </c>
      <c r="H1398" s="1">
        <v>553970</v>
      </c>
      <c r="I1398" t="s">
        <v>870</v>
      </c>
      <c r="J1398" s="110">
        <v>9773</v>
      </c>
      <c r="K1398" s="4" t="s">
        <v>884</v>
      </c>
      <c r="L1398" s="4">
        <v>23.18</v>
      </c>
    </row>
    <row r="1399" spans="2:12" x14ac:dyDescent="0.2">
      <c r="B1399" s="1" t="s">
        <v>877</v>
      </c>
      <c r="C1399" s="1" t="s">
        <v>868</v>
      </c>
      <c r="E1399" t="s">
        <v>225</v>
      </c>
      <c r="F1399" t="s">
        <v>305</v>
      </c>
      <c r="G1399" s="1" t="s">
        <v>3</v>
      </c>
      <c r="H1399" s="1">
        <v>553970</v>
      </c>
      <c r="I1399" t="s">
        <v>870</v>
      </c>
      <c r="J1399" s="110">
        <v>350241</v>
      </c>
      <c r="K1399" s="4" t="s">
        <v>864</v>
      </c>
      <c r="L1399" s="4">
        <v>24.92</v>
      </c>
    </row>
    <row r="1400" spans="2:12" x14ac:dyDescent="0.2">
      <c r="B1400" s="1" t="s">
        <v>878</v>
      </c>
      <c r="C1400" s="1" t="s">
        <v>868</v>
      </c>
      <c r="E1400" t="s">
        <v>225</v>
      </c>
      <c r="F1400" t="s">
        <v>305</v>
      </c>
      <c r="G1400" s="1" t="s">
        <v>3</v>
      </c>
      <c r="H1400" s="1">
        <v>553970</v>
      </c>
      <c r="I1400" t="s">
        <v>870</v>
      </c>
      <c r="J1400" s="110">
        <v>350243</v>
      </c>
      <c r="K1400" s="4" t="s">
        <v>867</v>
      </c>
      <c r="L1400" s="4">
        <v>21.82</v>
      </c>
    </row>
    <row r="1401" spans="2:12" x14ac:dyDescent="0.2">
      <c r="B1401" s="1" t="s">
        <v>879</v>
      </c>
      <c r="C1401" s="1" t="s">
        <v>868</v>
      </c>
      <c r="E1401" t="s">
        <v>225</v>
      </c>
      <c r="F1401" t="s">
        <v>305</v>
      </c>
      <c r="G1401" s="1" t="s">
        <v>3</v>
      </c>
      <c r="H1401" s="1">
        <v>553970</v>
      </c>
      <c r="I1401" t="s">
        <v>870</v>
      </c>
      <c r="J1401" s="110">
        <v>350242</v>
      </c>
      <c r="K1401" s="4" t="s">
        <v>866</v>
      </c>
      <c r="L1401" s="4">
        <v>21.48</v>
      </c>
    </row>
    <row r="1402" spans="2:12" x14ac:dyDescent="0.2">
      <c r="B1402" s="1" t="s">
        <v>880</v>
      </c>
      <c r="C1402" s="1" t="s">
        <v>868</v>
      </c>
      <c r="E1402" t="s">
        <v>225</v>
      </c>
      <c r="F1402" t="s">
        <v>305</v>
      </c>
      <c r="G1402" s="1" t="s">
        <v>3</v>
      </c>
      <c r="H1402" s="1">
        <v>553970</v>
      </c>
      <c r="I1402" t="s">
        <v>870</v>
      </c>
      <c r="J1402" s="110">
        <v>350239</v>
      </c>
      <c r="K1402" s="4" t="s">
        <v>865</v>
      </c>
      <c r="L1402" s="4">
        <v>21.12</v>
      </c>
    </row>
    <row r="1403" spans="2:12" x14ac:dyDescent="0.2">
      <c r="B1403" s="696">
        <v>42619.527118055557</v>
      </c>
      <c r="C1403" s="1" t="s">
        <v>704</v>
      </c>
      <c r="E1403" t="s">
        <v>225</v>
      </c>
      <c r="F1403" t="s">
        <v>305</v>
      </c>
      <c r="G1403" s="1" t="s">
        <v>3</v>
      </c>
      <c r="H1403" s="1">
        <v>553610</v>
      </c>
      <c r="I1403" t="s">
        <v>887</v>
      </c>
      <c r="J1403" s="110">
        <v>40440174</v>
      </c>
      <c r="K1403" s="4">
        <v>95683801</v>
      </c>
      <c r="L1403" s="4">
        <v>57.65</v>
      </c>
    </row>
    <row r="1404" spans="2:12" x14ac:dyDescent="0.2">
      <c r="B1404" s="696">
        <v>42619.529363425929</v>
      </c>
      <c r="C1404" s="1" t="s">
        <v>704</v>
      </c>
      <c r="E1404" t="s">
        <v>225</v>
      </c>
      <c r="F1404" t="s">
        <v>305</v>
      </c>
      <c r="G1404" s="1" t="s">
        <v>3</v>
      </c>
      <c r="H1404" s="1">
        <v>553610</v>
      </c>
      <c r="I1404" t="s">
        <v>887</v>
      </c>
      <c r="J1404" s="110">
        <v>40440174</v>
      </c>
      <c r="K1404" s="4">
        <v>95756722</v>
      </c>
      <c r="L1404" s="4">
        <v>57.25</v>
      </c>
    </row>
    <row r="1405" spans="2:12" x14ac:dyDescent="0.2">
      <c r="B1405" s="696">
        <v>42619.530127314814</v>
      </c>
      <c r="C1405" s="1" t="s">
        <v>704</v>
      </c>
      <c r="E1405" t="s">
        <v>225</v>
      </c>
      <c r="F1405" t="s">
        <v>305</v>
      </c>
      <c r="G1405" s="1" t="s">
        <v>3</v>
      </c>
      <c r="H1405" s="1">
        <v>553610</v>
      </c>
      <c r="I1405" t="s">
        <v>887</v>
      </c>
      <c r="J1405" s="110">
        <v>40440174</v>
      </c>
      <c r="K1405" s="4">
        <v>95539367</v>
      </c>
      <c r="L1405" s="4">
        <v>57.65</v>
      </c>
    </row>
    <row r="1406" spans="2:12" x14ac:dyDescent="0.2">
      <c r="B1406" s="696">
        <v>42619.530763888892</v>
      </c>
      <c r="C1406" s="1" t="s">
        <v>704</v>
      </c>
      <c r="E1406" t="s">
        <v>225</v>
      </c>
      <c r="F1406" t="s">
        <v>305</v>
      </c>
      <c r="G1406" s="1" t="s">
        <v>3</v>
      </c>
      <c r="H1406" s="1">
        <v>553610</v>
      </c>
      <c r="I1406" t="s">
        <v>887</v>
      </c>
      <c r="J1406" s="110">
        <v>40440174</v>
      </c>
      <c r="K1406" s="4">
        <v>95644142</v>
      </c>
      <c r="L1406" s="4">
        <v>57.5</v>
      </c>
    </row>
    <row r="1407" spans="2:12" x14ac:dyDescent="0.2">
      <c r="B1407" s="696">
        <v>42619.531504629631</v>
      </c>
      <c r="C1407" s="1" t="s">
        <v>704</v>
      </c>
      <c r="E1407" t="s">
        <v>225</v>
      </c>
      <c r="F1407" t="s">
        <v>305</v>
      </c>
      <c r="G1407" s="1" t="s">
        <v>3</v>
      </c>
      <c r="H1407" s="1">
        <v>553610</v>
      </c>
      <c r="I1407" t="s">
        <v>887</v>
      </c>
      <c r="J1407" s="110">
        <v>40437402</v>
      </c>
      <c r="K1407" s="4">
        <v>95667069</v>
      </c>
      <c r="L1407" s="4">
        <v>60.8</v>
      </c>
    </row>
    <row r="1408" spans="2:12" x14ac:dyDescent="0.2">
      <c r="B1408" s="696">
        <v>42619.532141203701</v>
      </c>
      <c r="C1408" s="1" t="s">
        <v>704</v>
      </c>
      <c r="E1408" t="s">
        <v>225</v>
      </c>
      <c r="F1408" t="s">
        <v>305</v>
      </c>
      <c r="G1408" s="1" t="s">
        <v>3</v>
      </c>
      <c r="H1408" s="1">
        <v>553610</v>
      </c>
      <c r="I1408" t="s">
        <v>887</v>
      </c>
      <c r="J1408" s="110">
        <v>40437402</v>
      </c>
      <c r="K1408" s="4">
        <v>95679171</v>
      </c>
      <c r="L1408" s="4">
        <v>60.45</v>
      </c>
    </row>
    <row r="1409" spans="2:12" x14ac:dyDescent="0.2">
      <c r="B1409" s="696">
        <v>42619.532708333332</v>
      </c>
      <c r="C1409" s="1" t="s">
        <v>704</v>
      </c>
      <c r="E1409" t="s">
        <v>225</v>
      </c>
      <c r="F1409" t="s">
        <v>305</v>
      </c>
      <c r="G1409" s="1" t="s">
        <v>3</v>
      </c>
      <c r="H1409" s="1">
        <v>553610</v>
      </c>
      <c r="I1409" t="s">
        <v>887</v>
      </c>
      <c r="J1409" s="110">
        <v>40437402</v>
      </c>
      <c r="K1409" s="4">
        <v>95453429</v>
      </c>
      <c r="L1409" s="4">
        <v>60.75</v>
      </c>
    </row>
    <row r="1410" spans="2:12" x14ac:dyDescent="0.2">
      <c r="B1410" s="749">
        <v>42615</v>
      </c>
      <c r="C1410" s="1" t="s">
        <v>871</v>
      </c>
      <c r="E1410" t="s">
        <v>225</v>
      </c>
      <c r="F1410" s="750" t="s">
        <v>784</v>
      </c>
      <c r="G1410" s="1" t="s">
        <v>3</v>
      </c>
      <c r="H1410" s="1">
        <v>552825</v>
      </c>
      <c r="I1410" t="s">
        <v>467</v>
      </c>
      <c r="J1410" s="110">
        <v>34979179</v>
      </c>
      <c r="K1410" s="4">
        <v>95449203</v>
      </c>
      <c r="L1410" s="4">
        <v>69.7</v>
      </c>
    </row>
    <row r="1411" spans="2:12" x14ac:dyDescent="0.2">
      <c r="B1411" s="749">
        <v>42615</v>
      </c>
      <c r="C1411" s="1" t="s">
        <v>871</v>
      </c>
      <c r="E1411" t="s">
        <v>225</v>
      </c>
      <c r="F1411" s="750" t="s">
        <v>784</v>
      </c>
      <c r="G1411" s="1" t="s">
        <v>3</v>
      </c>
      <c r="H1411" s="1">
        <v>552825</v>
      </c>
      <c r="I1411" t="s">
        <v>467</v>
      </c>
      <c r="J1411" s="110">
        <v>34979179</v>
      </c>
      <c r="K1411" s="4">
        <v>95346714</v>
      </c>
      <c r="L1411" s="4">
        <v>69.900000000000006</v>
      </c>
    </row>
    <row r="1412" spans="2:12" x14ac:dyDescent="0.2">
      <c r="B1412" s="749">
        <v>42615</v>
      </c>
      <c r="C1412" s="1" t="s">
        <v>871</v>
      </c>
      <c r="E1412" t="s">
        <v>225</v>
      </c>
      <c r="F1412" s="750" t="s">
        <v>784</v>
      </c>
      <c r="G1412" s="1" t="s">
        <v>3</v>
      </c>
      <c r="H1412" s="1">
        <v>552825</v>
      </c>
      <c r="I1412" t="s">
        <v>467</v>
      </c>
      <c r="J1412" s="110">
        <v>34979179</v>
      </c>
      <c r="K1412" s="4">
        <v>95689246</v>
      </c>
      <c r="L1412" s="4">
        <v>69.849999999999994</v>
      </c>
    </row>
    <row r="1413" spans="2:12" x14ac:dyDescent="0.2">
      <c r="B1413" s="749">
        <v>42615</v>
      </c>
      <c r="C1413" s="1" t="s">
        <v>871</v>
      </c>
      <c r="E1413" t="s">
        <v>225</v>
      </c>
      <c r="F1413" s="750" t="s">
        <v>784</v>
      </c>
      <c r="G1413" s="1" t="s">
        <v>3</v>
      </c>
      <c r="H1413" s="1">
        <v>552825</v>
      </c>
      <c r="I1413" t="s">
        <v>467</v>
      </c>
      <c r="J1413" s="110">
        <v>34979179</v>
      </c>
      <c r="K1413" s="4">
        <v>95636825</v>
      </c>
      <c r="L1413" s="4">
        <v>69.900000000000006</v>
      </c>
    </row>
    <row r="1414" spans="2:12" x14ac:dyDescent="0.2">
      <c r="B1414" s="749">
        <v>42615</v>
      </c>
      <c r="C1414" s="1" t="s">
        <v>871</v>
      </c>
      <c r="E1414" t="s">
        <v>225</v>
      </c>
      <c r="F1414" s="750" t="s">
        <v>784</v>
      </c>
      <c r="G1414" s="1" t="s">
        <v>3</v>
      </c>
      <c r="H1414" s="1">
        <v>552825</v>
      </c>
      <c r="I1414" t="s">
        <v>467</v>
      </c>
      <c r="J1414" s="110">
        <v>34979179</v>
      </c>
      <c r="K1414" s="4">
        <v>95712873</v>
      </c>
      <c r="L1414" s="4">
        <v>69.75</v>
      </c>
    </row>
    <row r="1415" spans="2:12" x14ac:dyDescent="0.2">
      <c r="B1415" s="749">
        <v>42615</v>
      </c>
      <c r="C1415" s="1" t="s">
        <v>871</v>
      </c>
      <c r="E1415" t="s">
        <v>225</v>
      </c>
      <c r="F1415" s="750" t="s">
        <v>784</v>
      </c>
      <c r="G1415" s="1" t="s">
        <v>3</v>
      </c>
      <c r="H1415" s="1">
        <v>552825</v>
      </c>
      <c r="I1415" t="s">
        <v>467</v>
      </c>
      <c r="J1415" s="110">
        <v>34973230</v>
      </c>
      <c r="K1415" s="4">
        <v>95645487</v>
      </c>
      <c r="L1415" s="4">
        <v>69.3</v>
      </c>
    </row>
    <row r="1416" spans="2:12" x14ac:dyDescent="0.2">
      <c r="B1416" s="749">
        <v>42615</v>
      </c>
      <c r="C1416" s="1" t="s">
        <v>871</v>
      </c>
      <c r="E1416" t="s">
        <v>225</v>
      </c>
      <c r="F1416" s="750" t="s">
        <v>784</v>
      </c>
      <c r="G1416" s="1" t="s">
        <v>3</v>
      </c>
      <c r="H1416" s="1">
        <v>552825</v>
      </c>
      <c r="I1416" t="s">
        <v>467</v>
      </c>
      <c r="J1416" s="110">
        <v>34973230</v>
      </c>
      <c r="K1416" s="4">
        <v>95801387</v>
      </c>
      <c r="L1416" s="4">
        <v>69.3</v>
      </c>
    </row>
    <row r="1417" spans="2:12" x14ac:dyDescent="0.2">
      <c r="B1417" s="749">
        <v>42615</v>
      </c>
      <c r="C1417" s="1" t="s">
        <v>871</v>
      </c>
      <c r="E1417" t="s">
        <v>225</v>
      </c>
      <c r="F1417" s="750" t="s">
        <v>784</v>
      </c>
      <c r="G1417" s="1" t="s">
        <v>3</v>
      </c>
      <c r="H1417" s="1">
        <v>552825</v>
      </c>
      <c r="I1417" t="s">
        <v>467</v>
      </c>
      <c r="J1417" s="110">
        <v>34973230</v>
      </c>
      <c r="K1417" s="4">
        <v>95373072</v>
      </c>
      <c r="L1417" s="4">
        <v>69.099999999999994</v>
      </c>
    </row>
    <row r="1418" spans="2:12" x14ac:dyDescent="0.2">
      <c r="B1418" s="749">
        <v>42615</v>
      </c>
      <c r="C1418" s="1" t="s">
        <v>871</v>
      </c>
      <c r="E1418" t="s">
        <v>225</v>
      </c>
      <c r="F1418" s="750" t="s">
        <v>784</v>
      </c>
      <c r="G1418" s="1" t="s">
        <v>3</v>
      </c>
      <c r="H1418" s="1">
        <v>552825</v>
      </c>
      <c r="I1418" t="s">
        <v>467</v>
      </c>
      <c r="J1418" s="110">
        <v>34973230</v>
      </c>
      <c r="K1418" s="4">
        <v>95679759</v>
      </c>
      <c r="L1418" s="4">
        <v>69.25</v>
      </c>
    </row>
    <row r="1419" spans="2:12" x14ac:dyDescent="0.2">
      <c r="B1419" s="749">
        <v>42615</v>
      </c>
      <c r="C1419" s="1" t="s">
        <v>871</v>
      </c>
      <c r="E1419" t="s">
        <v>225</v>
      </c>
      <c r="F1419" s="750" t="s">
        <v>784</v>
      </c>
      <c r="G1419" s="1" t="s">
        <v>3</v>
      </c>
      <c r="H1419" s="1">
        <v>552825</v>
      </c>
      <c r="I1419" t="s">
        <v>467</v>
      </c>
      <c r="J1419" s="110">
        <v>34981613</v>
      </c>
      <c r="K1419" s="4">
        <v>95516936</v>
      </c>
      <c r="L1419" s="4">
        <v>69.7</v>
      </c>
    </row>
    <row r="1420" spans="2:12" x14ac:dyDescent="0.2">
      <c r="B1420" s="749">
        <v>42615</v>
      </c>
      <c r="C1420" s="1" t="s">
        <v>871</v>
      </c>
      <c r="E1420" t="s">
        <v>225</v>
      </c>
      <c r="F1420" s="750" t="s">
        <v>784</v>
      </c>
      <c r="G1420" s="1" t="s">
        <v>3</v>
      </c>
      <c r="H1420" s="1">
        <v>552825</v>
      </c>
      <c r="I1420" t="s">
        <v>467</v>
      </c>
      <c r="J1420" s="110">
        <v>34981613</v>
      </c>
      <c r="K1420" s="4">
        <v>95453536</v>
      </c>
      <c r="L1420" s="4">
        <v>69.900000000000006</v>
      </c>
    </row>
    <row r="1421" spans="2:12" x14ac:dyDescent="0.2">
      <c r="B1421" s="749">
        <v>42615</v>
      </c>
      <c r="C1421" s="1" t="s">
        <v>871</v>
      </c>
      <c r="E1421" t="s">
        <v>225</v>
      </c>
      <c r="F1421" s="750" t="s">
        <v>784</v>
      </c>
      <c r="G1421" s="1" t="s">
        <v>3</v>
      </c>
      <c r="H1421" s="1">
        <v>552825</v>
      </c>
      <c r="I1421" t="s">
        <v>467</v>
      </c>
      <c r="J1421" s="110">
        <v>34993022</v>
      </c>
      <c r="K1421" s="4">
        <v>95151496</v>
      </c>
      <c r="L1421" s="4">
        <v>69.75</v>
      </c>
    </row>
    <row r="1422" spans="2:12" x14ac:dyDescent="0.2">
      <c r="B1422" s="749">
        <v>42615</v>
      </c>
      <c r="C1422" s="1" t="s">
        <v>871</v>
      </c>
      <c r="E1422" t="s">
        <v>225</v>
      </c>
      <c r="F1422" s="750" t="s">
        <v>784</v>
      </c>
      <c r="G1422" s="1" t="s">
        <v>3</v>
      </c>
      <c r="H1422" s="1">
        <v>552825</v>
      </c>
      <c r="I1422" t="s">
        <v>467</v>
      </c>
      <c r="J1422" s="110">
        <v>34993022</v>
      </c>
      <c r="K1422" s="4">
        <v>95370557</v>
      </c>
      <c r="L1422" s="4">
        <v>69.8</v>
      </c>
    </row>
    <row r="1423" spans="2:12" x14ac:dyDescent="0.2">
      <c r="B1423" s="749">
        <v>42615</v>
      </c>
      <c r="C1423" s="1" t="s">
        <v>871</v>
      </c>
      <c r="E1423" t="s">
        <v>225</v>
      </c>
      <c r="F1423" s="750" t="s">
        <v>784</v>
      </c>
      <c r="G1423" s="1" t="s">
        <v>3</v>
      </c>
      <c r="H1423" s="1">
        <v>552825</v>
      </c>
      <c r="I1423" t="s">
        <v>467</v>
      </c>
      <c r="J1423" s="110">
        <v>34993022</v>
      </c>
      <c r="K1423" s="4">
        <v>95333522</v>
      </c>
      <c r="L1423" s="4">
        <v>64.75</v>
      </c>
    </row>
    <row r="1424" spans="2:12" x14ac:dyDescent="0.2">
      <c r="B1424" s="749">
        <v>42615</v>
      </c>
      <c r="C1424" s="1" t="s">
        <v>871</v>
      </c>
      <c r="E1424" t="s">
        <v>225</v>
      </c>
      <c r="F1424" s="750" t="s">
        <v>784</v>
      </c>
      <c r="G1424" s="1" t="s">
        <v>3</v>
      </c>
      <c r="H1424" s="1">
        <v>552825</v>
      </c>
      <c r="I1424" t="s">
        <v>467</v>
      </c>
      <c r="J1424" s="110">
        <v>34993022</v>
      </c>
      <c r="K1424" s="4">
        <v>95793709</v>
      </c>
      <c r="L1424" s="4">
        <v>69.8</v>
      </c>
    </row>
    <row r="1425" spans="2:12" x14ac:dyDescent="0.2">
      <c r="B1425" s="749">
        <v>42615</v>
      </c>
      <c r="C1425" s="1" t="s">
        <v>871</v>
      </c>
      <c r="E1425" t="s">
        <v>225</v>
      </c>
      <c r="F1425" s="750" t="s">
        <v>784</v>
      </c>
      <c r="G1425" s="1" t="s">
        <v>3</v>
      </c>
      <c r="H1425" s="1">
        <v>552825</v>
      </c>
      <c r="I1425" t="s">
        <v>467</v>
      </c>
      <c r="J1425" s="110">
        <v>34999607</v>
      </c>
      <c r="K1425" s="4">
        <v>95362869</v>
      </c>
      <c r="L1425" s="4">
        <v>67.2</v>
      </c>
    </row>
    <row r="1426" spans="2:12" x14ac:dyDescent="0.2">
      <c r="B1426" s="749">
        <v>42615</v>
      </c>
      <c r="C1426" s="1" t="s">
        <v>871</v>
      </c>
      <c r="E1426" t="s">
        <v>225</v>
      </c>
      <c r="F1426" s="750" t="s">
        <v>784</v>
      </c>
      <c r="G1426" s="1" t="s">
        <v>3</v>
      </c>
      <c r="H1426" s="1">
        <v>552825</v>
      </c>
      <c r="I1426" t="s">
        <v>467</v>
      </c>
      <c r="J1426" s="110">
        <v>34999607</v>
      </c>
      <c r="K1426" s="4">
        <v>95618971</v>
      </c>
      <c r="L1426" s="4">
        <v>67.150000000000006</v>
      </c>
    </row>
    <row r="1427" spans="2:12" x14ac:dyDescent="0.2">
      <c r="B1427" s="749">
        <v>42615</v>
      </c>
      <c r="C1427" s="1" t="s">
        <v>871</v>
      </c>
      <c r="E1427" t="s">
        <v>225</v>
      </c>
      <c r="F1427" s="750" t="s">
        <v>784</v>
      </c>
      <c r="G1427" s="1" t="s">
        <v>3</v>
      </c>
      <c r="H1427" s="1">
        <v>552825</v>
      </c>
      <c r="I1427" t="s">
        <v>467</v>
      </c>
      <c r="J1427" s="110">
        <v>40417206</v>
      </c>
      <c r="K1427" s="4">
        <v>95759536</v>
      </c>
      <c r="L1427" s="4">
        <v>69.86</v>
      </c>
    </row>
    <row r="1428" spans="2:12" x14ac:dyDescent="0.2">
      <c r="B1428" s="749">
        <v>42615</v>
      </c>
      <c r="C1428" s="1" t="s">
        <v>871</v>
      </c>
      <c r="E1428" t="s">
        <v>225</v>
      </c>
      <c r="F1428" s="750" t="s">
        <v>784</v>
      </c>
      <c r="G1428" s="1" t="s">
        <v>3</v>
      </c>
      <c r="H1428" s="1">
        <v>552825</v>
      </c>
      <c r="I1428" t="s">
        <v>467</v>
      </c>
      <c r="J1428" s="110">
        <v>40417206</v>
      </c>
      <c r="K1428" s="4">
        <v>95539482</v>
      </c>
      <c r="L1428" s="4">
        <v>69.760000000000005</v>
      </c>
    </row>
    <row r="1429" spans="2:12" x14ac:dyDescent="0.2">
      <c r="B1429" s="749">
        <v>42615</v>
      </c>
      <c r="C1429" s="1" t="s">
        <v>871</v>
      </c>
      <c r="E1429" t="s">
        <v>225</v>
      </c>
      <c r="F1429" s="750" t="s">
        <v>784</v>
      </c>
      <c r="G1429" s="1" t="s">
        <v>3</v>
      </c>
      <c r="H1429" s="1">
        <v>552825</v>
      </c>
      <c r="I1429" t="s">
        <v>467</v>
      </c>
      <c r="J1429" s="110">
        <v>40417206</v>
      </c>
      <c r="K1429" s="4">
        <v>95532842</v>
      </c>
      <c r="L1429" s="4">
        <v>69.400000000000006</v>
      </c>
    </row>
    <row r="1430" spans="2:12" x14ac:dyDescent="0.2">
      <c r="B1430" s="749">
        <v>42615</v>
      </c>
      <c r="C1430" s="1" t="s">
        <v>871</v>
      </c>
      <c r="E1430" t="s">
        <v>225</v>
      </c>
      <c r="F1430" s="750" t="s">
        <v>784</v>
      </c>
      <c r="G1430" s="1" t="s">
        <v>3</v>
      </c>
      <c r="H1430" s="1">
        <v>552825</v>
      </c>
      <c r="I1430" t="s">
        <v>467</v>
      </c>
      <c r="J1430" s="110">
        <v>40363715</v>
      </c>
      <c r="K1430" s="4">
        <v>95620639</v>
      </c>
      <c r="L1430" s="4">
        <v>69.25</v>
      </c>
    </row>
    <row r="1431" spans="2:12" x14ac:dyDescent="0.2">
      <c r="B1431" s="749">
        <v>42616</v>
      </c>
      <c r="C1431" s="1" t="s">
        <v>871</v>
      </c>
      <c r="E1431" t="s">
        <v>225</v>
      </c>
      <c r="F1431" s="750" t="s">
        <v>784</v>
      </c>
      <c r="G1431" s="1" t="s">
        <v>3</v>
      </c>
      <c r="H1431" s="1">
        <v>552825</v>
      </c>
      <c r="I1431" t="s">
        <v>467</v>
      </c>
      <c r="J1431" s="110">
        <v>34999607</v>
      </c>
      <c r="K1431" s="4">
        <v>95648267</v>
      </c>
      <c r="L1431" s="4">
        <v>68.150000000000006</v>
      </c>
    </row>
    <row r="1432" spans="2:12" x14ac:dyDescent="0.2">
      <c r="B1432" s="749">
        <v>42616</v>
      </c>
      <c r="C1432" s="1" t="s">
        <v>871</v>
      </c>
      <c r="E1432" t="s">
        <v>225</v>
      </c>
      <c r="F1432" s="750" t="s">
        <v>784</v>
      </c>
      <c r="G1432" s="1" t="s">
        <v>3</v>
      </c>
      <c r="H1432" s="1">
        <v>552825</v>
      </c>
      <c r="I1432" t="s">
        <v>467</v>
      </c>
      <c r="J1432" s="110">
        <v>34999607</v>
      </c>
      <c r="K1432" s="4">
        <v>95366829</v>
      </c>
      <c r="L1432" s="4">
        <v>67.2</v>
      </c>
    </row>
    <row r="1433" spans="2:12" x14ac:dyDescent="0.2">
      <c r="B1433" s="749">
        <v>42616</v>
      </c>
      <c r="C1433" s="1" t="s">
        <v>871</v>
      </c>
      <c r="E1433" t="s">
        <v>225</v>
      </c>
      <c r="F1433" s="750" t="s">
        <v>784</v>
      </c>
      <c r="G1433" s="1" t="s">
        <v>3</v>
      </c>
      <c r="H1433" s="1">
        <v>552825</v>
      </c>
      <c r="I1433" t="s">
        <v>467</v>
      </c>
      <c r="J1433" s="110">
        <v>34999607</v>
      </c>
      <c r="K1433" s="4">
        <v>95528964</v>
      </c>
      <c r="L1433" s="4">
        <v>67.099999999999994</v>
      </c>
    </row>
    <row r="1434" spans="2:12" x14ac:dyDescent="0.2">
      <c r="B1434" s="749">
        <v>42616</v>
      </c>
      <c r="C1434" s="1" t="s">
        <v>871</v>
      </c>
      <c r="E1434" t="s">
        <v>225</v>
      </c>
      <c r="F1434" s="750" t="s">
        <v>784</v>
      </c>
      <c r="G1434" s="1" t="s">
        <v>3</v>
      </c>
      <c r="H1434" s="1">
        <v>552825</v>
      </c>
      <c r="I1434" t="s">
        <v>467</v>
      </c>
      <c r="J1434" s="110">
        <v>34993022</v>
      </c>
      <c r="K1434" s="4">
        <v>95543047</v>
      </c>
      <c r="L1434" s="4">
        <v>68.95</v>
      </c>
    </row>
    <row r="1435" spans="2:12" x14ac:dyDescent="0.2">
      <c r="B1435" s="749">
        <v>42616</v>
      </c>
      <c r="C1435" s="1" t="s">
        <v>871</v>
      </c>
      <c r="E1435" t="s">
        <v>225</v>
      </c>
      <c r="F1435" s="750" t="s">
        <v>784</v>
      </c>
      <c r="G1435" s="1" t="s">
        <v>3</v>
      </c>
      <c r="H1435" s="1">
        <v>552825</v>
      </c>
      <c r="I1435" t="s">
        <v>467</v>
      </c>
      <c r="J1435" s="110">
        <v>44067866</v>
      </c>
      <c r="K1435" s="4">
        <v>95638524</v>
      </c>
      <c r="L1435" s="4">
        <v>69.150000000000006</v>
      </c>
    </row>
    <row r="1436" spans="2:12" x14ac:dyDescent="0.2">
      <c r="B1436" s="749">
        <v>42616</v>
      </c>
      <c r="C1436" s="1" t="s">
        <v>871</v>
      </c>
      <c r="E1436" t="s">
        <v>225</v>
      </c>
      <c r="F1436" s="750" t="s">
        <v>784</v>
      </c>
      <c r="G1436" s="1" t="s">
        <v>3</v>
      </c>
      <c r="H1436" s="1">
        <v>552825</v>
      </c>
      <c r="I1436" t="s">
        <v>467</v>
      </c>
      <c r="J1436" s="110">
        <v>44067866</v>
      </c>
      <c r="K1436" s="4">
        <v>95527941</v>
      </c>
      <c r="L1436" s="4">
        <v>68.55</v>
      </c>
    </row>
    <row r="1437" spans="2:12" x14ac:dyDescent="0.2">
      <c r="B1437" s="749">
        <v>42616</v>
      </c>
      <c r="C1437" s="1" t="s">
        <v>871</v>
      </c>
      <c r="E1437" t="s">
        <v>225</v>
      </c>
      <c r="F1437" s="750" t="s">
        <v>784</v>
      </c>
      <c r="G1437" s="1" t="s">
        <v>3</v>
      </c>
      <c r="H1437" s="1">
        <v>552825</v>
      </c>
      <c r="I1437" t="s">
        <v>467</v>
      </c>
      <c r="J1437" s="110">
        <v>44067866</v>
      </c>
      <c r="K1437" s="4">
        <v>95620316</v>
      </c>
      <c r="L1437" s="4">
        <v>67.75</v>
      </c>
    </row>
    <row r="1438" spans="2:12" x14ac:dyDescent="0.2">
      <c r="B1438" s="749">
        <v>42616</v>
      </c>
      <c r="C1438" s="1" t="s">
        <v>871</v>
      </c>
      <c r="E1438" t="s">
        <v>225</v>
      </c>
      <c r="F1438" s="750" t="s">
        <v>784</v>
      </c>
      <c r="G1438" s="1" t="s">
        <v>3</v>
      </c>
      <c r="H1438" s="1">
        <v>552825</v>
      </c>
      <c r="I1438" t="s">
        <v>467</v>
      </c>
      <c r="J1438" s="110">
        <v>44067866</v>
      </c>
      <c r="K1438" s="4">
        <v>95648010</v>
      </c>
      <c r="L1438" s="4">
        <v>67.900000000000006</v>
      </c>
    </row>
    <row r="1439" spans="2:12" x14ac:dyDescent="0.2">
      <c r="B1439" s="749">
        <v>42616</v>
      </c>
      <c r="C1439" s="1" t="s">
        <v>871</v>
      </c>
      <c r="E1439" t="s">
        <v>225</v>
      </c>
      <c r="F1439" s="750" t="s">
        <v>784</v>
      </c>
      <c r="G1439" s="1" t="s">
        <v>3</v>
      </c>
      <c r="H1439" s="1">
        <v>552825</v>
      </c>
      <c r="I1439" t="s">
        <v>467</v>
      </c>
      <c r="J1439" s="110">
        <v>40363715</v>
      </c>
      <c r="K1439" s="4">
        <v>95683876</v>
      </c>
      <c r="L1439" s="4">
        <v>69.45</v>
      </c>
    </row>
    <row r="1440" spans="2:12" x14ac:dyDescent="0.2">
      <c r="B1440" s="749">
        <v>42616</v>
      </c>
      <c r="C1440" s="1" t="s">
        <v>871</v>
      </c>
      <c r="E1440" t="s">
        <v>225</v>
      </c>
      <c r="F1440" s="750" t="s">
        <v>784</v>
      </c>
      <c r="G1440" s="1" t="s">
        <v>3</v>
      </c>
      <c r="H1440" s="1">
        <v>552825</v>
      </c>
      <c r="I1440" t="s">
        <v>467</v>
      </c>
      <c r="J1440" s="110">
        <v>40363715</v>
      </c>
      <c r="K1440" s="4">
        <v>95197505</v>
      </c>
      <c r="L1440" s="4">
        <v>69.150000000000006</v>
      </c>
    </row>
    <row r="1441" spans="2:12" x14ac:dyDescent="0.2">
      <c r="B1441" s="749">
        <v>42616</v>
      </c>
      <c r="C1441" s="1" t="s">
        <v>871</v>
      </c>
      <c r="E1441" t="s">
        <v>225</v>
      </c>
      <c r="F1441" s="750" t="s">
        <v>784</v>
      </c>
      <c r="G1441" s="1" t="s">
        <v>3</v>
      </c>
      <c r="H1441" s="1">
        <v>552825</v>
      </c>
      <c r="I1441" t="s">
        <v>467</v>
      </c>
      <c r="J1441" s="110">
        <v>34973230</v>
      </c>
      <c r="K1441" s="4">
        <v>95320354</v>
      </c>
      <c r="L1441" s="4">
        <v>69.099999999999994</v>
      </c>
    </row>
    <row r="1442" spans="2:12" x14ac:dyDescent="0.2">
      <c r="B1442" s="749">
        <v>42616</v>
      </c>
      <c r="C1442" s="1" t="s">
        <v>871</v>
      </c>
      <c r="E1442" t="s">
        <v>225</v>
      </c>
      <c r="F1442" s="750" t="s">
        <v>784</v>
      </c>
      <c r="G1442" s="1" t="s">
        <v>3</v>
      </c>
      <c r="H1442" s="1">
        <v>552825</v>
      </c>
      <c r="I1442" t="s">
        <v>467</v>
      </c>
      <c r="J1442" s="110">
        <v>32015323</v>
      </c>
      <c r="K1442" s="4">
        <v>95653838</v>
      </c>
      <c r="L1442" s="4">
        <v>69.900000000000006</v>
      </c>
    </row>
    <row r="1443" spans="2:12" x14ac:dyDescent="0.2">
      <c r="B1443" s="749">
        <v>42616</v>
      </c>
      <c r="C1443" s="1" t="s">
        <v>871</v>
      </c>
      <c r="E1443" t="s">
        <v>225</v>
      </c>
      <c r="F1443" s="750" t="s">
        <v>784</v>
      </c>
      <c r="G1443" s="1" t="s">
        <v>3</v>
      </c>
      <c r="H1443" s="1">
        <v>552825</v>
      </c>
      <c r="I1443" t="s">
        <v>467</v>
      </c>
      <c r="J1443" s="110">
        <v>32015323</v>
      </c>
      <c r="K1443" s="4">
        <v>95528725</v>
      </c>
      <c r="L1443" s="4">
        <v>69.3</v>
      </c>
    </row>
    <row r="1444" spans="2:12" x14ac:dyDescent="0.2">
      <c r="B1444" s="749">
        <v>42616</v>
      </c>
      <c r="C1444" s="1" t="s">
        <v>871</v>
      </c>
      <c r="E1444" t="s">
        <v>225</v>
      </c>
      <c r="F1444" s="750" t="s">
        <v>784</v>
      </c>
      <c r="G1444" s="1" t="s">
        <v>3</v>
      </c>
      <c r="H1444" s="1">
        <v>552825</v>
      </c>
      <c r="I1444" t="s">
        <v>467</v>
      </c>
      <c r="J1444" s="110">
        <v>32015323</v>
      </c>
      <c r="K1444" s="4">
        <v>95450854</v>
      </c>
      <c r="L1444" s="4">
        <v>68.599999999999994</v>
      </c>
    </row>
    <row r="1445" spans="2:12" x14ac:dyDescent="0.2">
      <c r="B1445" s="749">
        <v>42616</v>
      </c>
      <c r="C1445" s="1" t="s">
        <v>871</v>
      </c>
      <c r="E1445" t="s">
        <v>225</v>
      </c>
      <c r="F1445" s="750" t="s">
        <v>784</v>
      </c>
      <c r="G1445" s="1" t="s">
        <v>3</v>
      </c>
      <c r="H1445" s="1">
        <v>552825</v>
      </c>
      <c r="I1445" t="s">
        <v>467</v>
      </c>
      <c r="J1445" s="110">
        <v>32015323</v>
      </c>
      <c r="K1445" s="4">
        <v>95631578</v>
      </c>
      <c r="L1445" s="4">
        <v>69.849999999999994</v>
      </c>
    </row>
    <row r="1446" spans="2:12" x14ac:dyDescent="0.2">
      <c r="B1446" s="749">
        <v>42616</v>
      </c>
      <c r="C1446" s="1" t="s">
        <v>871</v>
      </c>
      <c r="E1446" t="s">
        <v>225</v>
      </c>
      <c r="F1446" s="750" t="s">
        <v>784</v>
      </c>
      <c r="G1446" s="1" t="s">
        <v>3</v>
      </c>
      <c r="H1446" s="1">
        <v>552825</v>
      </c>
      <c r="I1446" t="s">
        <v>467</v>
      </c>
      <c r="J1446" s="110">
        <v>32015323</v>
      </c>
      <c r="K1446" s="4">
        <v>95347720</v>
      </c>
      <c r="L1446" s="4">
        <v>68.5</v>
      </c>
    </row>
    <row r="1447" spans="2:12" x14ac:dyDescent="0.2">
      <c r="B1447" s="749">
        <v>42616</v>
      </c>
      <c r="C1447" s="1" t="s">
        <v>871</v>
      </c>
      <c r="E1447" t="s">
        <v>225</v>
      </c>
      <c r="F1447" s="750" t="s">
        <v>784</v>
      </c>
      <c r="G1447" s="1" t="s">
        <v>3</v>
      </c>
      <c r="H1447" s="1">
        <v>552825</v>
      </c>
      <c r="I1447" t="s">
        <v>467</v>
      </c>
      <c r="J1447" s="110">
        <v>32003113</v>
      </c>
      <c r="K1447" s="4">
        <v>95526570</v>
      </c>
      <c r="L1447" s="4">
        <v>68.900000000000006</v>
      </c>
    </row>
    <row r="1448" spans="2:12" x14ac:dyDescent="0.2">
      <c r="B1448" s="749">
        <v>42616</v>
      </c>
      <c r="C1448" s="1" t="s">
        <v>871</v>
      </c>
      <c r="E1448" t="s">
        <v>225</v>
      </c>
      <c r="F1448" s="750" t="s">
        <v>784</v>
      </c>
      <c r="G1448" s="1" t="s">
        <v>3</v>
      </c>
      <c r="H1448" s="1">
        <v>552825</v>
      </c>
      <c r="I1448" t="s">
        <v>467</v>
      </c>
      <c r="J1448" s="110">
        <v>32003113</v>
      </c>
      <c r="K1448" s="4">
        <v>95921300</v>
      </c>
      <c r="L1448" s="4">
        <v>69.25</v>
      </c>
    </row>
    <row r="1449" spans="2:12" x14ac:dyDescent="0.2">
      <c r="B1449" s="749">
        <v>42616</v>
      </c>
      <c r="C1449" s="1" t="s">
        <v>871</v>
      </c>
      <c r="E1449" t="s">
        <v>225</v>
      </c>
      <c r="F1449" s="750" t="s">
        <v>784</v>
      </c>
      <c r="G1449" s="1" t="s">
        <v>3</v>
      </c>
      <c r="H1449" s="1">
        <v>552825</v>
      </c>
      <c r="I1449" t="s">
        <v>467</v>
      </c>
      <c r="J1449" s="110">
        <v>32003113</v>
      </c>
      <c r="K1449" s="4">
        <v>95292652</v>
      </c>
      <c r="L1449" s="4">
        <v>68.349999999999994</v>
      </c>
    </row>
    <row r="1450" spans="2:12" x14ac:dyDescent="0.2">
      <c r="B1450" s="749">
        <v>42616</v>
      </c>
      <c r="C1450" s="1" t="s">
        <v>871</v>
      </c>
      <c r="E1450" t="s">
        <v>225</v>
      </c>
      <c r="F1450" s="750" t="s">
        <v>784</v>
      </c>
      <c r="G1450" s="1" t="s">
        <v>3</v>
      </c>
      <c r="H1450" s="1">
        <v>552825</v>
      </c>
      <c r="I1450" t="s">
        <v>467</v>
      </c>
      <c r="J1450" s="110">
        <v>34999433</v>
      </c>
      <c r="K1450" s="4">
        <v>95753646</v>
      </c>
      <c r="L1450" s="4">
        <v>69.75</v>
      </c>
    </row>
    <row r="1451" spans="2:12" x14ac:dyDescent="0.2">
      <c r="B1451" s="749">
        <v>42616</v>
      </c>
      <c r="C1451" s="1" t="s">
        <v>871</v>
      </c>
      <c r="E1451" t="s">
        <v>225</v>
      </c>
      <c r="F1451" s="750" t="s">
        <v>784</v>
      </c>
      <c r="G1451" s="1" t="s">
        <v>3</v>
      </c>
      <c r="H1451" s="1">
        <v>552825</v>
      </c>
      <c r="I1451" t="s">
        <v>467</v>
      </c>
      <c r="J1451" s="110">
        <v>34999433</v>
      </c>
      <c r="K1451" s="4">
        <v>95638607</v>
      </c>
      <c r="L1451" s="4">
        <v>69.7</v>
      </c>
    </row>
    <row r="1452" spans="2:12" x14ac:dyDescent="0.2">
      <c r="B1452" s="749">
        <v>42616</v>
      </c>
      <c r="C1452" s="1" t="s">
        <v>871</v>
      </c>
      <c r="E1452" t="s">
        <v>225</v>
      </c>
      <c r="F1452" s="750" t="s">
        <v>784</v>
      </c>
      <c r="G1452" s="1" t="s">
        <v>3</v>
      </c>
      <c r="H1452" s="1">
        <v>552825</v>
      </c>
      <c r="I1452" t="s">
        <v>467</v>
      </c>
      <c r="J1452" s="110">
        <v>34999433</v>
      </c>
      <c r="K1452" s="4">
        <v>95390308</v>
      </c>
      <c r="L1452" s="4">
        <v>69.599999999999994</v>
      </c>
    </row>
    <row r="1453" spans="2:12" x14ac:dyDescent="0.2">
      <c r="B1453" s="749">
        <v>42616</v>
      </c>
      <c r="C1453" s="1" t="s">
        <v>871</v>
      </c>
      <c r="E1453" t="s">
        <v>225</v>
      </c>
      <c r="F1453" s="750" t="s">
        <v>784</v>
      </c>
      <c r="G1453" s="1" t="s">
        <v>3</v>
      </c>
      <c r="H1453" s="1">
        <v>552825</v>
      </c>
      <c r="I1453" t="s">
        <v>467</v>
      </c>
      <c r="J1453" s="110">
        <v>34999433</v>
      </c>
      <c r="K1453" s="4">
        <v>95370631</v>
      </c>
      <c r="L1453" s="4">
        <v>64.55</v>
      </c>
    </row>
    <row r="1454" spans="2:12" x14ac:dyDescent="0.2">
      <c r="B1454" s="749">
        <v>42616</v>
      </c>
      <c r="C1454" s="1" t="s">
        <v>871</v>
      </c>
      <c r="E1454" t="s">
        <v>225</v>
      </c>
      <c r="F1454" s="750" t="s">
        <v>784</v>
      </c>
      <c r="G1454" s="1" t="s">
        <v>3</v>
      </c>
      <c r="H1454" s="1">
        <v>552825</v>
      </c>
      <c r="I1454" t="s">
        <v>467</v>
      </c>
      <c r="J1454" s="110">
        <v>34999433</v>
      </c>
      <c r="K1454" s="4">
        <v>95383667</v>
      </c>
      <c r="L1454" s="4">
        <v>69.650000000000006</v>
      </c>
    </row>
    <row r="1455" spans="2:12" x14ac:dyDescent="0.2">
      <c r="B1455" s="749">
        <v>42616</v>
      </c>
      <c r="C1455" s="1" t="s">
        <v>871</v>
      </c>
      <c r="E1455" t="s">
        <v>225</v>
      </c>
      <c r="F1455" s="750" t="s">
        <v>784</v>
      </c>
      <c r="G1455" s="1" t="s">
        <v>3</v>
      </c>
      <c r="H1455" s="1">
        <v>552825</v>
      </c>
      <c r="I1455" t="s">
        <v>467</v>
      </c>
      <c r="J1455" s="110">
        <v>34999433</v>
      </c>
      <c r="K1455" s="4">
        <v>95800942</v>
      </c>
      <c r="L1455" s="4">
        <v>69.349999999999994</v>
      </c>
    </row>
    <row r="1456" spans="2:12" x14ac:dyDescent="0.2">
      <c r="B1456" s="749">
        <v>42616</v>
      </c>
      <c r="C1456" s="1" t="s">
        <v>871</v>
      </c>
      <c r="E1456" t="s">
        <v>225</v>
      </c>
      <c r="F1456" s="750" t="s">
        <v>784</v>
      </c>
      <c r="G1456" s="1" t="s">
        <v>3</v>
      </c>
      <c r="H1456" s="1">
        <v>552825</v>
      </c>
      <c r="I1456" t="s">
        <v>467</v>
      </c>
      <c r="J1456" s="110">
        <v>34993022</v>
      </c>
      <c r="K1456" s="4">
        <v>95678926</v>
      </c>
      <c r="L1456" s="4">
        <v>66.2</v>
      </c>
    </row>
    <row r="1457" spans="2:12" x14ac:dyDescent="0.2">
      <c r="B1457" s="749">
        <v>42616</v>
      </c>
      <c r="C1457" s="1" t="s">
        <v>871</v>
      </c>
      <c r="E1457" t="s">
        <v>225</v>
      </c>
      <c r="F1457" s="750" t="s">
        <v>784</v>
      </c>
      <c r="G1457" s="1" t="s">
        <v>3</v>
      </c>
      <c r="H1457" s="1">
        <v>552825</v>
      </c>
      <c r="I1457" t="s">
        <v>467</v>
      </c>
      <c r="J1457" s="110">
        <v>34999607</v>
      </c>
      <c r="K1457" s="4">
        <v>95668588</v>
      </c>
      <c r="L1457" s="4">
        <v>67.3</v>
      </c>
    </row>
    <row r="1458" spans="2:12" x14ac:dyDescent="0.2">
      <c r="B1458" s="749">
        <v>42616</v>
      </c>
      <c r="C1458" s="1" t="s">
        <v>871</v>
      </c>
      <c r="E1458" t="s">
        <v>225</v>
      </c>
      <c r="F1458" s="750" t="s">
        <v>784</v>
      </c>
      <c r="G1458" s="1" t="s">
        <v>3</v>
      </c>
      <c r="H1458" s="1">
        <v>552825</v>
      </c>
      <c r="I1458" t="s">
        <v>467</v>
      </c>
      <c r="J1458" s="110">
        <v>34999607</v>
      </c>
      <c r="K1458" s="4">
        <v>95389946</v>
      </c>
      <c r="L1458" s="4">
        <v>67.3</v>
      </c>
    </row>
    <row r="1459" spans="2:12" x14ac:dyDescent="0.2">
      <c r="B1459" s="749">
        <v>42616</v>
      </c>
      <c r="C1459" s="1" t="s">
        <v>871</v>
      </c>
      <c r="E1459" t="s">
        <v>225</v>
      </c>
      <c r="F1459" s="750" t="s">
        <v>784</v>
      </c>
      <c r="G1459" s="1" t="s">
        <v>3</v>
      </c>
      <c r="H1459" s="1">
        <v>552825</v>
      </c>
      <c r="I1459" t="s">
        <v>467</v>
      </c>
      <c r="J1459" s="110">
        <v>34999607</v>
      </c>
      <c r="K1459" s="4">
        <v>95758389</v>
      </c>
      <c r="L1459" s="4">
        <v>68.75</v>
      </c>
    </row>
    <row r="1460" spans="2:12" x14ac:dyDescent="0.2">
      <c r="B1460" s="749">
        <v>42616</v>
      </c>
      <c r="C1460" s="1" t="s">
        <v>871</v>
      </c>
      <c r="E1460" t="s">
        <v>225</v>
      </c>
      <c r="F1460" s="750" t="s">
        <v>784</v>
      </c>
      <c r="G1460" s="1" t="s">
        <v>3</v>
      </c>
      <c r="H1460" s="1">
        <v>552825</v>
      </c>
      <c r="I1460" t="s">
        <v>467</v>
      </c>
      <c r="J1460" s="110">
        <v>34999607</v>
      </c>
      <c r="K1460" s="4">
        <v>95751244</v>
      </c>
      <c r="L1460" s="4">
        <v>67.25</v>
      </c>
    </row>
    <row r="1461" spans="2:12" x14ac:dyDescent="0.2">
      <c r="B1461" s="749">
        <v>42616</v>
      </c>
      <c r="C1461" s="1" t="s">
        <v>871</v>
      </c>
      <c r="E1461" t="s">
        <v>225</v>
      </c>
      <c r="F1461" s="750" t="s">
        <v>784</v>
      </c>
      <c r="G1461" s="1" t="s">
        <v>3</v>
      </c>
      <c r="H1461" s="1">
        <v>552825</v>
      </c>
      <c r="I1461" t="s">
        <v>467</v>
      </c>
      <c r="J1461" s="110">
        <v>44067866</v>
      </c>
      <c r="K1461" s="4">
        <v>95525713</v>
      </c>
      <c r="L1461" s="4">
        <v>68.55</v>
      </c>
    </row>
    <row r="1462" spans="2:12" x14ac:dyDescent="0.2">
      <c r="B1462" s="749">
        <v>42616</v>
      </c>
      <c r="C1462" s="1" t="s">
        <v>871</v>
      </c>
      <c r="E1462" t="s">
        <v>225</v>
      </c>
      <c r="F1462" s="750" t="s">
        <v>784</v>
      </c>
      <c r="G1462" s="1" t="s">
        <v>3</v>
      </c>
      <c r="H1462" s="1">
        <v>552825</v>
      </c>
      <c r="I1462" t="s">
        <v>467</v>
      </c>
      <c r="J1462" s="110">
        <v>40363715</v>
      </c>
      <c r="K1462" s="4">
        <v>95305405</v>
      </c>
      <c r="L1462" s="4">
        <v>64.75</v>
      </c>
    </row>
    <row r="1463" spans="2:12" x14ac:dyDescent="0.2">
      <c r="B1463" s="749">
        <v>42616</v>
      </c>
      <c r="C1463" s="1" t="s">
        <v>871</v>
      </c>
      <c r="E1463" t="s">
        <v>225</v>
      </c>
      <c r="F1463" s="750" t="s">
        <v>784</v>
      </c>
      <c r="G1463" s="1" t="s">
        <v>3</v>
      </c>
      <c r="H1463" s="1">
        <v>552825</v>
      </c>
      <c r="I1463" t="s">
        <v>467</v>
      </c>
      <c r="J1463" s="110">
        <v>40363715</v>
      </c>
      <c r="K1463" s="4">
        <v>95538112</v>
      </c>
      <c r="L1463" s="4">
        <v>64.7</v>
      </c>
    </row>
    <row r="1464" spans="2:12" x14ac:dyDescent="0.2">
      <c r="B1464" s="749">
        <v>42616</v>
      </c>
      <c r="C1464" s="1" t="s">
        <v>871</v>
      </c>
      <c r="E1464" t="s">
        <v>225</v>
      </c>
      <c r="F1464" s="750" t="s">
        <v>784</v>
      </c>
      <c r="G1464" s="1" t="s">
        <v>3</v>
      </c>
      <c r="H1464" s="1">
        <v>552825</v>
      </c>
      <c r="I1464" t="s">
        <v>467</v>
      </c>
      <c r="J1464" s="110">
        <v>32015323</v>
      </c>
      <c r="K1464" s="4">
        <v>95543815</v>
      </c>
      <c r="L1464" s="4">
        <v>69.05</v>
      </c>
    </row>
    <row r="1465" spans="2:12" x14ac:dyDescent="0.2">
      <c r="B1465" s="749">
        <v>42616</v>
      </c>
      <c r="C1465" s="1" t="s">
        <v>871</v>
      </c>
      <c r="E1465" t="s">
        <v>225</v>
      </c>
      <c r="F1465" s="750" t="s">
        <v>784</v>
      </c>
      <c r="G1465" s="1" t="s">
        <v>3</v>
      </c>
      <c r="H1465" s="1">
        <v>552825</v>
      </c>
      <c r="I1465" t="s">
        <v>467</v>
      </c>
      <c r="J1465" s="110">
        <v>32015323</v>
      </c>
      <c r="K1465" s="4">
        <v>95695813</v>
      </c>
      <c r="L1465" s="4">
        <v>69.5</v>
      </c>
    </row>
    <row r="1466" spans="2:12" x14ac:dyDescent="0.2">
      <c r="B1466" s="749">
        <v>42616</v>
      </c>
      <c r="C1466" s="1" t="s">
        <v>871</v>
      </c>
      <c r="E1466" t="s">
        <v>225</v>
      </c>
      <c r="F1466" s="750" t="s">
        <v>784</v>
      </c>
      <c r="G1466" s="1" t="s">
        <v>3</v>
      </c>
      <c r="H1466" s="1">
        <v>552825</v>
      </c>
      <c r="I1466" t="s">
        <v>467</v>
      </c>
      <c r="J1466" s="110">
        <v>34973610</v>
      </c>
      <c r="K1466" s="4">
        <v>95041422</v>
      </c>
      <c r="L1466" s="4">
        <v>64.099999999999994</v>
      </c>
    </row>
    <row r="1467" spans="2:12" x14ac:dyDescent="0.2">
      <c r="B1467" s="749">
        <v>42616</v>
      </c>
      <c r="C1467" s="1" t="s">
        <v>871</v>
      </c>
      <c r="E1467" t="s">
        <v>225</v>
      </c>
      <c r="F1467" s="750" t="s">
        <v>784</v>
      </c>
      <c r="G1467" s="1" t="s">
        <v>3</v>
      </c>
      <c r="H1467" s="1">
        <v>552825</v>
      </c>
      <c r="I1467" t="s">
        <v>467</v>
      </c>
      <c r="J1467" s="110">
        <v>34973610</v>
      </c>
      <c r="K1467" s="4">
        <v>95450870</v>
      </c>
      <c r="L1467" s="4">
        <v>69.05</v>
      </c>
    </row>
    <row r="1468" spans="2:12" x14ac:dyDescent="0.2">
      <c r="B1468" s="749">
        <v>42617</v>
      </c>
      <c r="C1468" s="1" t="s">
        <v>871</v>
      </c>
      <c r="E1468" t="s">
        <v>225</v>
      </c>
      <c r="F1468" s="750" t="s">
        <v>784</v>
      </c>
      <c r="G1468" s="1" t="s">
        <v>3</v>
      </c>
      <c r="H1468" s="1">
        <v>552825</v>
      </c>
      <c r="I1468" t="s">
        <v>467</v>
      </c>
      <c r="J1468" s="110">
        <v>32016222</v>
      </c>
      <c r="K1468" s="4">
        <v>95298782</v>
      </c>
      <c r="L1468" s="4">
        <v>62.15</v>
      </c>
    </row>
    <row r="1469" spans="2:12" x14ac:dyDescent="0.2">
      <c r="B1469" s="749">
        <v>42615</v>
      </c>
      <c r="C1469" s="1" t="s">
        <v>770</v>
      </c>
      <c r="E1469" t="s">
        <v>225</v>
      </c>
      <c r="F1469" s="750" t="s">
        <v>784</v>
      </c>
      <c r="G1469" s="1" t="s">
        <v>3</v>
      </c>
      <c r="H1469" s="1">
        <v>553630</v>
      </c>
      <c r="I1469" t="s">
        <v>467</v>
      </c>
      <c r="J1469" s="110">
        <v>34998914</v>
      </c>
      <c r="K1469" s="4">
        <v>95104915</v>
      </c>
      <c r="L1469" s="4">
        <v>70.3</v>
      </c>
    </row>
    <row r="1470" spans="2:12" x14ac:dyDescent="0.2">
      <c r="B1470" s="749">
        <v>42615</v>
      </c>
      <c r="C1470" s="1" t="s">
        <v>770</v>
      </c>
      <c r="E1470" t="s">
        <v>225</v>
      </c>
      <c r="F1470" s="750" t="s">
        <v>784</v>
      </c>
      <c r="G1470" s="1" t="s">
        <v>3</v>
      </c>
      <c r="H1470" s="1">
        <v>553630</v>
      </c>
      <c r="I1470" t="s">
        <v>467</v>
      </c>
      <c r="J1470" s="110">
        <v>34998914</v>
      </c>
      <c r="K1470" s="4">
        <v>95103032</v>
      </c>
      <c r="L1470" s="4">
        <v>69.900000000000006</v>
      </c>
    </row>
    <row r="1471" spans="2:12" x14ac:dyDescent="0.2">
      <c r="B1471" s="749">
        <v>42615</v>
      </c>
      <c r="C1471" s="1" t="s">
        <v>770</v>
      </c>
      <c r="E1471" t="s">
        <v>225</v>
      </c>
      <c r="F1471" s="750" t="s">
        <v>784</v>
      </c>
      <c r="G1471" s="1" t="s">
        <v>3</v>
      </c>
      <c r="H1471" s="1">
        <v>553630</v>
      </c>
      <c r="I1471" t="s">
        <v>467</v>
      </c>
      <c r="J1471" s="110">
        <v>32002701</v>
      </c>
      <c r="K1471" s="4">
        <v>95100046</v>
      </c>
      <c r="L1471" s="4">
        <v>69.8</v>
      </c>
    </row>
    <row r="1472" spans="2:12" x14ac:dyDescent="0.2">
      <c r="B1472" s="749">
        <v>42615</v>
      </c>
      <c r="C1472" s="1" t="s">
        <v>770</v>
      </c>
      <c r="E1472" t="s">
        <v>225</v>
      </c>
      <c r="F1472" s="750" t="s">
        <v>784</v>
      </c>
      <c r="G1472" s="1" t="s">
        <v>3</v>
      </c>
      <c r="H1472" s="1">
        <v>553630</v>
      </c>
      <c r="I1472" t="s">
        <v>467</v>
      </c>
      <c r="J1472" s="110">
        <v>32002701</v>
      </c>
      <c r="K1472" s="4">
        <v>95149555</v>
      </c>
      <c r="L1472" s="4">
        <v>70</v>
      </c>
    </row>
    <row r="1473" spans="2:12" x14ac:dyDescent="0.2">
      <c r="B1473" s="749">
        <v>42616</v>
      </c>
      <c r="C1473" s="1" t="s">
        <v>770</v>
      </c>
      <c r="E1473" t="s">
        <v>225</v>
      </c>
      <c r="F1473" s="750" t="s">
        <v>784</v>
      </c>
      <c r="G1473" s="1" t="s">
        <v>3</v>
      </c>
      <c r="H1473" s="1">
        <v>553630</v>
      </c>
      <c r="I1473" t="s">
        <v>467</v>
      </c>
      <c r="J1473" s="110">
        <v>34998914</v>
      </c>
      <c r="K1473" s="4">
        <v>95114906</v>
      </c>
      <c r="L1473" s="4">
        <v>70</v>
      </c>
    </row>
    <row r="1474" spans="2:12" x14ac:dyDescent="0.2">
      <c r="B1474" s="749">
        <v>42617</v>
      </c>
      <c r="C1474" s="1" t="s">
        <v>770</v>
      </c>
      <c r="E1474" t="s">
        <v>225</v>
      </c>
      <c r="F1474" s="750" t="s">
        <v>784</v>
      </c>
      <c r="G1474" s="1" t="s">
        <v>3</v>
      </c>
      <c r="H1474" s="1">
        <v>553630</v>
      </c>
      <c r="I1474" t="s">
        <v>467</v>
      </c>
      <c r="J1474" s="110">
        <v>32016222</v>
      </c>
      <c r="K1474" s="4">
        <v>95616157</v>
      </c>
      <c r="L1474" s="4">
        <v>67.25</v>
      </c>
    </row>
    <row r="1475" spans="2:12" x14ac:dyDescent="0.2">
      <c r="B1475" s="749">
        <v>42617</v>
      </c>
      <c r="C1475" s="1" t="s">
        <v>770</v>
      </c>
      <c r="E1475" t="s">
        <v>225</v>
      </c>
      <c r="F1475" s="750" t="s">
        <v>784</v>
      </c>
      <c r="G1475" s="1" t="s">
        <v>3</v>
      </c>
      <c r="H1475" s="1">
        <v>553630</v>
      </c>
      <c r="I1475" t="s">
        <v>467</v>
      </c>
      <c r="J1475" s="110">
        <v>32016222</v>
      </c>
      <c r="K1475" s="4">
        <v>95797619</v>
      </c>
      <c r="L1475" s="4">
        <v>67.849999999999994</v>
      </c>
    </row>
    <row r="1476" spans="2:12" x14ac:dyDescent="0.2">
      <c r="B1476" s="749">
        <v>42617</v>
      </c>
      <c r="C1476" s="1" t="s">
        <v>770</v>
      </c>
      <c r="E1476" t="s">
        <v>225</v>
      </c>
      <c r="F1476" s="750" t="s">
        <v>784</v>
      </c>
      <c r="G1476" s="1" t="s">
        <v>3</v>
      </c>
      <c r="H1476" s="1">
        <v>553630</v>
      </c>
      <c r="I1476" t="s">
        <v>467</v>
      </c>
      <c r="J1476" s="110">
        <v>32016222</v>
      </c>
      <c r="K1476" s="4">
        <v>95928925</v>
      </c>
      <c r="L1476" s="4">
        <v>67.5</v>
      </c>
    </row>
    <row r="1477" spans="2:12" x14ac:dyDescent="0.2">
      <c r="B1477" s="749">
        <v>42617</v>
      </c>
      <c r="C1477" s="1" t="s">
        <v>770</v>
      </c>
      <c r="E1477" t="s">
        <v>225</v>
      </c>
      <c r="F1477" s="750" t="s">
        <v>784</v>
      </c>
      <c r="G1477" s="1" t="s">
        <v>3</v>
      </c>
      <c r="H1477" s="1">
        <v>553630</v>
      </c>
      <c r="I1477" t="s">
        <v>467</v>
      </c>
      <c r="J1477" s="110">
        <v>44079127</v>
      </c>
      <c r="K1477" s="4">
        <v>95753901</v>
      </c>
      <c r="L1477" s="4">
        <v>68.14</v>
      </c>
    </row>
    <row r="1478" spans="2:12" x14ac:dyDescent="0.2">
      <c r="B1478" s="749">
        <v>42617</v>
      </c>
      <c r="C1478" s="1" t="s">
        <v>770</v>
      </c>
      <c r="E1478" t="s">
        <v>225</v>
      </c>
      <c r="F1478" s="750" t="s">
        <v>784</v>
      </c>
      <c r="G1478" s="1" t="s">
        <v>3</v>
      </c>
      <c r="H1478" s="1">
        <v>553630</v>
      </c>
      <c r="I1478" t="s">
        <v>467</v>
      </c>
      <c r="J1478" s="110">
        <v>44079127</v>
      </c>
      <c r="K1478" s="4">
        <v>95831160</v>
      </c>
      <c r="L1478" s="4">
        <v>68.069999999999993</v>
      </c>
    </row>
    <row r="1479" spans="2:12" x14ac:dyDescent="0.2">
      <c r="B1479" s="749">
        <v>42620</v>
      </c>
      <c r="C1479" s="1" t="s">
        <v>770</v>
      </c>
      <c r="E1479" t="s">
        <v>225</v>
      </c>
      <c r="F1479" s="750" t="s">
        <v>784</v>
      </c>
      <c r="G1479" s="1" t="s">
        <v>3</v>
      </c>
      <c r="H1479" s="1">
        <v>553630</v>
      </c>
      <c r="I1479" t="s">
        <v>467</v>
      </c>
      <c r="J1479" s="110">
        <v>44090207</v>
      </c>
      <c r="K1479" s="4">
        <v>95630646</v>
      </c>
      <c r="L1479" s="4">
        <v>66.94</v>
      </c>
    </row>
    <row r="1480" spans="2:12" x14ac:dyDescent="0.2">
      <c r="B1480" s="749">
        <v>42620</v>
      </c>
      <c r="C1480" s="1" t="s">
        <v>770</v>
      </c>
      <c r="E1480" t="s">
        <v>225</v>
      </c>
      <c r="F1480" s="750" t="s">
        <v>784</v>
      </c>
      <c r="G1480" s="1" t="s">
        <v>3</v>
      </c>
      <c r="H1480" s="1">
        <v>553630</v>
      </c>
      <c r="I1480" t="s">
        <v>467</v>
      </c>
      <c r="J1480" s="110">
        <v>44090207</v>
      </c>
      <c r="K1480" s="4">
        <v>95644977</v>
      </c>
      <c r="L1480" s="4">
        <v>67.180000000000007</v>
      </c>
    </row>
    <row r="1481" spans="2:12" x14ac:dyDescent="0.2">
      <c r="B1481" s="749">
        <v>42620</v>
      </c>
      <c r="C1481" s="1" t="s">
        <v>770</v>
      </c>
      <c r="E1481" t="s">
        <v>225</v>
      </c>
      <c r="F1481" s="750" t="s">
        <v>784</v>
      </c>
      <c r="G1481" s="1" t="s">
        <v>3</v>
      </c>
      <c r="H1481" s="1">
        <v>553630</v>
      </c>
      <c r="I1481" t="s">
        <v>467</v>
      </c>
      <c r="J1481" s="110">
        <v>44090207</v>
      </c>
      <c r="K1481" s="4">
        <v>95647517</v>
      </c>
      <c r="L1481" s="4">
        <v>68.12</v>
      </c>
    </row>
    <row r="1482" spans="2:12" x14ac:dyDescent="0.2">
      <c r="B1482" s="749">
        <v>42620</v>
      </c>
      <c r="C1482" s="1" t="s">
        <v>770</v>
      </c>
      <c r="E1482" t="s">
        <v>225</v>
      </c>
      <c r="F1482" s="750" t="s">
        <v>784</v>
      </c>
      <c r="G1482" s="1" t="s">
        <v>3</v>
      </c>
      <c r="H1482" s="1">
        <v>553630</v>
      </c>
      <c r="I1482" t="s">
        <v>467</v>
      </c>
      <c r="J1482" s="110">
        <v>44090207</v>
      </c>
      <c r="K1482" s="4">
        <v>95794558</v>
      </c>
      <c r="L1482" s="4">
        <v>67.42</v>
      </c>
    </row>
    <row r="1483" spans="2:12" x14ac:dyDescent="0.2">
      <c r="B1483" s="749">
        <v>42620</v>
      </c>
      <c r="C1483" s="1" t="s">
        <v>770</v>
      </c>
      <c r="E1483" t="s">
        <v>225</v>
      </c>
      <c r="F1483" s="750" t="s">
        <v>784</v>
      </c>
      <c r="G1483" s="1" t="s">
        <v>3</v>
      </c>
      <c r="H1483" s="1">
        <v>553630</v>
      </c>
      <c r="I1483" t="s">
        <v>467</v>
      </c>
      <c r="J1483" s="110">
        <v>44090207</v>
      </c>
      <c r="K1483" s="4">
        <v>95536983</v>
      </c>
      <c r="L1483" s="4">
        <v>67.72</v>
      </c>
    </row>
    <row r="1484" spans="2:12" x14ac:dyDescent="0.2">
      <c r="B1484" s="749">
        <v>42620</v>
      </c>
      <c r="C1484" s="1" t="s">
        <v>871</v>
      </c>
      <c r="E1484" t="s">
        <v>225</v>
      </c>
      <c r="F1484" s="750" t="s">
        <v>784</v>
      </c>
      <c r="G1484" s="1" t="s">
        <v>3</v>
      </c>
      <c r="H1484" s="1">
        <v>552825</v>
      </c>
      <c r="I1484" t="s">
        <v>467</v>
      </c>
      <c r="J1484" s="110">
        <v>34993717</v>
      </c>
      <c r="K1484" s="4">
        <v>95619409</v>
      </c>
      <c r="L1484" s="4">
        <v>69.61</v>
      </c>
    </row>
    <row r="1485" spans="2:12" x14ac:dyDescent="0.2">
      <c r="B1485" s="749">
        <v>42620</v>
      </c>
      <c r="C1485" s="1" t="s">
        <v>770</v>
      </c>
      <c r="E1485" t="s">
        <v>225</v>
      </c>
      <c r="F1485" s="750" t="s">
        <v>784</v>
      </c>
      <c r="G1485" s="1" t="s">
        <v>3</v>
      </c>
      <c r="H1485" s="1">
        <v>553630</v>
      </c>
      <c r="I1485" t="s">
        <v>467</v>
      </c>
      <c r="J1485" s="110">
        <v>32031346</v>
      </c>
      <c r="K1485" s="4">
        <v>95493375</v>
      </c>
      <c r="L1485" s="4">
        <v>69.599999999999994</v>
      </c>
    </row>
    <row r="1486" spans="2:12" x14ac:dyDescent="0.2">
      <c r="B1486" s="749">
        <v>42620</v>
      </c>
      <c r="C1486" s="1" t="s">
        <v>770</v>
      </c>
      <c r="E1486" t="s">
        <v>225</v>
      </c>
      <c r="F1486" s="750" t="s">
        <v>784</v>
      </c>
      <c r="G1486" s="1" t="s">
        <v>3</v>
      </c>
      <c r="H1486" s="1">
        <v>553630</v>
      </c>
      <c r="I1486" t="s">
        <v>467</v>
      </c>
      <c r="J1486" s="110">
        <v>32031346</v>
      </c>
      <c r="K1486" s="4">
        <v>95693388</v>
      </c>
      <c r="L1486" s="4">
        <v>69.53</v>
      </c>
    </row>
    <row r="1487" spans="2:12" x14ac:dyDescent="0.2">
      <c r="B1487" s="749">
        <v>42620</v>
      </c>
      <c r="C1487" s="1" t="s">
        <v>770</v>
      </c>
      <c r="E1487" t="s">
        <v>225</v>
      </c>
      <c r="F1487" s="750" t="s">
        <v>784</v>
      </c>
      <c r="G1487" s="1" t="s">
        <v>3</v>
      </c>
      <c r="H1487" s="1">
        <v>553630</v>
      </c>
      <c r="I1487" t="s">
        <v>467</v>
      </c>
      <c r="J1487" s="110">
        <v>32031346</v>
      </c>
      <c r="K1487" s="4">
        <v>95359956</v>
      </c>
      <c r="L1487" s="4">
        <v>68.55</v>
      </c>
    </row>
    <row r="1488" spans="2:12" x14ac:dyDescent="0.2">
      <c r="B1488" s="749">
        <v>42620</v>
      </c>
      <c r="C1488" s="1" t="s">
        <v>770</v>
      </c>
      <c r="E1488" t="s">
        <v>225</v>
      </c>
      <c r="F1488" s="750" t="s">
        <v>784</v>
      </c>
      <c r="G1488" s="1" t="s">
        <v>3</v>
      </c>
      <c r="H1488" s="1">
        <v>553630</v>
      </c>
      <c r="I1488" t="s">
        <v>467</v>
      </c>
      <c r="J1488" s="110">
        <v>32031346</v>
      </c>
      <c r="K1488" s="4">
        <v>95398723</v>
      </c>
      <c r="L1488" s="4">
        <v>69.17</v>
      </c>
    </row>
    <row r="1489" spans="2:12" x14ac:dyDescent="0.2">
      <c r="B1489" s="749">
        <v>42620</v>
      </c>
      <c r="C1489" s="1" t="s">
        <v>770</v>
      </c>
      <c r="E1489" t="s">
        <v>225</v>
      </c>
      <c r="F1489" s="750" t="s">
        <v>784</v>
      </c>
      <c r="G1489" s="1" t="s">
        <v>3</v>
      </c>
      <c r="H1489" s="1">
        <v>553630</v>
      </c>
      <c r="I1489" t="s">
        <v>467</v>
      </c>
      <c r="J1489" s="110">
        <v>32031346</v>
      </c>
      <c r="K1489" s="4">
        <v>95620514</v>
      </c>
      <c r="L1489" s="4">
        <v>69.69</v>
      </c>
    </row>
    <row r="1490" spans="2:12" x14ac:dyDescent="0.2">
      <c r="B1490" s="749">
        <v>42620</v>
      </c>
      <c r="C1490" s="1" t="s">
        <v>770</v>
      </c>
      <c r="E1490" t="s">
        <v>225</v>
      </c>
      <c r="F1490" s="750" t="s">
        <v>784</v>
      </c>
      <c r="G1490" s="1" t="s">
        <v>3</v>
      </c>
      <c r="H1490" s="1">
        <v>553630</v>
      </c>
      <c r="I1490" t="s">
        <v>467</v>
      </c>
      <c r="J1490" s="110">
        <v>32031346</v>
      </c>
      <c r="K1490" s="4">
        <v>95524047</v>
      </c>
      <c r="L1490" s="4">
        <v>67.930000000000007</v>
      </c>
    </row>
    <row r="1491" spans="2:12" x14ac:dyDescent="0.2">
      <c r="B1491" s="749">
        <v>42620</v>
      </c>
      <c r="C1491" s="1" t="s">
        <v>770</v>
      </c>
      <c r="E1491" t="s">
        <v>225</v>
      </c>
      <c r="F1491" s="750" t="s">
        <v>784</v>
      </c>
      <c r="G1491" s="1" t="s">
        <v>3</v>
      </c>
      <c r="H1491" s="1">
        <v>553630</v>
      </c>
      <c r="I1491" t="s">
        <v>467</v>
      </c>
      <c r="J1491" s="110">
        <v>32031346</v>
      </c>
      <c r="K1491" s="4">
        <v>95799375</v>
      </c>
      <c r="L1491" s="4">
        <v>69.58</v>
      </c>
    </row>
    <row r="1492" spans="2:12" x14ac:dyDescent="0.2">
      <c r="B1492" s="749">
        <v>42620</v>
      </c>
      <c r="C1492" s="1" t="s">
        <v>770</v>
      </c>
      <c r="E1492" t="s">
        <v>225</v>
      </c>
      <c r="F1492" s="750" t="s">
        <v>784</v>
      </c>
      <c r="G1492" s="1" t="s">
        <v>3</v>
      </c>
      <c r="H1492" s="1">
        <v>553630</v>
      </c>
      <c r="I1492" t="s">
        <v>467</v>
      </c>
      <c r="J1492" s="110">
        <v>32031346</v>
      </c>
      <c r="K1492" s="4">
        <v>95338513</v>
      </c>
      <c r="L1492" s="4">
        <v>63.06</v>
      </c>
    </row>
    <row r="1493" spans="2:12" x14ac:dyDescent="0.2">
      <c r="B1493" s="749">
        <v>42620</v>
      </c>
      <c r="C1493" s="1" t="s">
        <v>770</v>
      </c>
      <c r="E1493" t="s">
        <v>225</v>
      </c>
      <c r="F1493" s="750" t="s">
        <v>784</v>
      </c>
      <c r="G1493" s="1" t="s">
        <v>3</v>
      </c>
      <c r="H1493" s="1">
        <v>553630</v>
      </c>
      <c r="I1493" t="s">
        <v>467</v>
      </c>
      <c r="J1493" s="110">
        <v>44100857</v>
      </c>
      <c r="K1493" s="4">
        <v>95833034</v>
      </c>
      <c r="L1493" s="4">
        <v>64.36</v>
      </c>
    </row>
    <row r="1494" spans="2:12" x14ac:dyDescent="0.2">
      <c r="B1494" s="749">
        <v>42620</v>
      </c>
      <c r="C1494" s="1" t="s">
        <v>770</v>
      </c>
      <c r="E1494" t="s">
        <v>225</v>
      </c>
      <c r="F1494" s="750" t="s">
        <v>784</v>
      </c>
      <c r="G1494" s="1" t="s">
        <v>3</v>
      </c>
      <c r="H1494" s="1">
        <v>553630</v>
      </c>
      <c r="I1494" t="s">
        <v>467</v>
      </c>
      <c r="J1494" s="110">
        <v>44100857</v>
      </c>
      <c r="K1494" s="4">
        <v>95455044</v>
      </c>
      <c r="L1494" s="4">
        <v>67.290000000000006</v>
      </c>
    </row>
    <row r="1495" spans="2:12" x14ac:dyDescent="0.2">
      <c r="B1495" s="749">
        <v>42620</v>
      </c>
      <c r="C1495" s="1" t="s">
        <v>770</v>
      </c>
      <c r="E1495" t="s">
        <v>225</v>
      </c>
      <c r="F1495" s="750" t="s">
        <v>784</v>
      </c>
      <c r="G1495" s="1" t="s">
        <v>3</v>
      </c>
      <c r="H1495" s="1">
        <v>553630</v>
      </c>
      <c r="I1495" t="s">
        <v>467</v>
      </c>
      <c r="J1495" s="110">
        <v>44100857</v>
      </c>
      <c r="K1495" s="4">
        <v>95620050</v>
      </c>
      <c r="L1495" s="4">
        <v>66.72</v>
      </c>
    </row>
    <row r="1496" spans="2:12" x14ac:dyDescent="0.2">
      <c r="B1496" s="749">
        <v>42620</v>
      </c>
      <c r="C1496" s="1" t="s">
        <v>770</v>
      </c>
      <c r="E1496" t="s">
        <v>225</v>
      </c>
      <c r="F1496" s="750" t="s">
        <v>784</v>
      </c>
      <c r="G1496" s="1" t="s">
        <v>3</v>
      </c>
      <c r="H1496" s="1">
        <v>553630</v>
      </c>
      <c r="I1496" t="s">
        <v>467</v>
      </c>
      <c r="J1496" s="110">
        <v>44100857</v>
      </c>
      <c r="K1496" s="4">
        <v>95795787</v>
      </c>
      <c r="L1496" s="4">
        <v>67.680000000000007</v>
      </c>
    </row>
    <row r="1497" spans="2:12" x14ac:dyDescent="0.2">
      <c r="B1497" s="749">
        <v>42620</v>
      </c>
      <c r="C1497" s="1" t="s">
        <v>770</v>
      </c>
      <c r="E1497" t="s">
        <v>225</v>
      </c>
      <c r="F1497" s="750" t="s">
        <v>784</v>
      </c>
      <c r="G1497" s="1" t="s">
        <v>3</v>
      </c>
      <c r="H1497" s="1">
        <v>553630</v>
      </c>
      <c r="I1497" t="s">
        <v>467</v>
      </c>
      <c r="J1497" s="110">
        <v>44079127</v>
      </c>
      <c r="K1497" s="4">
        <v>95297560</v>
      </c>
      <c r="L1497" s="4">
        <v>65.760000000000005</v>
      </c>
    </row>
    <row r="1498" spans="2:12" x14ac:dyDescent="0.2">
      <c r="B1498" s="749">
        <v>42620</v>
      </c>
      <c r="C1498" s="1" t="s">
        <v>770</v>
      </c>
      <c r="E1498" t="s">
        <v>225</v>
      </c>
      <c r="F1498" s="750" t="s">
        <v>784</v>
      </c>
      <c r="G1498" s="1" t="s">
        <v>3</v>
      </c>
      <c r="H1498" s="1">
        <v>553630</v>
      </c>
      <c r="I1498" t="s">
        <v>467</v>
      </c>
      <c r="J1498" s="110">
        <v>44079127</v>
      </c>
      <c r="K1498" s="4">
        <v>95329728</v>
      </c>
      <c r="L1498" s="4">
        <v>69.09</v>
      </c>
    </row>
    <row r="1499" spans="2:12" x14ac:dyDescent="0.2">
      <c r="B1499" s="749">
        <v>42620</v>
      </c>
      <c r="C1499" s="1" t="s">
        <v>770</v>
      </c>
      <c r="E1499" t="s">
        <v>225</v>
      </c>
      <c r="F1499" s="750" t="s">
        <v>784</v>
      </c>
      <c r="G1499" s="1" t="s">
        <v>3</v>
      </c>
      <c r="H1499" s="1">
        <v>553630</v>
      </c>
      <c r="I1499" t="s">
        <v>467</v>
      </c>
      <c r="J1499" s="110">
        <v>44079127</v>
      </c>
      <c r="K1499" s="4">
        <v>95525101</v>
      </c>
      <c r="L1499" s="4">
        <v>68.42</v>
      </c>
    </row>
    <row r="1500" spans="2:12" x14ac:dyDescent="0.2">
      <c r="B1500" s="696">
        <v>42620.39875</v>
      </c>
      <c r="C1500" s="1" t="s">
        <v>495</v>
      </c>
      <c r="E1500" t="s">
        <v>225</v>
      </c>
      <c r="F1500" t="s">
        <v>305</v>
      </c>
      <c r="G1500" s="1" t="s">
        <v>3</v>
      </c>
      <c r="H1500" s="1">
        <v>553615</v>
      </c>
      <c r="I1500" t="s">
        <v>467</v>
      </c>
      <c r="J1500" s="110">
        <v>50735950</v>
      </c>
      <c r="K1500" s="4">
        <v>95620621</v>
      </c>
      <c r="L1500" s="4">
        <v>66.75</v>
      </c>
    </row>
    <row r="1501" spans="2:12" x14ac:dyDescent="0.2">
      <c r="B1501" s="696">
        <v>42620.399351851855</v>
      </c>
      <c r="C1501" s="1" t="s">
        <v>495</v>
      </c>
      <c r="E1501" t="s">
        <v>225</v>
      </c>
      <c r="F1501" t="s">
        <v>305</v>
      </c>
      <c r="G1501" s="1" t="s">
        <v>3</v>
      </c>
      <c r="H1501" s="1">
        <v>553615</v>
      </c>
      <c r="I1501" t="s">
        <v>467</v>
      </c>
      <c r="J1501" s="110">
        <v>50735950</v>
      </c>
      <c r="K1501" s="4">
        <v>95492757</v>
      </c>
      <c r="L1501" s="4">
        <v>67.3</v>
      </c>
    </row>
    <row r="1502" spans="2:12" x14ac:dyDescent="0.2">
      <c r="B1502" s="696">
        <v>42620.399965277778</v>
      </c>
      <c r="C1502" s="1" t="s">
        <v>495</v>
      </c>
      <c r="E1502" t="s">
        <v>225</v>
      </c>
      <c r="F1502" t="s">
        <v>305</v>
      </c>
      <c r="G1502" s="1" t="s">
        <v>3</v>
      </c>
      <c r="H1502" s="1">
        <v>553615</v>
      </c>
      <c r="I1502" t="s">
        <v>467</v>
      </c>
      <c r="J1502" s="110">
        <v>50735950</v>
      </c>
      <c r="K1502" s="4">
        <v>95524286</v>
      </c>
      <c r="L1502" s="4">
        <v>68</v>
      </c>
    </row>
    <row r="1503" spans="2:12" x14ac:dyDescent="0.2">
      <c r="B1503" s="696">
        <v>42620.400590277779</v>
      </c>
      <c r="C1503" s="1" t="s">
        <v>495</v>
      </c>
      <c r="E1503" t="s">
        <v>225</v>
      </c>
      <c r="F1503" t="s">
        <v>305</v>
      </c>
      <c r="G1503" s="1" t="s">
        <v>3</v>
      </c>
      <c r="H1503" s="1">
        <v>553615</v>
      </c>
      <c r="I1503" t="s">
        <v>467</v>
      </c>
      <c r="J1503" s="110">
        <v>50735950</v>
      </c>
      <c r="K1503" s="4">
        <v>95362323</v>
      </c>
      <c r="L1503" s="4">
        <v>69.2</v>
      </c>
    </row>
    <row r="1504" spans="2:12" x14ac:dyDescent="0.2">
      <c r="B1504" s="696">
        <v>42620.401238425926</v>
      </c>
      <c r="C1504" s="1" t="s">
        <v>495</v>
      </c>
      <c r="E1504" t="s">
        <v>225</v>
      </c>
      <c r="F1504" t="s">
        <v>305</v>
      </c>
      <c r="G1504" s="1" t="s">
        <v>3</v>
      </c>
      <c r="H1504" s="1">
        <v>553615</v>
      </c>
      <c r="I1504" t="s">
        <v>467</v>
      </c>
      <c r="J1504" s="110">
        <v>50735950</v>
      </c>
      <c r="K1504" s="4">
        <v>95527982</v>
      </c>
      <c r="L1504" s="4">
        <v>69.099999999999994</v>
      </c>
    </row>
    <row r="1505" spans="2:12" x14ac:dyDescent="0.2">
      <c r="B1505" s="696">
        <v>42620.484305555554</v>
      </c>
      <c r="C1505" s="1" t="s">
        <v>849</v>
      </c>
      <c r="E1505" t="s">
        <v>225</v>
      </c>
      <c r="F1505" t="s">
        <v>305</v>
      </c>
      <c r="G1505" s="1" t="s">
        <v>3</v>
      </c>
      <c r="H1505" s="1">
        <v>553496</v>
      </c>
      <c r="I1505" t="s">
        <v>467</v>
      </c>
      <c r="J1505" s="110">
        <v>600613</v>
      </c>
      <c r="K1505" s="4" t="s">
        <v>889</v>
      </c>
      <c r="L1505" s="4">
        <v>26.74</v>
      </c>
    </row>
    <row r="1506" spans="2:12" x14ac:dyDescent="0.2">
      <c r="B1506" s="696">
        <v>42620.490555555552</v>
      </c>
      <c r="C1506" s="1" t="s">
        <v>849</v>
      </c>
      <c r="E1506" t="s">
        <v>225</v>
      </c>
      <c r="F1506" t="s">
        <v>305</v>
      </c>
      <c r="G1506" s="1" t="s">
        <v>3</v>
      </c>
      <c r="H1506" s="1">
        <v>553496</v>
      </c>
      <c r="I1506" t="s">
        <v>467</v>
      </c>
      <c r="J1506" s="110">
        <v>600612</v>
      </c>
      <c r="K1506" s="4" t="s">
        <v>890</v>
      </c>
      <c r="L1506" s="4">
        <v>24.46</v>
      </c>
    </row>
    <row r="1507" spans="2:12" x14ac:dyDescent="0.2">
      <c r="B1507" s="696">
        <v>42620.496736111112</v>
      </c>
      <c r="C1507" s="1" t="s">
        <v>849</v>
      </c>
      <c r="E1507" t="s">
        <v>225</v>
      </c>
      <c r="F1507" t="s">
        <v>305</v>
      </c>
      <c r="G1507" s="1" t="s">
        <v>3</v>
      </c>
      <c r="H1507" s="1">
        <v>553496</v>
      </c>
      <c r="I1507" t="s">
        <v>467</v>
      </c>
      <c r="J1507" s="110">
        <v>600627</v>
      </c>
      <c r="K1507" s="4" t="s">
        <v>838</v>
      </c>
      <c r="L1507" s="4">
        <v>20.62</v>
      </c>
    </row>
    <row r="1508" spans="2:12" x14ac:dyDescent="0.2">
      <c r="B1508" s="696">
        <v>42620.504432870373</v>
      </c>
      <c r="C1508" s="1" t="s">
        <v>849</v>
      </c>
      <c r="E1508" t="s">
        <v>225</v>
      </c>
      <c r="F1508" t="s">
        <v>305</v>
      </c>
      <c r="G1508" s="1" t="s">
        <v>3</v>
      </c>
      <c r="H1508" s="1">
        <v>553496</v>
      </c>
      <c r="I1508" t="s">
        <v>467</v>
      </c>
      <c r="J1508" s="110">
        <v>600628</v>
      </c>
      <c r="K1508" s="4" t="s">
        <v>810</v>
      </c>
      <c r="L1508" s="4">
        <v>24.44</v>
      </c>
    </row>
    <row r="1509" spans="2:12" x14ac:dyDescent="0.2">
      <c r="B1509" s="696">
        <v>42620.509166666663</v>
      </c>
      <c r="C1509" s="1" t="s">
        <v>849</v>
      </c>
      <c r="E1509" t="s">
        <v>225</v>
      </c>
      <c r="F1509" t="s">
        <v>305</v>
      </c>
      <c r="G1509" s="1" t="s">
        <v>3</v>
      </c>
      <c r="H1509" s="1">
        <v>553496</v>
      </c>
      <c r="I1509" t="s">
        <v>467</v>
      </c>
      <c r="J1509" s="110">
        <v>600626</v>
      </c>
      <c r="K1509" s="4" t="s">
        <v>805</v>
      </c>
      <c r="L1509" s="4">
        <v>23.28</v>
      </c>
    </row>
    <row r="1510" spans="2:12" x14ac:dyDescent="0.2">
      <c r="B1510" s="696">
        <v>42620.620868055557</v>
      </c>
      <c r="C1510" s="1" t="s">
        <v>900</v>
      </c>
      <c r="E1510" t="s">
        <v>225</v>
      </c>
      <c r="F1510" t="s">
        <v>305</v>
      </c>
      <c r="G1510" s="1" t="s">
        <v>3</v>
      </c>
      <c r="H1510" s="1">
        <v>552936</v>
      </c>
      <c r="I1510" t="s">
        <v>467</v>
      </c>
      <c r="J1510" s="110">
        <v>600629</v>
      </c>
      <c r="K1510" s="4" t="s">
        <v>803</v>
      </c>
      <c r="L1510" s="4">
        <v>25.42</v>
      </c>
    </row>
    <row r="1511" spans="2:12" x14ac:dyDescent="0.2">
      <c r="B1511" s="696">
        <v>42621.045520833337</v>
      </c>
      <c r="C1511" s="1" t="s">
        <v>712</v>
      </c>
      <c r="E1511" t="s">
        <v>225</v>
      </c>
      <c r="F1511" t="s">
        <v>305</v>
      </c>
      <c r="G1511" s="1" t="s">
        <v>3</v>
      </c>
      <c r="H1511" s="1">
        <v>553450</v>
      </c>
      <c r="I1511" t="s">
        <v>467</v>
      </c>
      <c r="J1511" s="110">
        <v>40568107</v>
      </c>
      <c r="K1511" s="4">
        <v>95526604</v>
      </c>
      <c r="L1511" s="4">
        <v>67.900000000000006</v>
      </c>
    </row>
    <row r="1512" spans="2:12" x14ac:dyDescent="0.2">
      <c r="B1512" s="696">
        <v>42621.046354166669</v>
      </c>
      <c r="C1512" s="1" t="s">
        <v>712</v>
      </c>
      <c r="E1512" t="s">
        <v>225</v>
      </c>
      <c r="F1512" t="s">
        <v>305</v>
      </c>
      <c r="G1512" s="1" t="s">
        <v>3</v>
      </c>
      <c r="H1512" s="1">
        <v>553450</v>
      </c>
      <c r="I1512" t="s">
        <v>467</v>
      </c>
      <c r="J1512" s="110">
        <v>40568107</v>
      </c>
      <c r="K1512" s="4">
        <v>95378105</v>
      </c>
      <c r="L1512" s="4">
        <v>68.8</v>
      </c>
    </row>
    <row r="1513" spans="2:12" x14ac:dyDescent="0.2">
      <c r="B1513" s="696">
        <v>42621.047210648147</v>
      </c>
      <c r="C1513" s="1" t="s">
        <v>712</v>
      </c>
      <c r="E1513" t="s">
        <v>225</v>
      </c>
      <c r="F1513" t="s">
        <v>305</v>
      </c>
      <c r="G1513" s="1" t="s">
        <v>3</v>
      </c>
      <c r="H1513" s="1">
        <v>553450</v>
      </c>
      <c r="I1513" t="s">
        <v>467</v>
      </c>
      <c r="J1513" s="110">
        <v>40568107</v>
      </c>
      <c r="K1513" s="4">
        <v>95529889</v>
      </c>
      <c r="L1513" s="4">
        <v>69.900000000000006</v>
      </c>
    </row>
    <row r="1514" spans="2:12" x14ac:dyDescent="0.2">
      <c r="B1514" s="696">
        <v>42621.047777777778</v>
      </c>
      <c r="C1514" s="1" t="s">
        <v>712</v>
      </c>
      <c r="E1514" t="s">
        <v>225</v>
      </c>
      <c r="F1514" t="s">
        <v>305</v>
      </c>
      <c r="G1514" s="1" t="s">
        <v>3</v>
      </c>
      <c r="H1514" s="1">
        <v>553450</v>
      </c>
      <c r="I1514" t="s">
        <v>467</v>
      </c>
      <c r="J1514" s="110">
        <v>40568107</v>
      </c>
      <c r="K1514" s="4">
        <v>95713566</v>
      </c>
      <c r="L1514" s="4">
        <v>67.3</v>
      </c>
    </row>
    <row r="1515" spans="2:12" x14ac:dyDescent="0.2">
      <c r="B1515" s="696">
        <v>42621.048252314817</v>
      </c>
      <c r="C1515" s="1" t="s">
        <v>900</v>
      </c>
      <c r="E1515" t="s">
        <v>225</v>
      </c>
      <c r="F1515" t="s">
        <v>305</v>
      </c>
      <c r="G1515" s="1" t="s">
        <v>3</v>
      </c>
      <c r="H1515" s="1">
        <v>552936</v>
      </c>
      <c r="I1515" t="s">
        <v>467</v>
      </c>
      <c r="J1515" s="110">
        <v>600632</v>
      </c>
      <c r="K1515" s="4" t="s">
        <v>809</v>
      </c>
      <c r="L1515" s="4">
        <v>25.36</v>
      </c>
    </row>
    <row r="1516" spans="2:12" x14ac:dyDescent="0.2">
      <c r="B1516" s="696">
        <v>42621.048356481479</v>
      </c>
      <c r="C1516" s="1" t="s">
        <v>712</v>
      </c>
      <c r="E1516" t="s">
        <v>225</v>
      </c>
      <c r="F1516" t="s">
        <v>305</v>
      </c>
      <c r="G1516" s="1" t="s">
        <v>3</v>
      </c>
      <c r="H1516" s="1">
        <v>553450</v>
      </c>
      <c r="I1516" t="s">
        <v>467</v>
      </c>
      <c r="J1516" s="110">
        <v>40568107</v>
      </c>
      <c r="K1516" s="4">
        <v>95644357</v>
      </c>
      <c r="L1516" s="4">
        <v>68.900000000000006</v>
      </c>
    </row>
    <row r="1517" spans="2:12" x14ac:dyDescent="0.2">
      <c r="B1517" s="696">
        <v>42621.049050925925</v>
      </c>
      <c r="C1517" s="1" t="s">
        <v>712</v>
      </c>
      <c r="E1517" t="s">
        <v>225</v>
      </c>
      <c r="F1517" t="s">
        <v>305</v>
      </c>
      <c r="G1517" s="1" t="s">
        <v>3</v>
      </c>
      <c r="H1517" s="1">
        <v>553450</v>
      </c>
      <c r="I1517" t="s">
        <v>467</v>
      </c>
      <c r="J1517" s="110">
        <v>40568107</v>
      </c>
      <c r="K1517" s="4">
        <v>95751087</v>
      </c>
      <c r="L1517" s="4">
        <v>68.45</v>
      </c>
    </row>
    <row r="1518" spans="2:12" x14ac:dyDescent="0.2">
      <c r="B1518" s="696">
        <v>42621.049687500003</v>
      </c>
      <c r="C1518" s="1" t="s">
        <v>712</v>
      </c>
      <c r="E1518" t="s">
        <v>225</v>
      </c>
      <c r="F1518" t="s">
        <v>305</v>
      </c>
      <c r="G1518" s="1" t="s">
        <v>3</v>
      </c>
      <c r="H1518" s="1">
        <v>553450</v>
      </c>
      <c r="I1518" t="s">
        <v>467</v>
      </c>
      <c r="J1518" s="110">
        <v>40568107</v>
      </c>
      <c r="K1518" s="4">
        <v>95632949</v>
      </c>
      <c r="L1518" s="4">
        <v>67.7</v>
      </c>
    </row>
    <row r="1519" spans="2:12" x14ac:dyDescent="0.2">
      <c r="B1519" s="696">
        <v>42621.050370370373</v>
      </c>
      <c r="C1519" s="1" t="s">
        <v>712</v>
      </c>
      <c r="E1519" t="s">
        <v>225</v>
      </c>
      <c r="F1519" t="s">
        <v>305</v>
      </c>
      <c r="G1519" s="1" t="s">
        <v>3</v>
      </c>
      <c r="H1519" s="1">
        <v>553450</v>
      </c>
      <c r="I1519" t="s">
        <v>467</v>
      </c>
      <c r="J1519" s="110">
        <v>40568107</v>
      </c>
      <c r="K1519" s="4">
        <v>95532230</v>
      </c>
      <c r="L1519" s="4">
        <v>66.099999999999994</v>
      </c>
    </row>
    <row r="1520" spans="2:12" x14ac:dyDescent="0.2">
      <c r="B1520" s="696">
        <v>42621.050949074073</v>
      </c>
      <c r="C1520" s="1" t="s">
        <v>712</v>
      </c>
      <c r="E1520" t="s">
        <v>225</v>
      </c>
      <c r="F1520" t="s">
        <v>305</v>
      </c>
      <c r="G1520" s="1" t="s">
        <v>3</v>
      </c>
      <c r="H1520" s="1">
        <v>553450</v>
      </c>
      <c r="I1520" t="s">
        <v>467</v>
      </c>
      <c r="J1520" s="110">
        <v>40568107</v>
      </c>
      <c r="K1520" s="4">
        <v>95797676</v>
      </c>
      <c r="L1520" s="4">
        <v>68.150000000000006</v>
      </c>
    </row>
    <row r="1521" spans="2:12" x14ac:dyDescent="0.2">
      <c r="B1521" s="696">
        <v>42621.053298611114</v>
      </c>
      <c r="C1521" s="1" t="s">
        <v>900</v>
      </c>
      <c r="E1521" t="s">
        <v>225</v>
      </c>
      <c r="F1521" t="s">
        <v>305</v>
      </c>
      <c r="G1521" s="1" t="s">
        <v>3</v>
      </c>
      <c r="H1521" s="1">
        <v>552936</v>
      </c>
      <c r="I1521" t="s">
        <v>467</v>
      </c>
      <c r="J1521" s="110">
        <v>600630</v>
      </c>
      <c r="K1521" s="4" t="s">
        <v>891</v>
      </c>
      <c r="L1521" s="4">
        <v>23.46</v>
      </c>
    </row>
    <row r="1522" spans="2:12" x14ac:dyDescent="0.2">
      <c r="B1522" s="696">
        <v>42621.064664351848</v>
      </c>
      <c r="C1522" s="1" t="s">
        <v>901</v>
      </c>
      <c r="E1522" t="s">
        <v>225</v>
      </c>
      <c r="F1522" t="s">
        <v>305</v>
      </c>
      <c r="G1522" s="1" t="s">
        <v>3</v>
      </c>
      <c r="H1522" s="1">
        <v>553902</v>
      </c>
      <c r="I1522" t="s">
        <v>467</v>
      </c>
      <c r="J1522" s="110">
        <v>267437</v>
      </c>
      <c r="K1522" s="4" t="s">
        <v>892</v>
      </c>
      <c r="L1522" s="4">
        <v>23.9</v>
      </c>
    </row>
    <row r="1523" spans="2:12" x14ac:dyDescent="0.2">
      <c r="B1523" s="696">
        <v>42621.068877314814</v>
      </c>
      <c r="C1523" s="1" t="s">
        <v>900</v>
      </c>
      <c r="E1523" t="s">
        <v>225</v>
      </c>
      <c r="F1523" t="s">
        <v>305</v>
      </c>
      <c r="G1523" s="1" t="s">
        <v>3</v>
      </c>
      <c r="H1523" s="1">
        <v>552936</v>
      </c>
      <c r="I1523" t="s">
        <v>467</v>
      </c>
      <c r="J1523" s="110">
        <v>600633</v>
      </c>
      <c r="K1523" s="4" t="s">
        <v>786</v>
      </c>
      <c r="L1523" s="4">
        <v>23.3</v>
      </c>
    </row>
    <row r="1524" spans="2:12" x14ac:dyDescent="0.2">
      <c r="B1524" s="696">
        <v>42621.072928240741</v>
      </c>
      <c r="C1524" s="1" t="s">
        <v>900</v>
      </c>
      <c r="E1524" t="s">
        <v>225</v>
      </c>
      <c r="F1524" t="s">
        <v>305</v>
      </c>
      <c r="G1524" s="1" t="s">
        <v>3</v>
      </c>
      <c r="H1524" s="1">
        <v>552936</v>
      </c>
      <c r="I1524" t="s">
        <v>467</v>
      </c>
      <c r="J1524" s="110">
        <v>600631</v>
      </c>
      <c r="K1524" s="4" t="s">
        <v>788</v>
      </c>
      <c r="L1524" s="4">
        <v>19.600000000000001</v>
      </c>
    </row>
    <row r="1525" spans="2:12" x14ac:dyDescent="0.2">
      <c r="B1525" s="696">
        <v>42621.2341087963</v>
      </c>
      <c r="C1525" s="1" t="s">
        <v>712</v>
      </c>
      <c r="E1525" t="s">
        <v>225</v>
      </c>
      <c r="F1525" t="s">
        <v>305</v>
      </c>
      <c r="G1525" s="1" t="s">
        <v>3</v>
      </c>
      <c r="H1525" s="1">
        <v>553450</v>
      </c>
      <c r="I1525" t="s">
        <v>467</v>
      </c>
      <c r="J1525" s="110">
        <v>40568107</v>
      </c>
      <c r="K1525" s="4">
        <v>95758686</v>
      </c>
      <c r="L1525" s="4">
        <v>69.3</v>
      </c>
    </row>
    <row r="1526" spans="2:12" x14ac:dyDescent="0.2">
      <c r="B1526" s="696">
        <v>42621.235011574077</v>
      </c>
      <c r="C1526" s="1" t="s">
        <v>712</v>
      </c>
      <c r="E1526" t="s">
        <v>225</v>
      </c>
      <c r="F1526" t="s">
        <v>305</v>
      </c>
      <c r="G1526" s="1" t="s">
        <v>3</v>
      </c>
      <c r="H1526" s="1">
        <v>553450</v>
      </c>
      <c r="I1526" t="s">
        <v>467</v>
      </c>
      <c r="J1526" s="110">
        <v>40568107</v>
      </c>
      <c r="K1526" s="4">
        <v>95358701</v>
      </c>
      <c r="L1526" s="4">
        <v>68</v>
      </c>
    </row>
    <row r="1527" spans="2:12" x14ac:dyDescent="0.2">
      <c r="B1527" s="696">
        <v>42621.235590277778</v>
      </c>
      <c r="C1527" s="1" t="s">
        <v>712</v>
      </c>
      <c r="E1527" t="s">
        <v>225</v>
      </c>
      <c r="F1527" t="s">
        <v>305</v>
      </c>
      <c r="G1527" s="1" t="s">
        <v>3</v>
      </c>
      <c r="H1527" s="1">
        <v>553450</v>
      </c>
      <c r="I1527" t="s">
        <v>467</v>
      </c>
      <c r="J1527" s="110">
        <v>40568107</v>
      </c>
      <c r="K1527" s="4">
        <v>95347852</v>
      </c>
      <c r="L1527" s="4">
        <v>63.05</v>
      </c>
    </row>
    <row r="1528" spans="2:12" x14ac:dyDescent="0.2">
      <c r="B1528" s="696">
        <v>42621.236064814817</v>
      </c>
      <c r="C1528" s="1" t="s">
        <v>712</v>
      </c>
      <c r="E1528" t="s">
        <v>225</v>
      </c>
      <c r="F1528" t="s">
        <v>305</v>
      </c>
      <c r="G1528" s="1" t="s">
        <v>3</v>
      </c>
      <c r="H1528" s="1">
        <v>553450</v>
      </c>
      <c r="I1528" t="s">
        <v>467</v>
      </c>
      <c r="J1528" s="110">
        <v>40568107</v>
      </c>
      <c r="K1528" s="4">
        <v>95631701</v>
      </c>
      <c r="L1528" s="4">
        <v>67.95</v>
      </c>
    </row>
    <row r="1529" spans="2:12" x14ac:dyDescent="0.2">
      <c r="B1529" s="696">
        <v>42621.236620370371</v>
      </c>
      <c r="C1529" s="1" t="s">
        <v>712</v>
      </c>
      <c r="E1529" t="s">
        <v>225</v>
      </c>
      <c r="F1529" t="s">
        <v>305</v>
      </c>
      <c r="G1529" s="1" t="s">
        <v>3</v>
      </c>
      <c r="H1529" s="1">
        <v>553450</v>
      </c>
      <c r="I1529" t="s">
        <v>467</v>
      </c>
      <c r="J1529" s="110">
        <v>40568107</v>
      </c>
      <c r="K1529" s="4">
        <v>95752929</v>
      </c>
      <c r="L1529" s="4">
        <v>68.650000000000006</v>
      </c>
    </row>
    <row r="1530" spans="2:12" x14ac:dyDescent="0.2">
      <c r="B1530" s="696">
        <v>42621.23232638889</v>
      </c>
      <c r="C1530" s="1" t="s">
        <v>818</v>
      </c>
      <c r="E1530" t="s">
        <v>225</v>
      </c>
      <c r="F1530" t="s">
        <v>305</v>
      </c>
      <c r="G1530" s="1" t="s">
        <v>3</v>
      </c>
      <c r="H1530" s="1">
        <v>553036</v>
      </c>
      <c r="I1530" t="s">
        <v>292</v>
      </c>
      <c r="J1530" s="110">
        <v>47689245</v>
      </c>
      <c r="K1530" s="4">
        <v>95928727</v>
      </c>
      <c r="L1530" s="4">
        <v>57.95</v>
      </c>
    </row>
    <row r="1531" spans="2:12" x14ac:dyDescent="0.2">
      <c r="B1531" s="696">
        <v>42621.233067129629</v>
      </c>
      <c r="C1531" s="1" t="s">
        <v>818</v>
      </c>
      <c r="E1531" t="s">
        <v>225</v>
      </c>
      <c r="F1531" t="s">
        <v>305</v>
      </c>
      <c r="G1531" s="1" t="s">
        <v>3</v>
      </c>
      <c r="H1531" s="1">
        <v>553036</v>
      </c>
      <c r="I1531" t="s">
        <v>292</v>
      </c>
      <c r="J1531" s="110">
        <v>50733369</v>
      </c>
      <c r="K1531" s="4">
        <v>95530549</v>
      </c>
      <c r="L1531" s="4">
        <v>69.95</v>
      </c>
    </row>
    <row r="1532" spans="2:12" x14ac:dyDescent="0.2">
      <c r="B1532" s="696">
        <v>42621.233564814815</v>
      </c>
      <c r="C1532" s="1" t="s">
        <v>818</v>
      </c>
      <c r="E1532" t="s">
        <v>225</v>
      </c>
      <c r="F1532" t="s">
        <v>305</v>
      </c>
      <c r="G1532" s="1" t="s">
        <v>3</v>
      </c>
      <c r="H1532" s="1">
        <v>553036</v>
      </c>
      <c r="I1532" t="s">
        <v>292</v>
      </c>
      <c r="J1532" s="110">
        <v>50733369</v>
      </c>
      <c r="K1532" s="4">
        <v>95754867</v>
      </c>
      <c r="L1532" s="4">
        <v>69.45</v>
      </c>
    </row>
    <row r="1533" spans="2:12" x14ac:dyDescent="0.2">
      <c r="B1533" s="696">
        <v>42621.287164351852</v>
      </c>
      <c r="C1533" s="1" t="s">
        <v>888</v>
      </c>
      <c r="E1533" t="s">
        <v>225</v>
      </c>
      <c r="F1533" t="s">
        <v>305</v>
      </c>
      <c r="G1533" s="1" t="s">
        <v>3</v>
      </c>
      <c r="H1533" s="1">
        <v>553902</v>
      </c>
      <c r="I1533" t="s">
        <v>643</v>
      </c>
      <c r="J1533" s="110">
        <v>267704</v>
      </c>
      <c r="K1533" s="4" t="s">
        <v>893</v>
      </c>
      <c r="L1533" s="4">
        <v>26.16</v>
      </c>
    </row>
    <row r="1534" spans="2:12" x14ac:dyDescent="0.2">
      <c r="B1534" s="696">
        <v>42621.310428240744</v>
      </c>
      <c r="C1534" s="1" t="s">
        <v>888</v>
      </c>
      <c r="E1534" t="s">
        <v>225</v>
      </c>
      <c r="F1534" t="s">
        <v>305</v>
      </c>
      <c r="G1534" s="1" t="s">
        <v>3</v>
      </c>
      <c r="H1534" s="1">
        <v>553902</v>
      </c>
      <c r="I1534" t="s">
        <v>643</v>
      </c>
      <c r="J1534" s="110">
        <v>267702</v>
      </c>
      <c r="K1534" s="4" t="s">
        <v>894</v>
      </c>
      <c r="L1534" s="4">
        <v>23.78</v>
      </c>
    </row>
    <row r="1535" spans="2:12" x14ac:dyDescent="0.2">
      <c r="B1535" s="696">
        <v>42621.028506944444</v>
      </c>
      <c r="C1535" s="1" t="s">
        <v>902</v>
      </c>
      <c r="E1535" t="s">
        <v>225</v>
      </c>
      <c r="F1535" t="s">
        <v>305</v>
      </c>
      <c r="G1535" s="1" t="s">
        <v>3</v>
      </c>
      <c r="H1535" s="836">
        <v>554029</v>
      </c>
      <c r="I1535" t="s">
        <v>870</v>
      </c>
      <c r="J1535" s="110">
        <v>350240</v>
      </c>
      <c r="K1535" s="4" t="s">
        <v>865</v>
      </c>
      <c r="L1535" s="4">
        <v>21.18</v>
      </c>
    </row>
    <row r="1536" spans="2:12" x14ac:dyDescent="0.2">
      <c r="B1536" s="696">
        <v>42621.032280092593</v>
      </c>
      <c r="C1536" s="1" t="s">
        <v>902</v>
      </c>
      <c r="E1536" t="s">
        <v>225</v>
      </c>
      <c r="F1536" t="s">
        <v>305</v>
      </c>
      <c r="G1536" s="1" t="s">
        <v>3</v>
      </c>
      <c r="H1536" s="836">
        <v>554029</v>
      </c>
      <c r="I1536" t="s">
        <v>870</v>
      </c>
      <c r="J1536" s="110">
        <v>350244</v>
      </c>
      <c r="K1536" s="4" t="s">
        <v>864</v>
      </c>
      <c r="L1536" s="4">
        <v>25.04</v>
      </c>
    </row>
    <row r="1537" spans="2:12" x14ac:dyDescent="0.2">
      <c r="B1537" s="696">
        <v>42620.642604166664</v>
      </c>
      <c r="C1537" s="1" t="s">
        <v>704</v>
      </c>
      <c r="E1537" t="s">
        <v>225</v>
      </c>
      <c r="F1537" t="s">
        <v>305</v>
      </c>
      <c r="G1537" s="1" t="s">
        <v>3</v>
      </c>
      <c r="H1537" s="1">
        <v>553610</v>
      </c>
      <c r="I1537" t="s">
        <v>887</v>
      </c>
      <c r="J1537" s="110">
        <v>40425555</v>
      </c>
      <c r="K1537" s="4">
        <v>95377677</v>
      </c>
      <c r="L1537" s="4">
        <v>59.6</v>
      </c>
    </row>
    <row r="1538" spans="2:12" x14ac:dyDescent="0.2">
      <c r="B1538" s="696">
        <v>42620.643182870372</v>
      </c>
      <c r="C1538" s="1" t="s">
        <v>704</v>
      </c>
      <c r="E1538" t="s">
        <v>225</v>
      </c>
      <c r="F1538" t="s">
        <v>305</v>
      </c>
      <c r="G1538" s="1" t="s">
        <v>3</v>
      </c>
      <c r="H1538" s="1">
        <v>553610</v>
      </c>
      <c r="I1538" t="s">
        <v>887</v>
      </c>
      <c r="J1538" s="110">
        <v>40425555</v>
      </c>
      <c r="K1538" s="4">
        <v>95447363</v>
      </c>
      <c r="L1538" s="4">
        <v>59.25</v>
      </c>
    </row>
    <row r="1539" spans="2:12" x14ac:dyDescent="0.2">
      <c r="B1539" s="696">
        <v>42620.643761574072</v>
      </c>
      <c r="C1539" s="1" t="s">
        <v>704</v>
      </c>
      <c r="E1539" t="s">
        <v>225</v>
      </c>
      <c r="F1539" t="s">
        <v>305</v>
      </c>
      <c r="G1539" s="1" t="s">
        <v>3</v>
      </c>
      <c r="H1539" s="1">
        <v>553610</v>
      </c>
      <c r="I1539" t="s">
        <v>887</v>
      </c>
      <c r="J1539" s="110">
        <v>40425589</v>
      </c>
      <c r="K1539" s="4">
        <v>95799706</v>
      </c>
      <c r="L1539" s="4">
        <v>59.35</v>
      </c>
    </row>
    <row r="1540" spans="2:12" x14ac:dyDescent="0.2">
      <c r="B1540" s="696">
        <v>42620.644375000003</v>
      </c>
      <c r="C1540" s="1" t="s">
        <v>704</v>
      </c>
      <c r="E1540" t="s">
        <v>225</v>
      </c>
      <c r="F1540" t="s">
        <v>305</v>
      </c>
      <c r="G1540" s="1" t="s">
        <v>3</v>
      </c>
      <c r="H1540" s="1">
        <v>553610</v>
      </c>
      <c r="I1540" t="s">
        <v>887</v>
      </c>
      <c r="J1540" s="110">
        <v>40425555</v>
      </c>
      <c r="K1540" s="4">
        <v>95335733</v>
      </c>
      <c r="L1540" s="4">
        <v>59.8</v>
      </c>
    </row>
    <row r="1541" spans="2:12" x14ac:dyDescent="0.2">
      <c r="B1541" s="696">
        <v>42620.644918981481</v>
      </c>
      <c r="C1541" s="1" t="s">
        <v>704</v>
      </c>
      <c r="E1541" t="s">
        <v>225</v>
      </c>
      <c r="F1541" t="s">
        <v>305</v>
      </c>
      <c r="G1541" s="1" t="s">
        <v>3</v>
      </c>
      <c r="H1541" s="1">
        <v>553610</v>
      </c>
      <c r="I1541" t="s">
        <v>887</v>
      </c>
      <c r="J1541" s="110">
        <v>40425589</v>
      </c>
      <c r="K1541" s="4">
        <v>95635652</v>
      </c>
      <c r="L1541" s="4">
        <v>60</v>
      </c>
    </row>
    <row r="1542" spans="2:12" x14ac:dyDescent="0.2">
      <c r="B1542" s="696">
        <v>42620.64539351852</v>
      </c>
      <c r="C1542" s="1" t="s">
        <v>704</v>
      </c>
      <c r="E1542" t="s">
        <v>225</v>
      </c>
      <c r="F1542" t="s">
        <v>305</v>
      </c>
      <c r="G1542" s="1" t="s">
        <v>3</v>
      </c>
      <c r="H1542" s="1">
        <v>553610</v>
      </c>
      <c r="I1542" t="s">
        <v>887</v>
      </c>
      <c r="J1542" s="110">
        <v>40425589</v>
      </c>
      <c r="K1542" s="4">
        <v>95677902</v>
      </c>
      <c r="L1542" s="4">
        <v>59.95</v>
      </c>
    </row>
    <row r="1543" spans="2:12" x14ac:dyDescent="0.2">
      <c r="B1543" s="696">
        <v>42620.64603009259</v>
      </c>
      <c r="C1543" s="1" t="s">
        <v>704</v>
      </c>
      <c r="E1543" t="s">
        <v>225</v>
      </c>
      <c r="F1543" t="s">
        <v>305</v>
      </c>
      <c r="G1543" s="1" t="s">
        <v>3</v>
      </c>
      <c r="H1543" s="1">
        <v>553610</v>
      </c>
      <c r="I1543" t="s">
        <v>887</v>
      </c>
      <c r="J1543" s="110">
        <v>40425589</v>
      </c>
      <c r="K1543" s="4">
        <v>95828638</v>
      </c>
      <c r="L1543" s="4">
        <v>59.4</v>
      </c>
    </row>
    <row r="1544" spans="2:12" x14ac:dyDescent="0.2">
      <c r="B1544" s="696">
        <v>42620.646539351852</v>
      </c>
      <c r="C1544" s="1" t="s">
        <v>704</v>
      </c>
      <c r="E1544" t="s">
        <v>225</v>
      </c>
      <c r="F1544" t="s">
        <v>305</v>
      </c>
      <c r="G1544" s="1" t="s">
        <v>3</v>
      </c>
      <c r="H1544" s="1">
        <v>553610</v>
      </c>
      <c r="I1544" t="s">
        <v>887</v>
      </c>
      <c r="J1544" s="110">
        <v>40462509</v>
      </c>
      <c r="K1544" s="4">
        <v>95756144</v>
      </c>
      <c r="L1544" s="4">
        <v>60.05</v>
      </c>
    </row>
    <row r="1545" spans="2:12" x14ac:dyDescent="0.2">
      <c r="B1545" s="696">
        <v>42620.647152777776</v>
      </c>
      <c r="C1545" s="1" t="s">
        <v>704</v>
      </c>
      <c r="E1545" t="s">
        <v>225</v>
      </c>
      <c r="F1545" t="s">
        <v>305</v>
      </c>
      <c r="G1545" s="1" t="s">
        <v>3</v>
      </c>
      <c r="H1545" s="1">
        <v>553610</v>
      </c>
      <c r="I1545" t="s">
        <v>887</v>
      </c>
      <c r="J1545" s="110">
        <v>40462509</v>
      </c>
      <c r="K1545" s="4">
        <v>95828570</v>
      </c>
      <c r="L1545" s="4">
        <v>59.85</v>
      </c>
    </row>
    <row r="1546" spans="2:12" x14ac:dyDescent="0.2">
      <c r="B1546" s="696">
        <v>42620.647581018522</v>
      </c>
      <c r="C1546" s="1" t="s">
        <v>704</v>
      </c>
      <c r="E1546" t="s">
        <v>225</v>
      </c>
      <c r="F1546" t="s">
        <v>305</v>
      </c>
      <c r="G1546" s="1" t="s">
        <v>3</v>
      </c>
      <c r="H1546" s="1">
        <v>553610</v>
      </c>
      <c r="I1546" t="s">
        <v>887</v>
      </c>
      <c r="J1546" s="110">
        <v>40466435</v>
      </c>
      <c r="K1546" s="4">
        <v>95667614</v>
      </c>
      <c r="L1546" s="4">
        <v>60.6</v>
      </c>
    </row>
    <row r="1547" spans="2:12" x14ac:dyDescent="0.2">
      <c r="B1547" s="696">
        <v>42620.752500000002</v>
      </c>
      <c r="C1547" s="1" t="s">
        <v>704</v>
      </c>
      <c r="E1547" t="s">
        <v>225</v>
      </c>
      <c r="F1547" t="s">
        <v>305</v>
      </c>
      <c r="G1547" s="1" t="s">
        <v>3</v>
      </c>
      <c r="H1547" s="1">
        <v>553610</v>
      </c>
      <c r="I1547" t="s">
        <v>887</v>
      </c>
      <c r="J1547" s="110">
        <v>40445421</v>
      </c>
      <c r="K1547" s="4">
        <v>95311163</v>
      </c>
      <c r="L1547" s="4">
        <v>58.15</v>
      </c>
    </row>
    <row r="1548" spans="2:12" x14ac:dyDescent="0.2">
      <c r="B1548" s="696">
        <v>42620.753321759257</v>
      </c>
      <c r="C1548" s="1" t="s">
        <v>704</v>
      </c>
      <c r="E1548" t="s">
        <v>225</v>
      </c>
      <c r="F1548" t="s">
        <v>305</v>
      </c>
      <c r="G1548" s="1" t="s">
        <v>3</v>
      </c>
      <c r="H1548" s="1">
        <v>553610</v>
      </c>
      <c r="I1548" t="s">
        <v>887</v>
      </c>
      <c r="J1548" s="110">
        <v>40445421</v>
      </c>
      <c r="K1548" s="4">
        <v>95834479</v>
      </c>
      <c r="L1548" s="4">
        <v>60.55</v>
      </c>
    </row>
    <row r="1549" spans="2:12" x14ac:dyDescent="0.2">
      <c r="B1549" s="696">
        <v>42620.754120370373</v>
      </c>
      <c r="C1549" s="1" t="s">
        <v>704</v>
      </c>
      <c r="E1549" t="s">
        <v>225</v>
      </c>
      <c r="F1549" t="s">
        <v>305</v>
      </c>
      <c r="G1549" s="1" t="s">
        <v>3</v>
      </c>
      <c r="H1549" s="1">
        <v>553610</v>
      </c>
      <c r="I1549" t="s">
        <v>887</v>
      </c>
      <c r="J1549" s="110">
        <v>40445421</v>
      </c>
      <c r="K1549" s="4">
        <v>95313342</v>
      </c>
      <c r="L1549" s="4">
        <v>60.45</v>
      </c>
    </row>
    <row r="1550" spans="2:12" x14ac:dyDescent="0.2">
      <c r="B1550" s="696">
        <v>42620.754687499997</v>
      </c>
      <c r="C1550" s="1" t="s">
        <v>704</v>
      </c>
      <c r="E1550" t="s">
        <v>225</v>
      </c>
      <c r="F1550" t="s">
        <v>305</v>
      </c>
      <c r="G1550" s="1" t="s">
        <v>3</v>
      </c>
      <c r="H1550" s="1">
        <v>553610</v>
      </c>
      <c r="I1550" t="s">
        <v>887</v>
      </c>
      <c r="J1550" s="110">
        <v>40445439</v>
      </c>
      <c r="K1550" s="4">
        <v>95682829</v>
      </c>
      <c r="L1550" s="4">
        <v>61.3</v>
      </c>
    </row>
    <row r="1551" spans="2:12" x14ac:dyDescent="0.2">
      <c r="B1551" s="696">
        <v>42620.755520833336</v>
      </c>
      <c r="C1551" s="1" t="s">
        <v>704</v>
      </c>
      <c r="E1551" t="s">
        <v>225</v>
      </c>
      <c r="F1551" t="s">
        <v>305</v>
      </c>
      <c r="G1551" s="1" t="s">
        <v>3</v>
      </c>
      <c r="H1551" s="1">
        <v>553610</v>
      </c>
      <c r="I1551" t="s">
        <v>887</v>
      </c>
      <c r="J1551" s="110">
        <v>40445439</v>
      </c>
      <c r="K1551" s="4">
        <v>95539730</v>
      </c>
      <c r="L1551" s="4">
        <v>60.5</v>
      </c>
    </row>
    <row r="1552" spans="2:12" x14ac:dyDescent="0.2">
      <c r="B1552" s="696">
        <v>42620.755949074075</v>
      </c>
      <c r="C1552" s="1" t="s">
        <v>704</v>
      </c>
      <c r="E1552" t="s">
        <v>225</v>
      </c>
      <c r="F1552" t="s">
        <v>305</v>
      </c>
      <c r="G1552" s="1" t="s">
        <v>3</v>
      </c>
      <c r="H1552" s="1">
        <v>553610</v>
      </c>
      <c r="I1552" t="s">
        <v>887</v>
      </c>
      <c r="J1552" s="110">
        <v>40445439</v>
      </c>
      <c r="K1552" s="4">
        <v>95626115</v>
      </c>
      <c r="L1552" s="4">
        <v>61.3</v>
      </c>
    </row>
    <row r="1553" spans="2:12" x14ac:dyDescent="0.2">
      <c r="B1553" s="696">
        <v>42620.756481481483</v>
      </c>
      <c r="C1553" s="1" t="s">
        <v>704</v>
      </c>
      <c r="E1553" t="s">
        <v>225</v>
      </c>
      <c r="F1553" t="s">
        <v>305</v>
      </c>
      <c r="G1553" s="1" t="s">
        <v>3</v>
      </c>
      <c r="H1553" s="1">
        <v>553610</v>
      </c>
      <c r="I1553" t="s">
        <v>887</v>
      </c>
      <c r="J1553" s="110">
        <v>40425555</v>
      </c>
      <c r="K1553" s="4">
        <v>95615118</v>
      </c>
      <c r="L1553" s="4">
        <v>59.6</v>
      </c>
    </row>
    <row r="1554" spans="2:12" x14ac:dyDescent="0.2">
      <c r="B1554" s="696">
        <v>42620.756921296299</v>
      </c>
      <c r="C1554" s="1" t="s">
        <v>704</v>
      </c>
      <c r="E1554" t="s">
        <v>225</v>
      </c>
      <c r="F1554" t="s">
        <v>305</v>
      </c>
      <c r="G1554" s="1" t="s">
        <v>3</v>
      </c>
      <c r="H1554" s="1">
        <v>553610</v>
      </c>
      <c r="I1554" t="s">
        <v>887</v>
      </c>
      <c r="J1554" s="110">
        <v>40425555</v>
      </c>
      <c r="K1554" s="4">
        <v>95801064</v>
      </c>
      <c r="L1554" s="4">
        <v>59</v>
      </c>
    </row>
    <row r="1555" spans="2:12" x14ac:dyDescent="0.2">
      <c r="B1555" s="696">
        <v>42620.923344907409</v>
      </c>
      <c r="C1555" s="1" t="s">
        <v>704</v>
      </c>
      <c r="E1555" t="s">
        <v>225</v>
      </c>
      <c r="F1555" t="s">
        <v>305</v>
      </c>
      <c r="G1555" s="1" t="s">
        <v>3</v>
      </c>
      <c r="H1555" s="1">
        <v>553610</v>
      </c>
      <c r="I1555" t="s">
        <v>887</v>
      </c>
      <c r="J1555" s="110">
        <v>40466435</v>
      </c>
      <c r="K1555" s="4">
        <v>95531273</v>
      </c>
      <c r="L1555" s="4">
        <v>60.8</v>
      </c>
    </row>
    <row r="1556" spans="2:12" x14ac:dyDescent="0.2">
      <c r="B1556" s="696">
        <v>42620.925138888888</v>
      </c>
      <c r="C1556" s="1" t="s">
        <v>704</v>
      </c>
      <c r="E1556" t="s">
        <v>225</v>
      </c>
      <c r="F1556" t="s">
        <v>305</v>
      </c>
      <c r="G1556" s="1" t="s">
        <v>3</v>
      </c>
      <c r="H1556" s="1">
        <v>553610</v>
      </c>
      <c r="I1556" t="s">
        <v>887</v>
      </c>
      <c r="J1556" s="110">
        <v>40466435</v>
      </c>
      <c r="K1556" s="4">
        <v>95679213</v>
      </c>
      <c r="L1556" s="4">
        <v>60.2</v>
      </c>
    </row>
    <row r="1557" spans="2:12" x14ac:dyDescent="0.2">
      <c r="B1557" s="696">
        <v>42620.925833333335</v>
      </c>
      <c r="C1557" s="1" t="s">
        <v>704</v>
      </c>
      <c r="E1557" t="s">
        <v>225</v>
      </c>
      <c r="F1557" t="s">
        <v>305</v>
      </c>
      <c r="G1557" s="1" t="s">
        <v>3</v>
      </c>
      <c r="H1557" s="1">
        <v>553610</v>
      </c>
      <c r="I1557" t="s">
        <v>887</v>
      </c>
      <c r="J1557" s="110">
        <v>40472763</v>
      </c>
      <c r="K1557" s="4">
        <v>95448312</v>
      </c>
      <c r="L1557" s="4">
        <v>60.85</v>
      </c>
    </row>
    <row r="1558" spans="2:12" x14ac:dyDescent="0.2">
      <c r="B1558" s="696">
        <v>42620.926539351851</v>
      </c>
      <c r="C1558" s="1" t="s">
        <v>704</v>
      </c>
      <c r="E1558" t="s">
        <v>225</v>
      </c>
      <c r="F1558" t="s">
        <v>305</v>
      </c>
      <c r="G1558" s="1" t="s">
        <v>3</v>
      </c>
      <c r="H1558" s="1">
        <v>553610</v>
      </c>
      <c r="I1558" t="s">
        <v>887</v>
      </c>
      <c r="J1558" s="110">
        <v>40472763</v>
      </c>
      <c r="K1558" s="4">
        <v>95311445</v>
      </c>
      <c r="L1558" s="4">
        <v>60.1</v>
      </c>
    </row>
    <row r="1559" spans="2:12" x14ac:dyDescent="0.2">
      <c r="B1559" s="696">
        <v>42620.927268518521</v>
      </c>
      <c r="C1559" s="1" t="s">
        <v>704</v>
      </c>
      <c r="E1559" t="s">
        <v>225</v>
      </c>
      <c r="F1559" t="s">
        <v>305</v>
      </c>
      <c r="G1559" s="1" t="s">
        <v>3</v>
      </c>
      <c r="H1559" s="1">
        <v>553610</v>
      </c>
      <c r="I1559" t="s">
        <v>887</v>
      </c>
      <c r="J1559" s="110">
        <v>40472763</v>
      </c>
      <c r="K1559" s="4">
        <v>95800959</v>
      </c>
      <c r="L1559" s="4">
        <v>61.15</v>
      </c>
    </row>
    <row r="1560" spans="2:12" x14ac:dyDescent="0.2">
      <c r="B1560" s="696">
        <v>42620.927951388891</v>
      </c>
      <c r="C1560" s="1" t="s">
        <v>704</v>
      </c>
      <c r="E1560" t="s">
        <v>225</v>
      </c>
      <c r="F1560" t="s">
        <v>305</v>
      </c>
      <c r="G1560" s="1" t="s">
        <v>3</v>
      </c>
      <c r="H1560" s="1">
        <v>553610</v>
      </c>
      <c r="I1560" t="s">
        <v>887</v>
      </c>
      <c r="J1560" s="110">
        <v>40462509</v>
      </c>
      <c r="K1560" s="4">
        <v>95796439</v>
      </c>
      <c r="L1560" s="4">
        <v>60.35</v>
      </c>
    </row>
    <row r="1561" spans="2:12" x14ac:dyDescent="0.2">
      <c r="B1561" s="696">
        <v>42620.928668981483</v>
      </c>
      <c r="C1561" s="1" t="s">
        <v>704</v>
      </c>
      <c r="E1561" t="s">
        <v>225</v>
      </c>
      <c r="F1561" t="s">
        <v>305</v>
      </c>
      <c r="G1561" s="1" t="s">
        <v>3</v>
      </c>
      <c r="H1561" s="1">
        <v>553610</v>
      </c>
      <c r="I1561" t="s">
        <v>887</v>
      </c>
      <c r="J1561" s="110">
        <v>40445421</v>
      </c>
      <c r="K1561" s="4">
        <v>95525051</v>
      </c>
      <c r="L1561" s="4">
        <v>60.6</v>
      </c>
    </row>
    <row r="1562" spans="2:12" x14ac:dyDescent="0.2">
      <c r="B1562" s="696">
        <v>42621.237349537034</v>
      </c>
      <c r="C1562" s="1" t="s">
        <v>704</v>
      </c>
      <c r="E1562" t="s">
        <v>225</v>
      </c>
      <c r="F1562" t="s">
        <v>305</v>
      </c>
      <c r="G1562" s="1" t="s">
        <v>3</v>
      </c>
      <c r="H1562" s="1">
        <v>553610</v>
      </c>
      <c r="I1562" t="s">
        <v>887</v>
      </c>
      <c r="J1562" s="110">
        <v>40445447</v>
      </c>
      <c r="K1562" s="4">
        <v>95760476</v>
      </c>
      <c r="L1562" s="4">
        <v>61.45</v>
      </c>
    </row>
    <row r="1563" spans="2:12" x14ac:dyDescent="0.2">
      <c r="B1563" s="696">
        <v>42621.237824074073</v>
      </c>
      <c r="C1563" s="1" t="s">
        <v>704</v>
      </c>
      <c r="E1563" t="s">
        <v>225</v>
      </c>
      <c r="F1563" t="s">
        <v>305</v>
      </c>
      <c r="G1563" s="1" t="s">
        <v>3</v>
      </c>
      <c r="H1563" s="1">
        <v>553610</v>
      </c>
      <c r="I1563" t="s">
        <v>887</v>
      </c>
      <c r="J1563" s="110">
        <v>40445447</v>
      </c>
      <c r="K1563" s="4">
        <v>95540860</v>
      </c>
      <c r="L1563" s="4">
        <v>62.2</v>
      </c>
    </row>
    <row r="1564" spans="2:12" x14ac:dyDescent="0.2">
      <c r="B1564" s="696">
        <v>42621.321770833332</v>
      </c>
      <c r="C1564" s="1" t="s">
        <v>704</v>
      </c>
      <c r="E1564" t="s">
        <v>225</v>
      </c>
      <c r="F1564" t="s">
        <v>305</v>
      </c>
      <c r="G1564" s="1" t="s">
        <v>3</v>
      </c>
      <c r="H1564" s="1">
        <v>553610</v>
      </c>
      <c r="I1564" t="s">
        <v>887</v>
      </c>
      <c r="J1564" s="110">
        <v>40489643</v>
      </c>
      <c r="K1564" s="4">
        <v>95150355</v>
      </c>
      <c r="L1564" s="4">
        <v>70.5</v>
      </c>
    </row>
    <row r="1565" spans="2:12" x14ac:dyDescent="0.2">
      <c r="B1565" s="696">
        <v>42621.323009259257</v>
      </c>
      <c r="C1565" s="1" t="s">
        <v>704</v>
      </c>
      <c r="E1565" t="s">
        <v>225</v>
      </c>
      <c r="F1565" t="s">
        <v>305</v>
      </c>
      <c r="G1565" s="1" t="s">
        <v>3</v>
      </c>
      <c r="H1565" s="1">
        <v>553610</v>
      </c>
      <c r="I1565" t="s">
        <v>887</v>
      </c>
      <c r="J1565" s="110">
        <v>40489668</v>
      </c>
      <c r="K1565" s="4">
        <v>95133468</v>
      </c>
      <c r="L1565" s="4">
        <v>70.5</v>
      </c>
    </row>
    <row r="1566" spans="2:12" x14ac:dyDescent="0.2">
      <c r="B1566" s="696">
        <v>42621.323842592596</v>
      </c>
      <c r="C1566" s="1" t="s">
        <v>704</v>
      </c>
      <c r="E1566" t="s">
        <v>225</v>
      </c>
      <c r="F1566" t="s">
        <v>305</v>
      </c>
      <c r="G1566" s="1" t="s">
        <v>3</v>
      </c>
      <c r="H1566" s="1">
        <v>553610</v>
      </c>
      <c r="I1566" t="s">
        <v>887</v>
      </c>
      <c r="J1566" s="110">
        <v>40489932</v>
      </c>
      <c r="K1566" s="4">
        <v>95362604</v>
      </c>
      <c r="L1566" s="4">
        <v>68.599999999999994</v>
      </c>
    </row>
    <row r="1567" spans="2:12" x14ac:dyDescent="0.2">
      <c r="B1567" s="696">
        <v>42621.324513888889</v>
      </c>
      <c r="C1567" s="1" t="s">
        <v>704</v>
      </c>
      <c r="E1567" t="s">
        <v>225</v>
      </c>
      <c r="F1567" t="s">
        <v>305</v>
      </c>
      <c r="G1567" s="1" t="s">
        <v>3</v>
      </c>
      <c r="H1567" s="1">
        <v>553610</v>
      </c>
      <c r="I1567" t="s">
        <v>887</v>
      </c>
      <c r="J1567" s="110">
        <v>40488850</v>
      </c>
      <c r="K1567" s="4">
        <v>58515347</v>
      </c>
      <c r="L1567" s="4">
        <v>60.1</v>
      </c>
    </row>
    <row r="1568" spans="2:12" x14ac:dyDescent="0.2">
      <c r="B1568" s="696">
        <v>42620.646770833337</v>
      </c>
      <c r="C1568" s="1" t="s">
        <v>868</v>
      </c>
      <c r="E1568" t="s">
        <v>225</v>
      </c>
      <c r="F1568" t="s">
        <v>305</v>
      </c>
      <c r="G1568" s="1" t="s">
        <v>3</v>
      </c>
      <c r="H1568" s="1">
        <v>553970</v>
      </c>
      <c r="I1568" t="s">
        <v>870</v>
      </c>
      <c r="J1568" s="110">
        <v>9763</v>
      </c>
      <c r="K1568" s="4" t="s">
        <v>895</v>
      </c>
      <c r="L1568" s="4">
        <v>24.26</v>
      </c>
    </row>
    <row r="1569" spans="2:12" x14ac:dyDescent="0.2">
      <c r="B1569" s="696">
        <v>42621.004756944443</v>
      </c>
      <c r="C1569" s="1" t="s">
        <v>868</v>
      </c>
      <c r="E1569" t="s">
        <v>225</v>
      </c>
      <c r="F1569" t="s">
        <v>305</v>
      </c>
      <c r="G1569" s="1" t="s">
        <v>3</v>
      </c>
      <c r="H1569" s="1">
        <v>553970</v>
      </c>
      <c r="I1569" t="s">
        <v>870</v>
      </c>
      <c r="J1569" s="110">
        <v>36251</v>
      </c>
      <c r="K1569" s="4" t="s">
        <v>896</v>
      </c>
      <c r="L1569" s="4">
        <v>24</v>
      </c>
    </row>
    <row r="1570" spans="2:12" x14ac:dyDescent="0.2">
      <c r="B1570" s="696">
        <v>42621.009074074071</v>
      </c>
      <c r="C1570" s="1" t="s">
        <v>868</v>
      </c>
      <c r="E1570" t="s">
        <v>225</v>
      </c>
      <c r="F1570" t="s">
        <v>305</v>
      </c>
      <c r="G1570" s="1" t="s">
        <v>3</v>
      </c>
      <c r="H1570" s="1">
        <v>553970</v>
      </c>
      <c r="I1570" t="s">
        <v>870</v>
      </c>
      <c r="J1570" s="110">
        <v>15610</v>
      </c>
      <c r="K1570" s="4" t="s">
        <v>897</v>
      </c>
      <c r="L1570" s="4">
        <v>24.9</v>
      </c>
    </row>
    <row r="1571" spans="2:12" x14ac:dyDescent="0.2">
      <c r="B1571" s="696">
        <v>42621.014085648145</v>
      </c>
      <c r="C1571" s="1" t="s">
        <v>868</v>
      </c>
      <c r="E1571" t="s">
        <v>225</v>
      </c>
      <c r="F1571" t="s">
        <v>305</v>
      </c>
      <c r="G1571" s="1" t="s">
        <v>3</v>
      </c>
      <c r="H1571" s="1">
        <v>553970</v>
      </c>
      <c r="I1571" t="s">
        <v>870</v>
      </c>
      <c r="J1571" s="110">
        <v>36255</v>
      </c>
      <c r="K1571" s="4" t="s">
        <v>898</v>
      </c>
      <c r="L1571" s="4">
        <v>24.02</v>
      </c>
    </row>
    <row r="1572" spans="2:12" x14ac:dyDescent="0.2">
      <c r="B1572" s="696">
        <v>42621.023680555554</v>
      </c>
      <c r="C1572" s="1" t="s">
        <v>868</v>
      </c>
      <c r="E1572" t="s">
        <v>225</v>
      </c>
      <c r="F1572" t="s">
        <v>305</v>
      </c>
      <c r="G1572" s="1" t="s">
        <v>3</v>
      </c>
      <c r="H1572" s="1">
        <v>553970</v>
      </c>
      <c r="I1572" t="s">
        <v>870</v>
      </c>
      <c r="J1572" s="110">
        <v>36254</v>
      </c>
      <c r="K1572" s="4" t="s">
        <v>899</v>
      </c>
      <c r="L1572" s="4">
        <v>24.92</v>
      </c>
    </row>
    <row r="1573" spans="2:12" x14ac:dyDescent="0.2">
      <c r="B1573" s="696">
        <v>42621.459548611114</v>
      </c>
      <c r="C1573" s="1" t="s">
        <v>619</v>
      </c>
      <c r="E1573" t="s">
        <v>225</v>
      </c>
      <c r="F1573" t="s">
        <v>305</v>
      </c>
      <c r="G1573" s="1" t="s">
        <v>3</v>
      </c>
      <c r="H1573" s="1">
        <v>551128</v>
      </c>
      <c r="I1573" t="s">
        <v>467</v>
      </c>
      <c r="J1573" s="110">
        <v>50698042</v>
      </c>
      <c r="K1573" s="4">
        <v>95655403</v>
      </c>
      <c r="L1573" s="4">
        <v>68.349999999999994</v>
      </c>
    </row>
    <row r="1574" spans="2:12" x14ac:dyDescent="0.2">
      <c r="B1574" s="696">
        <v>42621.460081018522</v>
      </c>
      <c r="C1574" s="1" t="s">
        <v>619</v>
      </c>
      <c r="E1574" t="s">
        <v>225</v>
      </c>
      <c r="F1574" t="s">
        <v>305</v>
      </c>
      <c r="G1574" s="1" t="s">
        <v>3</v>
      </c>
      <c r="H1574" s="1">
        <v>551128</v>
      </c>
      <c r="I1574" t="s">
        <v>467</v>
      </c>
      <c r="J1574" s="110">
        <v>50698042</v>
      </c>
      <c r="K1574" s="4">
        <v>95541918</v>
      </c>
      <c r="L1574" s="4">
        <v>69.05</v>
      </c>
    </row>
    <row r="1575" spans="2:12" x14ac:dyDescent="0.2">
      <c r="B1575" s="696">
        <v>42621.460590277777</v>
      </c>
      <c r="C1575" s="1" t="s">
        <v>619</v>
      </c>
      <c r="E1575" t="s">
        <v>225</v>
      </c>
      <c r="F1575" t="s">
        <v>305</v>
      </c>
      <c r="G1575" s="1" t="s">
        <v>3</v>
      </c>
      <c r="H1575" s="1">
        <v>551128</v>
      </c>
      <c r="I1575" t="s">
        <v>467</v>
      </c>
      <c r="J1575" s="110">
        <v>50698042</v>
      </c>
      <c r="K1575" s="4">
        <v>95336814</v>
      </c>
      <c r="L1575" s="4">
        <v>64.599999999999994</v>
      </c>
    </row>
    <row r="1576" spans="2:12" x14ac:dyDescent="0.2">
      <c r="B1576" s="696">
        <v>42621.461180555554</v>
      </c>
      <c r="C1576" s="1" t="s">
        <v>619</v>
      </c>
      <c r="E1576" t="s">
        <v>225</v>
      </c>
      <c r="F1576" t="s">
        <v>305</v>
      </c>
      <c r="G1576" s="1" t="s">
        <v>3</v>
      </c>
      <c r="H1576" s="1">
        <v>551128</v>
      </c>
      <c r="I1576" t="s">
        <v>467</v>
      </c>
      <c r="J1576" s="110">
        <v>50698042</v>
      </c>
      <c r="K1576" s="4">
        <v>95830261</v>
      </c>
      <c r="L1576" s="4">
        <v>68.25</v>
      </c>
    </row>
    <row r="1577" spans="2:12" x14ac:dyDescent="0.2">
      <c r="B1577" s="696">
        <v>42621.461655092593</v>
      </c>
      <c r="C1577" s="1" t="s">
        <v>619</v>
      </c>
      <c r="E1577" t="s">
        <v>225</v>
      </c>
      <c r="F1577" t="s">
        <v>305</v>
      </c>
      <c r="G1577" s="1" t="s">
        <v>3</v>
      </c>
      <c r="H1577" s="1">
        <v>551128</v>
      </c>
      <c r="I1577" t="s">
        <v>467</v>
      </c>
      <c r="J1577" s="110">
        <v>50698042</v>
      </c>
      <c r="K1577" s="4">
        <v>95693248</v>
      </c>
      <c r="L1577" s="4">
        <v>67.95</v>
      </c>
    </row>
    <row r="1578" spans="2:12" x14ac:dyDescent="0.2">
      <c r="B1578" s="696">
        <v>42622.315949074073</v>
      </c>
      <c r="C1578" s="1" t="s">
        <v>845</v>
      </c>
      <c r="E1578" t="s">
        <v>225</v>
      </c>
      <c r="F1578" t="s">
        <v>305</v>
      </c>
      <c r="G1578" s="1" t="s">
        <v>3</v>
      </c>
      <c r="H1578" s="1">
        <v>551772</v>
      </c>
      <c r="I1578" t="s">
        <v>467</v>
      </c>
      <c r="J1578" s="110">
        <v>47692504</v>
      </c>
      <c r="K1578" s="4">
        <v>95292835</v>
      </c>
      <c r="L1578" s="4">
        <v>61.5</v>
      </c>
    </row>
    <row r="1579" spans="2:12" x14ac:dyDescent="0.2">
      <c r="B1579" s="696">
        <v>42622.316516203704</v>
      </c>
      <c r="C1579" s="1" t="s">
        <v>619</v>
      </c>
      <c r="E1579" t="s">
        <v>225</v>
      </c>
      <c r="F1579" t="s">
        <v>305</v>
      </c>
      <c r="G1579" s="1" t="s">
        <v>3</v>
      </c>
      <c r="H1579" s="1">
        <v>551128</v>
      </c>
      <c r="I1579" t="s">
        <v>467</v>
      </c>
      <c r="J1579" s="110">
        <v>50761337</v>
      </c>
      <c r="K1579" s="4">
        <v>95751475</v>
      </c>
      <c r="L1579" s="4">
        <v>68</v>
      </c>
    </row>
    <row r="1580" spans="2:12" x14ac:dyDescent="0.2">
      <c r="B1580" s="696">
        <v>42622.317013888889</v>
      </c>
      <c r="C1580" s="1" t="s">
        <v>619</v>
      </c>
      <c r="E1580" t="s">
        <v>225</v>
      </c>
      <c r="F1580" t="s">
        <v>305</v>
      </c>
      <c r="G1580" s="1" t="s">
        <v>3</v>
      </c>
      <c r="H1580" s="1">
        <v>551128</v>
      </c>
      <c r="I1580" t="s">
        <v>467</v>
      </c>
      <c r="J1580" s="110">
        <v>50761337</v>
      </c>
      <c r="K1580" s="4">
        <v>95751285</v>
      </c>
      <c r="L1580" s="4">
        <v>68.3</v>
      </c>
    </row>
    <row r="1581" spans="2:12" x14ac:dyDescent="0.2">
      <c r="B1581" s="696">
        <v>42622.317442129628</v>
      </c>
      <c r="C1581" s="1" t="s">
        <v>619</v>
      </c>
      <c r="E1581" t="s">
        <v>225</v>
      </c>
      <c r="F1581" t="s">
        <v>305</v>
      </c>
      <c r="G1581" s="1" t="s">
        <v>3</v>
      </c>
      <c r="H1581" s="1">
        <v>551128</v>
      </c>
      <c r="I1581" t="s">
        <v>467</v>
      </c>
      <c r="J1581" s="110">
        <v>50761337</v>
      </c>
      <c r="K1581" s="4">
        <v>95366928</v>
      </c>
      <c r="L1581" s="4">
        <v>68.45</v>
      </c>
    </row>
    <row r="1582" spans="2:12" x14ac:dyDescent="0.2">
      <c r="B1582" s="696">
        <v>42622.317847222221</v>
      </c>
      <c r="C1582" s="1" t="s">
        <v>619</v>
      </c>
      <c r="E1582" t="s">
        <v>225</v>
      </c>
      <c r="F1582" t="s">
        <v>305</v>
      </c>
      <c r="G1582" s="1" t="s">
        <v>3</v>
      </c>
      <c r="H1582" s="1">
        <v>551128</v>
      </c>
      <c r="I1582" t="s">
        <v>467</v>
      </c>
      <c r="J1582" s="110">
        <v>50761337</v>
      </c>
      <c r="K1582" s="4">
        <v>95526877</v>
      </c>
      <c r="L1582" s="4">
        <v>69.349999999999994</v>
      </c>
    </row>
    <row r="1583" spans="2:12" x14ac:dyDescent="0.2">
      <c r="B1583" s="696">
        <v>42621.618136574078</v>
      </c>
      <c r="C1583" s="1" t="s">
        <v>818</v>
      </c>
      <c r="E1583" t="s">
        <v>225</v>
      </c>
      <c r="F1583" t="s">
        <v>305</v>
      </c>
      <c r="G1583" s="1" t="s">
        <v>3</v>
      </c>
      <c r="H1583" s="1">
        <v>553036</v>
      </c>
      <c r="I1583" t="s">
        <v>292</v>
      </c>
      <c r="J1583" s="110">
        <v>50737154</v>
      </c>
      <c r="K1583" s="4">
        <v>95387403</v>
      </c>
      <c r="L1583" s="4">
        <v>69.650000000000006</v>
      </c>
    </row>
    <row r="1584" spans="2:12" x14ac:dyDescent="0.2">
      <c r="B1584" s="696">
        <v>42621.618518518517</v>
      </c>
      <c r="C1584" s="1" t="s">
        <v>818</v>
      </c>
      <c r="E1584" t="s">
        <v>225</v>
      </c>
      <c r="F1584" t="s">
        <v>305</v>
      </c>
      <c r="G1584" s="1" t="s">
        <v>3</v>
      </c>
      <c r="H1584" s="1">
        <v>553036</v>
      </c>
      <c r="I1584" t="s">
        <v>292</v>
      </c>
      <c r="J1584" s="110">
        <v>50737154</v>
      </c>
      <c r="K1584" s="4">
        <v>95525648</v>
      </c>
      <c r="L1584" s="4">
        <v>69.95</v>
      </c>
    </row>
    <row r="1585" spans="2:12" x14ac:dyDescent="0.2">
      <c r="B1585" s="696">
        <v>42621.619004629632</v>
      </c>
      <c r="C1585" s="1" t="s">
        <v>818</v>
      </c>
      <c r="E1585" t="s">
        <v>225</v>
      </c>
      <c r="F1585" t="s">
        <v>305</v>
      </c>
      <c r="G1585" s="1" t="s">
        <v>3</v>
      </c>
      <c r="H1585" s="1">
        <v>553036</v>
      </c>
      <c r="I1585" t="s">
        <v>292</v>
      </c>
      <c r="J1585" s="110">
        <v>50737154</v>
      </c>
      <c r="K1585" s="4">
        <v>95347167</v>
      </c>
      <c r="L1585" s="4">
        <v>64.900000000000006</v>
      </c>
    </row>
    <row r="1586" spans="2:12" x14ac:dyDescent="0.2">
      <c r="B1586" s="696">
        <v>42621.619444444441</v>
      </c>
      <c r="C1586" s="1" t="s">
        <v>818</v>
      </c>
      <c r="E1586" t="s">
        <v>225</v>
      </c>
      <c r="F1586" t="s">
        <v>305</v>
      </c>
      <c r="G1586" s="1" t="s">
        <v>3</v>
      </c>
      <c r="H1586" s="1">
        <v>553036</v>
      </c>
      <c r="I1586" t="s">
        <v>292</v>
      </c>
      <c r="J1586" s="110">
        <v>50737154</v>
      </c>
      <c r="K1586" s="4">
        <v>95453973</v>
      </c>
      <c r="L1586" s="4">
        <v>69.599999999999994</v>
      </c>
    </row>
    <row r="1587" spans="2:12" x14ac:dyDescent="0.2">
      <c r="B1587" s="696">
        <v>42621.619872685187</v>
      </c>
      <c r="C1587" s="1" t="s">
        <v>644</v>
      </c>
      <c r="E1587" t="s">
        <v>225</v>
      </c>
      <c r="F1587" t="s">
        <v>305</v>
      </c>
      <c r="G1587" s="1" t="s">
        <v>3</v>
      </c>
      <c r="H1587" s="1">
        <v>552518</v>
      </c>
      <c r="I1587" t="s">
        <v>292</v>
      </c>
      <c r="J1587" s="110">
        <v>40593964</v>
      </c>
      <c r="K1587" s="4">
        <v>95339305</v>
      </c>
      <c r="L1587" s="4">
        <v>68</v>
      </c>
    </row>
    <row r="1588" spans="2:12" x14ac:dyDescent="0.2">
      <c r="B1588" s="696">
        <v>42621.620289351849</v>
      </c>
      <c r="C1588" s="1" t="s">
        <v>644</v>
      </c>
      <c r="E1588" t="s">
        <v>225</v>
      </c>
      <c r="F1588" t="s">
        <v>305</v>
      </c>
      <c r="G1588" s="1" t="s">
        <v>3</v>
      </c>
      <c r="H1588" s="1">
        <v>552518</v>
      </c>
      <c r="I1588" t="s">
        <v>292</v>
      </c>
      <c r="J1588" s="110">
        <v>40593964</v>
      </c>
      <c r="K1588" s="4">
        <v>95527032</v>
      </c>
      <c r="L1588" s="4">
        <v>67.7</v>
      </c>
    </row>
    <row r="1589" spans="2:12" x14ac:dyDescent="0.2">
      <c r="B1589" s="696">
        <v>42621.620694444442</v>
      </c>
      <c r="C1589" s="1" t="s">
        <v>644</v>
      </c>
      <c r="E1589" t="s">
        <v>225</v>
      </c>
      <c r="F1589" t="s">
        <v>305</v>
      </c>
      <c r="G1589" s="1" t="s">
        <v>3</v>
      </c>
      <c r="H1589" s="1">
        <v>552518</v>
      </c>
      <c r="I1589" t="s">
        <v>292</v>
      </c>
      <c r="J1589" s="110">
        <v>40593964</v>
      </c>
      <c r="K1589" s="4">
        <v>95368783</v>
      </c>
      <c r="L1589" s="4">
        <v>68.650000000000006</v>
      </c>
    </row>
    <row r="1590" spans="2:12" x14ac:dyDescent="0.2">
      <c r="B1590" s="696">
        <v>42621.621099537035</v>
      </c>
      <c r="C1590" s="1" t="s">
        <v>644</v>
      </c>
      <c r="E1590" t="s">
        <v>225</v>
      </c>
      <c r="F1590" t="s">
        <v>305</v>
      </c>
      <c r="G1590" s="1" t="s">
        <v>3</v>
      </c>
      <c r="H1590" s="1">
        <v>552518</v>
      </c>
      <c r="I1590" t="s">
        <v>292</v>
      </c>
      <c r="J1590" s="110">
        <v>40593964</v>
      </c>
      <c r="K1590" s="4">
        <v>95451084</v>
      </c>
      <c r="L1590" s="4">
        <v>68.7</v>
      </c>
    </row>
    <row r="1591" spans="2:12" x14ac:dyDescent="0.2">
      <c r="B1591" s="696">
        <v>42621.643449074072</v>
      </c>
      <c r="C1591" s="1" t="s">
        <v>888</v>
      </c>
      <c r="E1591" t="s">
        <v>225</v>
      </c>
      <c r="F1591" t="s">
        <v>305</v>
      </c>
      <c r="G1591" s="1" t="s">
        <v>3</v>
      </c>
      <c r="H1591" s="1">
        <v>553902</v>
      </c>
      <c r="I1591" t="s">
        <v>643</v>
      </c>
      <c r="J1591" s="110">
        <v>271005</v>
      </c>
      <c r="K1591" s="4" t="s">
        <v>903</v>
      </c>
      <c r="L1591" s="4">
        <v>24.22</v>
      </c>
    </row>
    <row r="1592" spans="2:12" x14ac:dyDescent="0.2">
      <c r="B1592" s="696">
        <v>42621.763310185182</v>
      </c>
      <c r="C1592" s="1" t="s">
        <v>888</v>
      </c>
      <c r="E1592" t="s">
        <v>225</v>
      </c>
      <c r="F1592" t="s">
        <v>305</v>
      </c>
      <c r="G1592" s="1" t="s">
        <v>3</v>
      </c>
      <c r="H1592" s="1">
        <v>553902</v>
      </c>
      <c r="I1592" t="s">
        <v>643</v>
      </c>
      <c r="J1592" s="110">
        <v>47781919</v>
      </c>
      <c r="K1592" s="4">
        <v>95353942</v>
      </c>
      <c r="L1592" s="4">
        <v>69.099999999999994</v>
      </c>
    </row>
    <row r="1593" spans="2:12" x14ac:dyDescent="0.2">
      <c r="B1593" s="696">
        <v>42621.763796296298</v>
      </c>
      <c r="C1593" s="1" t="s">
        <v>888</v>
      </c>
      <c r="E1593" t="s">
        <v>225</v>
      </c>
      <c r="F1593" t="s">
        <v>305</v>
      </c>
      <c r="G1593" s="1" t="s">
        <v>3</v>
      </c>
      <c r="H1593" s="1">
        <v>553902</v>
      </c>
      <c r="I1593" t="s">
        <v>643</v>
      </c>
      <c r="J1593" s="110">
        <v>47781976</v>
      </c>
      <c r="K1593" s="4">
        <v>95091906</v>
      </c>
      <c r="L1593" s="4">
        <v>70.45</v>
      </c>
    </row>
    <row r="1594" spans="2:12" x14ac:dyDescent="0.2">
      <c r="B1594" s="696">
        <v>42621.764189814814</v>
      </c>
      <c r="C1594" s="1" t="s">
        <v>888</v>
      </c>
      <c r="E1594" t="s">
        <v>225</v>
      </c>
      <c r="F1594" t="s">
        <v>305</v>
      </c>
      <c r="G1594" s="1" t="s">
        <v>3</v>
      </c>
      <c r="H1594" s="1">
        <v>553902</v>
      </c>
      <c r="I1594" t="s">
        <v>643</v>
      </c>
      <c r="J1594" s="110">
        <v>47781976</v>
      </c>
      <c r="K1594" s="4">
        <v>95095675</v>
      </c>
      <c r="L1594" s="4">
        <v>70</v>
      </c>
    </row>
    <row r="1595" spans="2:12" x14ac:dyDescent="0.2">
      <c r="B1595" s="696">
        <v>42621.764733796299</v>
      </c>
      <c r="C1595" s="1" t="s">
        <v>888</v>
      </c>
      <c r="E1595" t="s">
        <v>225</v>
      </c>
      <c r="F1595" t="s">
        <v>305</v>
      </c>
      <c r="G1595" s="1" t="s">
        <v>3</v>
      </c>
      <c r="H1595" s="1">
        <v>553902</v>
      </c>
      <c r="I1595" t="s">
        <v>643</v>
      </c>
      <c r="J1595" s="110">
        <v>47781976</v>
      </c>
      <c r="K1595" s="4">
        <v>95154431</v>
      </c>
      <c r="L1595" s="4">
        <v>70.8</v>
      </c>
    </row>
    <row r="1596" spans="2:12" x14ac:dyDescent="0.2">
      <c r="B1596" s="696">
        <v>42622.25340277778</v>
      </c>
      <c r="C1596" s="1" t="s">
        <v>868</v>
      </c>
      <c r="E1596" t="s">
        <v>225</v>
      </c>
      <c r="F1596" t="s">
        <v>305</v>
      </c>
      <c r="G1596" s="1" t="s">
        <v>3</v>
      </c>
      <c r="H1596" s="1">
        <v>554029</v>
      </c>
      <c r="I1596" t="s">
        <v>910</v>
      </c>
      <c r="J1596" s="110">
        <v>36257</v>
      </c>
      <c r="K1596" s="4" t="s">
        <v>904</v>
      </c>
      <c r="L1596" s="4">
        <v>23.56</v>
      </c>
    </row>
    <row r="1597" spans="2:12" x14ac:dyDescent="0.2">
      <c r="B1597" s="696">
        <v>42622.258020833331</v>
      </c>
      <c r="C1597" s="1" t="s">
        <v>868</v>
      </c>
      <c r="E1597" t="s">
        <v>225</v>
      </c>
      <c r="F1597" t="s">
        <v>305</v>
      </c>
      <c r="G1597" s="1" t="s">
        <v>3</v>
      </c>
      <c r="H1597" s="1">
        <v>554029</v>
      </c>
      <c r="I1597" t="s">
        <v>910</v>
      </c>
      <c r="J1597" s="110">
        <v>36256</v>
      </c>
      <c r="K1597" s="4" t="s">
        <v>905</v>
      </c>
      <c r="L1597" s="4">
        <v>23.36</v>
      </c>
    </row>
    <row r="1598" spans="2:12" x14ac:dyDescent="0.2">
      <c r="B1598" s="696">
        <v>42622.264224537037</v>
      </c>
      <c r="C1598" s="1" t="s">
        <v>868</v>
      </c>
      <c r="E1598" t="s">
        <v>225</v>
      </c>
      <c r="F1598" t="s">
        <v>305</v>
      </c>
      <c r="G1598" s="1" t="s">
        <v>3</v>
      </c>
      <c r="H1598" s="1">
        <v>554029</v>
      </c>
      <c r="I1598" t="s">
        <v>910</v>
      </c>
      <c r="J1598" s="110">
        <v>350248</v>
      </c>
      <c r="K1598" s="4" t="s">
        <v>865</v>
      </c>
      <c r="L1598" s="4">
        <v>20.78</v>
      </c>
    </row>
    <row r="1599" spans="2:12" x14ac:dyDescent="0.2">
      <c r="B1599" s="696">
        <v>42622.27207175926</v>
      </c>
      <c r="C1599" s="1" t="s">
        <v>868</v>
      </c>
      <c r="E1599" t="s">
        <v>225</v>
      </c>
      <c r="F1599" t="s">
        <v>305</v>
      </c>
      <c r="G1599" s="1" t="s">
        <v>3</v>
      </c>
      <c r="H1599" s="1">
        <v>554029</v>
      </c>
      <c r="I1599" t="s">
        <v>910</v>
      </c>
      <c r="J1599" s="110">
        <v>36185</v>
      </c>
      <c r="K1599" s="4" t="s">
        <v>906</v>
      </c>
      <c r="L1599" s="4">
        <v>24.52</v>
      </c>
    </row>
    <row r="1600" spans="2:12" x14ac:dyDescent="0.2">
      <c r="B1600" s="696">
        <v>42622.280729166669</v>
      </c>
      <c r="C1600" s="1" t="s">
        <v>868</v>
      </c>
      <c r="E1600" t="s">
        <v>225</v>
      </c>
      <c r="F1600" t="s">
        <v>305</v>
      </c>
      <c r="G1600" s="1" t="s">
        <v>3</v>
      </c>
      <c r="H1600" s="1">
        <v>554029</v>
      </c>
      <c r="I1600" t="s">
        <v>910</v>
      </c>
      <c r="J1600" s="110">
        <v>36183</v>
      </c>
      <c r="K1600" s="4" t="s">
        <v>907</v>
      </c>
      <c r="L1600" s="4">
        <v>25.24</v>
      </c>
    </row>
    <row r="1601" spans="2:12" x14ac:dyDescent="0.2">
      <c r="B1601" s="696">
        <v>42622.285000000003</v>
      </c>
      <c r="C1601" s="1" t="s">
        <v>868</v>
      </c>
      <c r="E1601" t="s">
        <v>225</v>
      </c>
      <c r="F1601" t="s">
        <v>305</v>
      </c>
      <c r="G1601" s="1" t="s">
        <v>3</v>
      </c>
      <c r="H1601" s="1">
        <v>554029</v>
      </c>
      <c r="I1601" t="s">
        <v>910</v>
      </c>
      <c r="J1601" s="110">
        <v>36259</v>
      </c>
      <c r="K1601" s="4" t="s">
        <v>908</v>
      </c>
      <c r="L1601" s="4">
        <v>23.18</v>
      </c>
    </row>
    <row r="1602" spans="2:12" x14ac:dyDescent="0.2">
      <c r="B1602" s="696">
        <v>42622.288877314815</v>
      </c>
      <c r="C1602" s="1" t="s">
        <v>868</v>
      </c>
      <c r="E1602" t="s">
        <v>225</v>
      </c>
      <c r="F1602" t="s">
        <v>305</v>
      </c>
      <c r="G1602" s="1" t="s">
        <v>3</v>
      </c>
      <c r="H1602" s="1">
        <v>554029</v>
      </c>
      <c r="I1602" t="s">
        <v>910</v>
      </c>
      <c r="J1602" s="110">
        <v>350249</v>
      </c>
      <c r="K1602" s="4" t="s">
        <v>864</v>
      </c>
      <c r="L1602" s="4">
        <v>25.56</v>
      </c>
    </row>
    <row r="1603" spans="2:12" x14ac:dyDescent="0.2">
      <c r="B1603" s="696">
        <v>42622.292847222219</v>
      </c>
      <c r="C1603" s="1" t="s">
        <v>868</v>
      </c>
      <c r="E1603" t="s">
        <v>225</v>
      </c>
      <c r="F1603" t="s">
        <v>305</v>
      </c>
      <c r="G1603" s="1" t="s">
        <v>3</v>
      </c>
      <c r="H1603" s="1">
        <v>554029</v>
      </c>
      <c r="I1603" t="s">
        <v>910</v>
      </c>
      <c r="J1603" s="110">
        <v>15778</v>
      </c>
      <c r="K1603" s="4" t="s">
        <v>909</v>
      </c>
      <c r="L1603" s="4">
        <v>25</v>
      </c>
    </row>
    <row r="1604" spans="2:12" x14ac:dyDescent="0.2">
      <c r="B1604" s="696">
        <v>42621.513749999998</v>
      </c>
      <c r="C1604" s="1" t="s">
        <v>704</v>
      </c>
      <c r="E1604" t="s">
        <v>225</v>
      </c>
      <c r="F1604" t="s">
        <v>305</v>
      </c>
      <c r="G1604" s="1" t="s">
        <v>3</v>
      </c>
      <c r="H1604" s="1">
        <v>553610</v>
      </c>
      <c r="I1604" t="s">
        <v>887</v>
      </c>
      <c r="J1604" s="110">
        <v>40488850</v>
      </c>
      <c r="K1604" s="4">
        <v>58513227</v>
      </c>
      <c r="L1604" s="4">
        <v>60.75</v>
      </c>
    </row>
    <row r="1605" spans="2:12" x14ac:dyDescent="0.2">
      <c r="B1605" s="696">
        <v>42621.514525462961</v>
      </c>
      <c r="C1605" s="1" t="s">
        <v>704</v>
      </c>
      <c r="E1605" t="s">
        <v>225</v>
      </c>
      <c r="F1605" t="s">
        <v>305</v>
      </c>
      <c r="G1605" s="1" t="s">
        <v>3</v>
      </c>
      <c r="H1605" s="1">
        <v>553610</v>
      </c>
      <c r="I1605" t="s">
        <v>887</v>
      </c>
      <c r="J1605" s="110">
        <v>40488850</v>
      </c>
      <c r="K1605" s="4">
        <v>58512567</v>
      </c>
      <c r="L1605" s="4">
        <v>59.15</v>
      </c>
    </row>
    <row r="1606" spans="2:12" x14ac:dyDescent="0.2">
      <c r="B1606" s="696">
        <v>42621.5155787037</v>
      </c>
      <c r="C1606" s="1" t="s">
        <v>704</v>
      </c>
      <c r="E1606" t="s">
        <v>225</v>
      </c>
      <c r="F1606" t="s">
        <v>305</v>
      </c>
      <c r="G1606" s="1" t="s">
        <v>3</v>
      </c>
      <c r="H1606" s="1">
        <v>553610</v>
      </c>
      <c r="I1606" t="s">
        <v>887</v>
      </c>
      <c r="J1606" s="110">
        <v>40488850</v>
      </c>
      <c r="K1606" s="4">
        <v>58516246</v>
      </c>
      <c r="L1606" s="4">
        <v>59.7</v>
      </c>
    </row>
    <row r="1607" spans="2:12" x14ac:dyDescent="0.2">
      <c r="B1607" s="696">
        <v>42621.516180555554</v>
      </c>
      <c r="C1607" s="1" t="s">
        <v>704</v>
      </c>
      <c r="E1607" t="s">
        <v>225</v>
      </c>
      <c r="F1607" t="s">
        <v>305</v>
      </c>
      <c r="G1607" s="1" t="s">
        <v>3</v>
      </c>
      <c r="H1607" s="1">
        <v>553610</v>
      </c>
      <c r="I1607" t="s">
        <v>887</v>
      </c>
      <c r="J1607" s="110">
        <v>40503690</v>
      </c>
      <c r="K1607" s="4">
        <v>95383907</v>
      </c>
      <c r="L1607" s="4">
        <v>67.2</v>
      </c>
    </row>
    <row r="1608" spans="2:12" x14ac:dyDescent="0.2">
      <c r="B1608" s="696">
        <v>42621.516863425924</v>
      </c>
      <c r="C1608" s="1" t="s">
        <v>704</v>
      </c>
      <c r="E1608" t="s">
        <v>225</v>
      </c>
      <c r="F1608" t="s">
        <v>305</v>
      </c>
      <c r="G1608" s="1" t="s">
        <v>3</v>
      </c>
      <c r="H1608" s="1">
        <v>553610</v>
      </c>
      <c r="I1608" t="s">
        <v>887</v>
      </c>
      <c r="J1608" s="110">
        <v>40503708</v>
      </c>
      <c r="K1608" s="4">
        <v>95150660</v>
      </c>
      <c r="L1608" s="4">
        <v>67.45</v>
      </c>
    </row>
    <row r="1609" spans="2:12" x14ac:dyDescent="0.2">
      <c r="B1609" s="696">
        <v>42621.517627314817</v>
      </c>
      <c r="C1609" s="1" t="s">
        <v>704</v>
      </c>
      <c r="E1609" t="s">
        <v>225</v>
      </c>
      <c r="F1609" t="s">
        <v>305</v>
      </c>
      <c r="G1609" s="1" t="s">
        <v>3</v>
      </c>
      <c r="H1609" s="1">
        <v>553610</v>
      </c>
      <c r="I1609" t="s">
        <v>887</v>
      </c>
      <c r="J1609" s="110">
        <v>40501652</v>
      </c>
      <c r="K1609" s="4">
        <v>95362414</v>
      </c>
      <c r="L1609" s="4">
        <v>68.599999999999994</v>
      </c>
    </row>
    <row r="1610" spans="2:12" x14ac:dyDescent="0.2">
      <c r="B1610" s="696">
        <v>42621.615613425929</v>
      </c>
      <c r="C1610" s="1" t="s">
        <v>704</v>
      </c>
      <c r="E1610" t="s">
        <v>225</v>
      </c>
      <c r="F1610" t="s">
        <v>305</v>
      </c>
      <c r="G1610" s="1" t="s">
        <v>3</v>
      </c>
      <c r="H1610" s="1">
        <v>553610</v>
      </c>
      <c r="I1610" t="s">
        <v>887</v>
      </c>
      <c r="J1610" s="110">
        <v>40501660</v>
      </c>
      <c r="K1610" s="4">
        <v>95150520</v>
      </c>
      <c r="L1610" s="4">
        <v>68.95</v>
      </c>
    </row>
    <row r="1611" spans="2:12" x14ac:dyDescent="0.2">
      <c r="B1611" s="696">
        <v>42621.616840277777</v>
      </c>
      <c r="C1611" s="1" t="s">
        <v>704</v>
      </c>
      <c r="E1611" t="s">
        <v>225</v>
      </c>
      <c r="F1611" t="s">
        <v>305</v>
      </c>
      <c r="G1611" s="1" t="s">
        <v>3</v>
      </c>
      <c r="H1611" s="1">
        <v>553610</v>
      </c>
      <c r="I1611" t="s">
        <v>887</v>
      </c>
      <c r="J1611" s="110">
        <v>40508640</v>
      </c>
      <c r="K1611" s="4">
        <v>95642435</v>
      </c>
      <c r="L1611" s="4">
        <v>60.85</v>
      </c>
    </row>
    <row r="1612" spans="2:12" x14ac:dyDescent="0.2">
      <c r="B1612" s="696">
        <v>42621.617280092592</v>
      </c>
      <c r="C1612" s="1" t="s">
        <v>704</v>
      </c>
      <c r="E1612" t="s">
        <v>225</v>
      </c>
      <c r="F1612" t="s">
        <v>305</v>
      </c>
      <c r="G1612" s="1" t="s">
        <v>3</v>
      </c>
      <c r="H1612" s="1">
        <v>553610</v>
      </c>
      <c r="I1612" t="s">
        <v>887</v>
      </c>
      <c r="J1612" s="110">
        <v>40508640</v>
      </c>
      <c r="K1612" s="4">
        <v>95832804</v>
      </c>
      <c r="L1612" s="4">
        <v>60.25</v>
      </c>
    </row>
    <row r="1613" spans="2:12" x14ac:dyDescent="0.2">
      <c r="B1613" s="696">
        <v>42621.617685185185</v>
      </c>
      <c r="C1613" s="1" t="s">
        <v>704</v>
      </c>
      <c r="E1613" t="s">
        <v>225</v>
      </c>
      <c r="F1613" t="s">
        <v>305</v>
      </c>
      <c r="G1613" s="1" t="s">
        <v>3</v>
      </c>
      <c r="H1613" s="1">
        <v>553610</v>
      </c>
      <c r="I1613" t="s">
        <v>887</v>
      </c>
      <c r="J1613" s="110">
        <v>40508640</v>
      </c>
      <c r="K1613" s="4">
        <v>95754131</v>
      </c>
      <c r="L1613" s="4">
        <v>60.55</v>
      </c>
    </row>
    <row r="1614" spans="2:12" x14ac:dyDescent="0.2">
      <c r="B1614" s="696">
        <v>42621.753923611112</v>
      </c>
      <c r="C1614" s="1" t="s">
        <v>704</v>
      </c>
      <c r="E1614" t="s">
        <v>225</v>
      </c>
      <c r="F1614" t="s">
        <v>305</v>
      </c>
      <c r="G1614" s="1" t="s">
        <v>3</v>
      </c>
      <c r="H1614" s="1">
        <v>553610</v>
      </c>
      <c r="I1614" t="s">
        <v>887</v>
      </c>
      <c r="J1614" s="110">
        <v>40508640</v>
      </c>
      <c r="K1614" s="4">
        <v>95451951</v>
      </c>
      <c r="L1614" s="4">
        <v>60.25</v>
      </c>
    </row>
    <row r="1615" spans="2:12" x14ac:dyDescent="0.2">
      <c r="B1615" s="696">
        <v>42621.754479166666</v>
      </c>
      <c r="C1615" s="1" t="s">
        <v>704</v>
      </c>
      <c r="E1615" t="s">
        <v>225</v>
      </c>
      <c r="F1615" t="s">
        <v>305</v>
      </c>
      <c r="G1615" s="1" t="s">
        <v>3</v>
      </c>
      <c r="H1615" s="1">
        <v>553610</v>
      </c>
      <c r="I1615" t="s">
        <v>887</v>
      </c>
      <c r="J1615" s="110">
        <v>40514259</v>
      </c>
      <c r="K1615" s="4">
        <v>95368759</v>
      </c>
      <c r="L1615" s="4">
        <v>61.15</v>
      </c>
    </row>
    <row r="1616" spans="2:12" x14ac:dyDescent="0.2">
      <c r="B1616" s="696">
        <v>42621.755196759259</v>
      </c>
      <c r="C1616" s="1" t="s">
        <v>704</v>
      </c>
      <c r="E1616" t="s">
        <v>225</v>
      </c>
      <c r="F1616" t="s">
        <v>305</v>
      </c>
      <c r="G1616" s="1" t="s">
        <v>3</v>
      </c>
      <c r="H1616" s="1">
        <v>553610</v>
      </c>
      <c r="I1616" t="s">
        <v>887</v>
      </c>
      <c r="J1616" s="110">
        <v>40501678</v>
      </c>
      <c r="K1616" s="4">
        <v>58541954</v>
      </c>
      <c r="L1616" s="4">
        <v>60.45</v>
      </c>
    </row>
    <row r="1617" spans="2:12" x14ac:dyDescent="0.2">
      <c r="B1617" s="696">
        <v>42621.757881944446</v>
      </c>
      <c r="C1617" s="1" t="s">
        <v>704</v>
      </c>
      <c r="E1617" t="s">
        <v>225</v>
      </c>
      <c r="F1617" t="s">
        <v>305</v>
      </c>
      <c r="G1617" s="1" t="s">
        <v>3</v>
      </c>
      <c r="H1617" s="1">
        <v>553610</v>
      </c>
      <c r="I1617" t="s">
        <v>887</v>
      </c>
      <c r="J1617" s="110">
        <v>40501678</v>
      </c>
      <c r="K1617" s="4">
        <v>58516691</v>
      </c>
      <c r="L1617" s="4">
        <v>60.75</v>
      </c>
    </row>
    <row r="1618" spans="2:12" x14ac:dyDescent="0.2">
      <c r="B1618" s="696">
        <v>42621.760150462964</v>
      </c>
      <c r="C1618" s="1" t="s">
        <v>704</v>
      </c>
      <c r="E1618" t="s">
        <v>225</v>
      </c>
      <c r="F1618" t="s">
        <v>305</v>
      </c>
      <c r="G1618" s="1" t="s">
        <v>3</v>
      </c>
      <c r="H1618" s="1">
        <v>553610</v>
      </c>
      <c r="I1618" t="s">
        <v>887</v>
      </c>
      <c r="J1618" s="110">
        <v>40501678</v>
      </c>
      <c r="K1618" s="4">
        <v>58525437</v>
      </c>
      <c r="L1618" s="4">
        <v>60.8</v>
      </c>
    </row>
    <row r="1619" spans="2:12" x14ac:dyDescent="0.2">
      <c r="B1619" s="696">
        <v>42621.762094907404</v>
      </c>
      <c r="C1619" s="1" t="s">
        <v>704</v>
      </c>
      <c r="E1619" t="s">
        <v>225</v>
      </c>
      <c r="F1619" t="s">
        <v>305</v>
      </c>
      <c r="G1619" s="1" t="s">
        <v>3</v>
      </c>
      <c r="H1619" s="1">
        <v>553610</v>
      </c>
      <c r="I1619" t="s">
        <v>887</v>
      </c>
      <c r="J1619" s="110">
        <v>40501678</v>
      </c>
      <c r="K1619" s="4">
        <v>58520818</v>
      </c>
      <c r="L1619" s="4">
        <v>60.6</v>
      </c>
    </row>
    <row r="1620" spans="2:12" x14ac:dyDescent="0.2">
      <c r="B1620" s="696">
        <v>42621.937581018516</v>
      </c>
      <c r="C1620" s="1" t="s">
        <v>704</v>
      </c>
      <c r="E1620" t="s">
        <v>225</v>
      </c>
      <c r="F1620" t="s">
        <v>305</v>
      </c>
      <c r="G1620" s="1" t="s">
        <v>3</v>
      </c>
      <c r="H1620" s="1">
        <v>553610</v>
      </c>
      <c r="I1620" t="s">
        <v>887</v>
      </c>
      <c r="J1620" s="110">
        <v>40472763</v>
      </c>
      <c r="K1620" s="4">
        <v>95383816</v>
      </c>
      <c r="L1620" s="4">
        <v>57.95</v>
      </c>
    </row>
    <row r="1621" spans="2:12" x14ac:dyDescent="0.2">
      <c r="B1621" s="696">
        <v>42621.939328703702</v>
      </c>
      <c r="C1621" s="1" t="s">
        <v>704</v>
      </c>
      <c r="E1621" t="s">
        <v>225</v>
      </c>
      <c r="F1621" t="s">
        <v>305</v>
      </c>
      <c r="G1621" s="1" t="s">
        <v>3</v>
      </c>
      <c r="H1621" s="1">
        <v>553610</v>
      </c>
      <c r="I1621" t="s">
        <v>887</v>
      </c>
      <c r="J1621" s="110">
        <v>40514259</v>
      </c>
      <c r="K1621" s="4">
        <v>95795449</v>
      </c>
      <c r="L1621" s="4">
        <v>61.15</v>
      </c>
    </row>
    <row r="1622" spans="2:12" x14ac:dyDescent="0.2">
      <c r="B1622" s="696">
        <v>42621.940648148149</v>
      </c>
      <c r="C1622" s="1" t="s">
        <v>704</v>
      </c>
      <c r="E1622" t="s">
        <v>225</v>
      </c>
      <c r="F1622" t="s">
        <v>305</v>
      </c>
      <c r="G1622" s="1" t="s">
        <v>3</v>
      </c>
      <c r="H1622" s="1">
        <v>553610</v>
      </c>
      <c r="I1622" t="s">
        <v>887</v>
      </c>
      <c r="J1622" s="110">
        <v>40514259</v>
      </c>
      <c r="K1622" s="4">
        <v>95645966</v>
      </c>
      <c r="L1622" s="4">
        <v>61.45</v>
      </c>
    </row>
    <row r="1623" spans="2:12" x14ac:dyDescent="0.2">
      <c r="B1623" s="696">
        <v>42621.941550925927</v>
      </c>
      <c r="C1623" s="1" t="s">
        <v>704</v>
      </c>
      <c r="E1623" t="s">
        <v>225</v>
      </c>
      <c r="F1623" t="s">
        <v>305</v>
      </c>
      <c r="G1623" s="1" t="s">
        <v>3</v>
      </c>
      <c r="H1623" s="1">
        <v>553610</v>
      </c>
      <c r="I1623" t="s">
        <v>887</v>
      </c>
      <c r="J1623" s="110">
        <v>40514259</v>
      </c>
      <c r="K1623" s="4">
        <v>95798633</v>
      </c>
      <c r="L1623" s="4">
        <v>61.55</v>
      </c>
    </row>
    <row r="1624" spans="2:12" x14ac:dyDescent="0.2">
      <c r="B1624" s="696">
        <v>42621.942175925928</v>
      </c>
      <c r="C1624" s="1" t="s">
        <v>704</v>
      </c>
      <c r="E1624" t="s">
        <v>225</v>
      </c>
      <c r="F1624" t="s">
        <v>305</v>
      </c>
      <c r="G1624" s="1" t="s">
        <v>3</v>
      </c>
      <c r="H1624" s="1">
        <v>553610</v>
      </c>
      <c r="I1624" t="s">
        <v>887</v>
      </c>
      <c r="J1624" s="110">
        <v>40489932</v>
      </c>
      <c r="K1624" s="4">
        <v>95375358</v>
      </c>
      <c r="L1624" s="4">
        <v>69.45</v>
      </c>
    </row>
    <row r="1625" spans="2:12" x14ac:dyDescent="0.2">
      <c r="B1625" s="696">
        <v>42621.942673611113</v>
      </c>
      <c r="C1625" s="1" t="s">
        <v>704</v>
      </c>
      <c r="E1625" t="s">
        <v>225</v>
      </c>
      <c r="F1625" t="s">
        <v>305</v>
      </c>
      <c r="G1625" s="1" t="s">
        <v>3</v>
      </c>
      <c r="H1625" s="1">
        <v>553610</v>
      </c>
      <c r="I1625" t="s">
        <v>887</v>
      </c>
      <c r="J1625" s="110">
        <v>40489932</v>
      </c>
      <c r="K1625" s="4">
        <v>95382339</v>
      </c>
      <c r="L1625" s="4">
        <v>70.05</v>
      </c>
    </row>
    <row r="1626" spans="2:12" x14ac:dyDescent="0.2">
      <c r="B1626" s="696">
        <v>42622.186828703707</v>
      </c>
      <c r="C1626" s="1" t="s">
        <v>704</v>
      </c>
      <c r="E1626" t="s">
        <v>225</v>
      </c>
      <c r="F1626" t="s">
        <v>305</v>
      </c>
      <c r="G1626" s="1" t="s">
        <v>3</v>
      </c>
      <c r="H1626" s="1">
        <v>553610</v>
      </c>
      <c r="I1626" t="s">
        <v>887</v>
      </c>
      <c r="J1626" s="110">
        <v>40374043</v>
      </c>
      <c r="K1626" s="4">
        <v>95823266</v>
      </c>
      <c r="L1626" s="4">
        <v>60.2</v>
      </c>
    </row>
    <row r="1627" spans="2:12" x14ac:dyDescent="0.2">
      <c r="B1627" s="696">
        <v>42622.1877662037</v>
      </c>
      <c r="C1627" s="1" t="s">
        <v>704</v>
      </c>
      <c r="E1627" t="s">
        <v>225</v>
      </c>
      <c r="F1627" t="s">
        <v>305</v>
      </c>
      <c r="G1627" s="1" t="s">
        <v>3</v>
      </c>
      <c r="H1627" s="1">
        <v>553610</v>
      </c>
      <c r="I1627" t="s">
        <v>887</v>
      </c>
      <c r="J1627" s="110">
        <v>40374043</v>
      </c>
      <c r="K1627" s="4">
        <v>95680708</v>
      </c>
      <c r="L1627" s="4">
        <v>60.35</v>
      </c>
    </row>
    <row r="1628" spans="2:12" x14ac:dyDescent="0.2">
      <c r="B1628" s="696">
        <v>42622.188252314816</v>
      </c>
      <c r="C1628" s="1" t="s">
        <v>704</v>
      </c>
      <c r="E1628" t="s">
        <v>225</v>
      </c>
      <c r="F1628" t="s">
        <v>305</v>
      </c>
      <c r="G1628" s="1" t="s">
        <v>3</v>
      </c>
      <c r="H1628" s="1">
        <v>553610</v>
      </c>
      <c r="I1628" t="s">
        <v>887</v>
      </c>
      <c r="J1628" s="110">
        <v>40472763</v>
      </c>
      <c r="K1628" s="4">
        <v>95352704</v>
      </c>
      <c r="L1628" s="4">
        <v>57.95</v>
      </c>
    </row>
    <row r="1629" spans="2:12" x14ac:dyDescent="0.2">
      <c r="B1629" s="696">
        <v>42622.188703703701</v>
      </c>
      <c r="C1629" s="1" t="s">
        <v>704</v>
      </c>
      <c r="E1629" t="s">
        <v>225</v>
      </c>
      <c r="F1629" t="s">
        <v>305</v>
      </c>
      <c r="G1629" s="1" t="s">
        <v>3</v>
      </c>
      <c r="H1629" s="1">
        <v>553610</v>
      </c>
      <c r="I1629" t="s">
        <v>887</v>
      </c>
      <c r="J1629" s="110">
        <v>40478844</v>
      </c>
      <c r="K1629" s="4">
        <v>58520594</v>
      </c>
      <c r="L1629" s="4">
        <v>59.3</v>
      </c>
    </row>
    <row r="1630" spans="2:12" x14ac:dyDescent="0.2">
      <c r="B1630" s="696">
        <v>42622.189143518517</v>
      </c>
      <c r="C1630" s="1" t="s">
        <v>704</v>
      </c>
      <c r="E1630" t="s">
        <v>225</v>
      </c>
      <c r="F1630" t="s">
        <v>305</v>
      </c>
      <c r="G1630" s="1" t="s">
        <v>3</v>
      </c>
      <c r="H1630" s="1">
        <v>553610</v>
      </c>
      <c r="I1630" t="s">
        <v>887</v>
      </c>
      <c r="J1630" s="110">
        <v>40504433</v>
      </c>
      <c r="K1630" s="4">
        <v>95367728</v>
      </c>
      <c r="L1630" s="4">
        <v>61.1</v>
      </c>
    </row>
    <row r="1631" spans="2:12" x14ac:dyDescent="0.2">
      <c r="B1631" s="696">
        <v>42622.18959490741</v>
      </c>
      <c r="C1631" s="1" t="s">
        <v>704</v>
      </c>
      <c r="E1631" t="s">
        <v>225</v>
      </c>
      <c r="F1631" t="s">
        <v>305</v>
      </c>
      <c r="G1631" s="1" t="s">
        <v>3</v>
      </c>
      <c r="H1631" s="1">
        <v>553610</v>
      </c>
      <c r="I1631" t="s">
        <v>887</v>
      </c>
      <c r="J1631" s="110">
        <v>40374043</v>
      </c>
      <c r="K1631" s="4">
        <v>95335360</v>
      </c>
      <c r="L1631" s="4">
        <v>61.1</v>
      </c>
    </row>
    <row r="1632" spans="2:12" x14ac:dyDescent="0.2">
      <c r="B1632" s="696">
        <v>42622</v>
      </c>
      <c r="C1632" s="1" t="s">
        <v>767</v>
      </c>
      <c r="E1632" t="s">
        <v>225</v>
      </c>
      <c r="F1632" t="s">
        <v>305</v>
      </c>
      <c r="G1632" s="1" t="s">
        <v>3</v>
      </c>
      <c r="H1632" s="1">
        <v>551438</v>
      </c>
      <c r="I1632" t="s">
        <v>467</v>
      </c>
      <c r="J1632" s="110">
        <v>44118941</v>
      </c>
      <c r="K1632" s="4">
        <v>95525762</v>
      </c>
      <c r="L1632" s="4">
        <v>67</v>
      </c>
    </row>
    <row r="1633" spans="2:12" x14ac:dyDescent="0.2">
      <c r="B1633" s="696">
        <v>42622</v>
      </c>
      <c r="C1633" s="1" t="s">
        <v>767</v>
      </c>
      <c r="E1633" t="s">
        <v>225</v>
      </c>
      <c r="F1633" t="s">
        <v>305</v>
      </c>
      <c r="G1633" s="1" t="s">
        <v>3</v>
      </c>
      <c r="H1633" s="1">
        <v>551438</v>
      </c>
      <c r="I1633" t="s">
        <v>467</v>
      </c>
      <c r="J1633" s="110">
        <v>44118941</v>
      </c>
      <c r="K1633" s="4">
        <v>95830543</v>
      </c>
      <c r="L1633" s="4">
        <v>65.5</v>
      </c>
    </row>
    <row r="1634" spans="2:12" x14ac:dyDescent="0.2">
      <c r="B1634" s="696">
        <v>42622</v>
      </c>
      <c r="C1634" s="1" t="s">
        <v>767</v>
      </c>
      <c r="E1634" t="s">
        <v>225</v>
      </c>
      <c r="F1634" t="s">
        <v>305</v>
      </c>
      <c r="G1634" s="1" t="s">
        <v>3</v>
      </c>
      <c r="H1634" s="1">
        <v>551438</v>
      </c>
      <c r="I1634" t="s">
        <v>467</v>
      </c>
      <c r="J1634" s="110">
        <v>44118941</v>
      </c>
      <c r="K1634" s="4">
        <v>95538781</v>
      </c>
      <c r="L1634" s="4">
        <v>65.45</v>
      </c>
    </row>
    <row r="1635" spans="2:12" x14ac:dyDescent="0.2">
      <c r="B1635" s="696">
        <v>42622</v>
      </c>
      <c r="C1635" s="1" t="s">
        <v>767</v>
      </c>
      <c r="E1635" t="s">
        <v>225</v>
      </c>
      <c r="F1635" t="s">
        <v>305</v>
      </c>
      <c r="G1635" s="1" t="s">
        <v>3</v>
      </c>
      <c r="H1635" s="1">
        <v>551438</v>
      </c>
      <c r="I1635" t="s">
        <v>467</v>
      </c>
      <c r="J1635" s="110">
        <v>44118941</v>
      </c>
      <c r="K1635" s="4">
        <v>95829040</v>
      </c>
      <c r="L1635" s="4">
        <v>64.349999999999994</v>
      </c>
    </row>
    <row r="1636" spans="2:12" x14ac:dyDescent="0.2">
      <c r="B1636" s="696">
        <v>42622</v>
      </c>
      <c r="C1636" s="1" t="s">
        <v>767</v>
      </c>
      <c r="E1636" t="s">
        <v>225</v>
      </c>
      <c r="F1636" t="s">
        <v>305</v>
      </c>
      <c r="G1636" s="1" t="s">
        <v>3</v>
      </c>
      <c r="H1636" s="1">
        <v>551438</v>
      </c>
      <c r="I1636" t="s">
        <v>467</v>
      </c>
      <c r="J1636" s="110">
        <v>44118941</v>
      </c>
      <c r="K1636" s="4">
        <v>95271441</v>
      </c>
      <c r="L1636" s="4">
        <v>69.150000000000006</v>
      </c>
    </row>
    <row r="1637" spans="2:12" x14ac:dyDescent="0.2">
      <c r="B1637" s="696">
        <v>42622</v>
      </c>
      <c r="C1637" s="1" t="s">
        <v>767</v>
      </c>
      <c r="E1637" t="s">
        <v>225</v>
      </c>
      <c r="F1637" t="s">
        <v>305</v>
      </c>
      <c r="G1637" s="1" t="s">
        <v>3</v>
      </c>
      <c r="H1637" s="1">
        <v>551438</v>
      </c>
      <c r="I1637" t="s">
        <v>467</v>
      </c>
      <c r="J1637" s="110">
        <v>44124923</v>
      </c>
      <c r="K1637" s="4">
        <v>95541363</v>
      </c>
      <c r="L1637" s="4">
        <v>64.95</v>
      </c>
    </row>
    <row r="1638" spans="2:12" x14ac:dyDescent="0.2">
      <c r="B1638" s="696">
        <v>42622</v>
      </c>
      <c r="C1638" s="1" t="s">
        <v>767</v>
      </c>
      <c r="E1638" t="s">
        <v>225</v>
      </c>
      <c r="F1638" t="s">
        <v>305</v>
      </c>
      <c r="G1638" s="1" t="s">
        <v>3</v>
      </c>
      <c r="H1638" s="1">
        <v>551438</v>
      </c>
      <c r="I1638" t="s">
        <v>467</v>
      </c>
      <c r="J1638" s="110">
        <v>44124923</v>
      </c>
      <c r="K1638" s="4">
        <v>95543930</v>
      </c>
      <c r="L1638" s="4">
        <v>65.849999999999994</v>
      </c>
    </row>
    <row r="1639" spans="2:12" x14ac:dyDescent="0.2">
      <c r="B1639" s="696">
        <v>42622</v>
      </c>
      <c r="C1639" s="1" t="s">
        <v>767</v>
      </c>
      <c r="E1639" t="s">
        <v>225</v>
      </c>
      <c r="F1639" t="s">
        <v>305</v>
      </c>
      <c r="G1639" s="1" t="s">
        <v>3</v>
      </c>
      <c r="H1639" s="1">
        <v>551438</v>
      </c>
      <c r="I1639" t="s">
        <v>467</v>
      </c>
      <c r="J1639" s="110">
        <v>44124923</v>
      </c>
      <c r="K1639" s="4">
        <v>95369526</v>
      </c>
      <c r="L1639" s="4">
        <v>65.3</v>
      </c>
    </row>
    <row r="1640" spans="2:12" x14ac:dyDescent="0.2">
      <c r="B1640" s="696">
        <v>42622</v>
      </c>
      <c r="C1640" s="1" t="s">
        <v>767</v>
      </c>
      <c r="E1640" t="s">
        <v>225</v>
      </c>
      <c r="F1640" t="s">
        <v>305</v>
      </c>
      <c r="G1640" s="1" t="s">
        <v>3</v>
      </c>
      <c r="H1640" s="1">
        <v>551438</v>
      </c>
      <c r="I1640" t="s">
        <v>467</v>
      </c>
      <c r="J1640" s="110">
        <v>44124923</v>
      </c>
      <c r="K1640" s="4">
        <v>95348462</v>
      </c>
      <c r="L1640" s="4">
        <v>66.55</v>
      </c>
    </row>
    <row r="1641" spans="2:12" x14ac:dyDescent="0.2">
      <c r="B1641" s="696">
        <v>42622</v>
      </c>
      <c r="C1641" s="1" t="s">
        <v>767</v>
      </c>
      <c r="E1641" t="s">
        <v>225</v>
      </c>
      <c r="F1641" t="s">
        <v>305</v>
      </c>
      <c r="G1641" s="1" t="s">
        <v>3</v>
      </c>
      <c r="H1641" s="1">
        <v>551438</v>
      </c>
      <c r="I1641" t="s">
        <v>467</v>
      </c>
      <c r="J1641" s="110">
        <v>44124923</v>
      </c>
      <c r="K1641" s="4">
        <v>95388724</v>
      </c>
      <c r="L1641" s="4">
        <v>65.45</v>
      </c>
    </row>
    <row r="1642" spans="2:12" x14ac:dyDescent="0.2">
      <c r="B1642" s="696">
        <v>42622</v>
      </c>
      <c r="C1642" s="1" t="s">
        <v>712</v>
      </c>
      <c r="E1642" t="s">
        <v>225</v>
      </c>
      <c r="F1642" t="s">
        <v>305</v>
      </c>
      <c r="G1642" s="1" t="s">
        <v>3</v>
      </c>
      <c r="H1642" s="1">
        <v>553450</v>
      </c>
      <c r="I1642" t="s">
        <v>467</v>
      </c>
      <c r="J1642" s="110">
        <v>40594640</v>
      </c>
      <c r="K1642" s="4">
        <v>95615282</v>
      </c>
      <c r="L1642" s="4">
        <v>67.2</v>
      </c>
    </row>
    <row r="1643" spans="2:12" x14ac:dyDescent="0.2">
      <c r="B1643" s="696">
        <v>42622</v>
      </c>
      <c r="C1643" s="1" t="s">
        <v>712</v>
      </c>
      <c r="E1643" t="s">
        <v>225</v>
      </c>
      <c r="F1643" t="s">
        <v>305</v>
      </c>
      <c r="G1643" s="1" t="s">
        <v>3</v>
      </c>
      <c r="H1643" s="1">
        <v>553450</v>
      </c>
      <c r="I1643" t="s">
        <v>467</v>
      </c>
      <c r="J1643" s="110">
        <v>40594640</v>
      </c>
      <c r="K1643" s="4">
        <v>95352555</v>
      </c>
      <c r="L1643" s="4">
        <v>66.849999999999994</v>
      </c>
    </row>
    <row r="1644" spans="2:12" x14ac:dyDescent="0.2">
      <c r="B1644" s="696">
        <v>42622</v>
      </c>
      <c r="C1644" s="1" t="s">
        <v>712</v>
      </c>
      <c r="E1644" t="s">
        <v>225</v>
      </c>
      <c r="F1644" t="s">
        <v>305</v>
      </c>
      <c r="G1644" s="1" t="s">
        <v>3</v>
      </c>
      <c r="H1644" s="1">
        <v>553450</v>
      </c>
      <c r="I1644" t="s">
        <v>467</v>
      </c>
      <c r="J1644" s="110">
        <v>40594640</v>
      </c>
      <c r="K1644" s="4">
        <v>95544110</v>
      </c>
      <c r="L1644" s="4">
        <v>69.95</v>
      </c>
    </row>
    <row r="1645" spans="2:12" x14ac:dyDescent="0.2">
      <c r="B1645" s="696">
        <v>42622</v>
      </c>
      <c r="C1645" s="1" t="s">
        <v>934</v>
      </c>
      <c r="E1645" t="s">
        <v>225</v>
      </c>
      <c r="F1645" t="s">
        <v>305</v>
      </c>
      <c r="G1645" s="1" t="s">
        <v>3</v>
      </c>
      <c r="H1645" s="1">
        <v>553902</v>
      </c>
      <c r="I1645" t="s">
        <v>467</v>
      </c>
      <c r="J1645" s="110">
        <v>271068</v>
      </c>
      <c r="K1645" s="4" t="s">
        <v>894</v>
      </c>
      <c r="L1645" s="4">
        <v>21.96</v>
      </c>
    </row>
    <row r="1646" spans="2:12" x14ac:dyDescent="0.2">
      <c r="B1646" s="696">
        <v>42623</v>
      </c>
      <c r="C1646" s="1" t="s">
        <v>712</v>
      </c>
      <c r="E1646" t="s">
        <v>225</v>
      </c>
      <c r="F1646" t="s">
        <v>305</v>
      </c>
      <c r="G1646" s="1" t="s">
        <v>3</v>
      </c>
      <c r="H1646" s="1">
        <v>553450</v>
      </c>
      <c r="I1646" t="s">
        <v>467</v>
      </c>
      <c r="J1646" s="110">
        <v>40594640</v>
      </c>
      <c r="K1646" s="4">
        <v>95695441</v>
      </c>
      <c r="L1646" s="4">
        <v>68.3</v>
      </c>
    </row>
    <row r="1647" spans="2:12" x14ac:dyDescent="0.2">
      <c r="B1647" s="696">
        <v>42623</v>
      </c>
      <c r="C1647" s="1" t="s">
        <v>712</v>
      </c>
      <c r="E1647" t="s">
        <v>225</v>
      </c>
      <c r="F1647" t="s">
        <v>305</v>
      </c>
      <c r="G1647" s="1" t="s">
        <v>3</v>
      </c>
      <c r="H1647" s="1">
        <v>553450</v>
      </c>
      <c r="I1647" t="s">
        <v>467</v>
      </c>
      <c r="J1647" s="110">
        <v>40594640</v>
      </c>
      <c r="K1647" s="4">
        <v>95020202</v>
      </c>
      <c r="L1647" s="4">
        <v>67.8</v>
      </c>
    </row>
    <row r="1648" spans="2:12" x14ac:dyDescent="0.2">
      <c r="B1648" s="696">
        <v>42623</v>
      </c>
      <c r="C1648" s="1" t="s">
        <v>712</v>
      </c>
      <c r="E1648" t="s">
        <v>225</v>
      </c>
      <c r="F1648" t="s">
        <v>305</v>
      </c>
      <c r="G1648" s="1" t="s">
        <v>3</v>
      </c>
      <c r="H1648" s="1">
        <v>553450</v>
      </c>
      <c r="I1648" t="s">
        <v>467</v>
      </c>
      <c r="J1648" s="110">
        <v>40594640</v>
      </c>
      <c r="K1648" s="4">
        <v>95794434</v>
      </c>
      <c r="L1648" s="4">
        <v>66.95</v>
      </c>
    </row>
    <row r="1649" spans="2:12" x14ac:dyDescent="0.2">
      <c r="B1649" s="696">
        <v>42623</v>
      </c>
      <c r="C1649" s="1" t="s">
        <v>712</v>
      </c>
      <c r="E1649" t="s">
        <v>225</v>
      </c>
      <c r="F1649" t="s">
        <v>305</v>
      </c>
      <c r="G1649" s="1" t="s">
        <v>3</v>
      </c>
      <c r="H1649" s="1">
        <v>553450</v>
      </c>
      <c r="I1649" t="s">
        <v>467</v>
      </c>
      <c r="J1649" s="110">
        <v>40594640</v>
      </c>
      <c r="K1649" s="4">
        <v>95680260</v>
      </c>
      <c r="L1649" s="4">
        <v>68.75</v>
      </c>
    </row>
    <row r="1650" spans="2:12" x14ac:dyDescent="0.2">
      <c r="B1650" s="696">
        <v>42623</v>
      </c>
      <c r="C1650" s="1" t="s">
        <v>712</v>
      </c>
      <c r="E1650" t="s">
        <v>225</v>
      </c>
      <c r="F1650" t="s">
        <v>305</v>
      </c>
      <c r="G1650" s="1" t="s">
        <v>3</v>
      </c>
      <c r="H1650" s="1">
        <v>553450</v>
      </c>
      <c r="I1650" t="s">
        <v>467</v>
      </c>
      <c r="J1650" s="110">
        <v>40594640</v>
      </c>
      <c r="K1650" s="4">
        <v>95655387</v>
      </c>
      <c r="L1650" s="4">
        <v>68</v>
      </c>
    </row>
    <row r="1651" spans="2:12" x14ac:dyDescent="0.2">
      <c r="B1651" s="696">
        <v>42623</v>
      </c>
      <c r="C1651" s="1" t="s">
        <v>712</v>
      </c>
      <c r="E1651" t="s">
        <v>225</v>
      </c>
      <c r="F1651" t="s">
        <v>305</v>
      </c>
      <c r="G1651" s="1" t="s">
        <v>3</v>
      </c>
      <c r="H1651" s="1">
        <v>553450</v>
      </c>
      <c r="I1651" t="s">
        <v>467</v>
      </c>
      <c r="J1651" s="493">
        <v>40594640</v>
      </c>
      <c r="K1651" s="4">
        <v>95613303</v>
      </c>
      <c r="L1651" s="4">
        <v>68.25</v>
      </c>
    </row>
    <row r="1652" spans="2:12" x14ac:dyDescent="0.2">
      <c r="B1652" s="696">
        <v>42623</v>
      </c>
      <c r="C1652" s="1" t="s">
        <v>712</v>
      </c>
      <c r="E1652" t="s">
        <v>225</v>
      </c>
      <c r="F1652" t="s">
        <v>305</v>
      </c>
      <c r="G1652" s="1" t="s">
        <v>3</v>
      </c>
      <c r="H1652" s="1">
        <v>553450</v>
      </c>
      <c r="I1652" t="s">
        <v>467</v>
      </c>
      <c r="J1652" s="110">
        <v>40594640</v>
      </c>
      <c r="K1652" s="4">
        <v>95173589</v>
      </c>
      <c r="L1652" s="4">
        <v>69.05</v>
      </c>
    </row>
    <row r="1653" spans="2:12" x14ac:dyDescent="0.2">
      <c r="B1653" s="696">
        <v>42623</v>
      </c>
      <c r="C1653" s="1" t="s">
        <v>712</v>
      </c>
      <c r="E1653" t="s">
        <v>225</v>
      </c>
      <c r="F1653" t="s">
        <v>305</v>
      </c>
      <c r="G1653" s="1" t="s">
        <v>3</v>
      </c>
      <c r="H1653" s="1">
        <v>553450</v>
      </c>
      <c r="I1653" t="s">
        <v>467</v>
      </c>
      <c r="J1653" s="110">
        <v>40594640</v>
      </c>
      <c r="K1653" s="4">
        <v>95650529</v>
      </c>
      <c r="L1653" s="4">
        <v>66.2</v>
      </c>
    </row>
    <row r="1654" spans="2:12" x14ac:dyDescent="0.2">
      <c r="B1654" s="696">
        <v>42623</v>
      </c>
      <c r="C1654" s="1" t="s">
        <v>712</v>
      </c>
      <c r="E1654" t="s">
        <v>225</v>
      </c>
      <c r="F1654" t="s">
        <v>305</v>
      </c>
      <c r="G1654" s="1" t="s">
        <v>3</v>
      </c>
      <c r="H1654" s="1">
        <v>553450</v>
      </c>
      <c r="I1654" t="s">
        <v>467</v>
      </c>
      <c r="J1654" s="110">
        <v>40594640</v>
      </c>
      <c r="K1654" s="4">
        <v>95449617</v>
      </c>
      <c r="L1654" s="4">
        <v>67</v>
      </c>
    </row>
    <row r="1655" spans="2:12" x14ac:dyDescent="0.2">
      <c r="B1655" s="696">
        <v>42623</v>
      </c>
      <c r="C1655" s="1" t="s">
        <v>712</v>
      </c>
      <c r="E1655" t="s">
        <v>225</v>
      </c>
      <c r="F1655" t="s">
        <v>305</v>
      </c>
      <c r="G1655" s="1" t="s">
        <v>3</v>
      </c>
      <c r="H1655" s="1">
        <v>553450</v>
      </c>
      <c r="I1655" t="s">
        <v>467</v>
      </c>
      <c r="J1655" s="110">
        <v>40622698</v>
      </c>
      <c r="K1655" s="4">
        <v>95654430</v>
      </c>
      <c r="L1655" s="4">
        <v>69.75</v>
      </c>
    </row>
    <row r="1656" spans="2:12" x14ac:dyDescent="0.2">
      <c r="B1656" s="696">
        <v>42623</v>
      </c>
      <c r="C1656" s="1" t="s">
        <v>712</v>
      </c>
      <c r="E1656" t="s">
        <v>225</v>
      </c>
      <c r="F1656" t="s">
        <v>305</v>
      </c>
      <c r="G1656" s="1" t="s">
        <v>3</v>
      </c>
      <c r="H1656" s="1">
        <v>553450</v>
      </c>
      <c r="I1656" t="s">
        <v>467</v>
      </c>
      <c r="J1656" s="110">
        <v>40623100</v>
      </c>
      <c r="K1656" s="4">
        <v>95755914</v>
      </c>
      <c r="L1656" s="4">
        <v>67.25</v>
      </c>
    </row>
    <row r="1657" spans="2:12" x14ac:dyDescent="0.2">
      <c r="B1657" s="696">
        <v>42623</v>
      </c>
      <c r="C1657" s="1" t="s">
        <v>712</v>
      </c>
      <c r="E1657" t="s">
        <v>225</v>
      </c>
      <c r="F1657" t="s">
        <v>305</v>
      </c>
      <c r="G1657" s="1" t="s">
        <v>3</v>
      </c>
      <c r="H1657" s="1">
        <v>553450</v>
      </c>
      <c r="I1657" t="s">
        <v>467</v>
      </c>
      <c r="J1657" s="110">
        <v>40623100</v>
      </c>
      <c r="K1657" s="4">
        <v>95524369</v>
      </c>
      <c r="L1657" s="4">
        <v>66.3</v>
      </c>
    </row>
    <row r="1658" spans="2:12" x14ac:dyDescent="0.2">
      <c r="B1658" s="696">
        <v>42623</v>
      </c>
      <c r="C1658" s="1" t="s">
        <v>712</v>
      </c>
      <c r="E1658" t="s">
        <v>225</v>
      </c>
      <c r="F1658" t="s">
        <v>305</v>
      </c>
      <c r="G1658" s="1" t="s">
        <v>3</v>
      </c>
      <c r="H1658" s="1">
        <v>553450</v>
      </c>
      <c r="I1658" t="s">
        <v>467</v>
      </c>
      <c r="J1658" s="110">
        <v>40623100</v>
      </c>
      <c r="K1658" s="4">
        <v>95795373</v>
      </c>
      <c r="L1658" s="4">
        <v>65.95</v>
      </c>
    </row>
    <row r="1659" spans="2:12" x14ac:dyDescent="0.2">
      <c r="B1659" s="696">
        <v>42623</v>
      </c>
      <c r="C1659" s="1" t="s">
        <v>767</v>
      </c>
      <c r="E1659" t="s">
        <v>225</v>
      </c>
      <c r="F1659" t="s">
        <v>305</v>
      </c>
      <c r="G1659" s="1" t="s">
        <v>3</v>
      </c>
      <c r="H1659" s="1">
        <v>551438</v>
      </c>
      <c r="I1659" t="s">
        <v>467</v>
      </c>
      <c r="J1659" s="110">
        <v>44147684</v>
      </c>
      <c r="K1659" s="4">
        <v>95318820</v>
      </c>
      <c r="L1659" s="4">
        <v>65.5</v>
      </c>
    </row>
    <row r="1660" spans="2:12" x14ac:dyDescent="0.2">
      <c r="B1660" s="696">
        <v>42623</v>
      </c>
      <c r="C1660" s="1" t="s">
        <v>767</v>
      </c>
      <c r="E1660" t="s">
        <v>225</v>
      </c>
      <c r="F1660" t="s">
        <v>305</v>
      </c>
      <c r="G1660" s="1" t="s">
        <v>3</v>
      </c>
      <c r="H1660" s="1">
        <v>551438</v>
      </c>
      <c r="I1660" t="s">
        <v>467</v>
      </c>
      <c r="J1660" s="110">
        <v>44147684</v>
      </c>
      <c r="K1660" s="4">
        <v>95450359</v>
      </c>
      <c r="L1660" s="4">
        <v>64.5</v>
      </c>
    </row>
    <row r="1661" spans="2:12" x14ac:dyDescent="0.2">
      <c r="B1661" s="696">
        <v>42623</v>
      </c>
      <c r="C1661" s="1" t="s">
        <v>712</v>
      </c>
      <c r="E1661" t="s">
        <v>225</v>
      </c>
      <c r="F1661" t="s">
        <v>305</v>
      </c>
      <c r="G1661" s="1" t="s">
        <v>3</v>
      </c>
      <c r="H1661" s="1">
        <v>553450</v>
      </c>
      <c r="I1661" t="s">
        <v>467</v>
      </c>
      <c r="J1661" s="110">
        <v>40623100</v>
      </c>
      <c r="K1661" s="4">
        <v>95751608</v>
      </c>
      <c r="L1661" s="4">
        <v>67.75</v>
      </c>
    </row>
    <row r="1662" spans="2:12" x14ac:dyDescent="0.2">
      <c r="B1662" s="696">
        <v>42623</v>
      </c>
      <c r="C1662" s="1" t="s">
        <v>712</v>
      </c>
      <c r="E1662" t="s">
        <v>225</v>
      </c>
      <c r="F1662" t="s">
        <v>305</v>
      </c>
      <c r="G1662" s="1" t="s">
        <v>3</v>
      </c>
      <c r="H1662" s="1">
        <v>553450</v>
      </c>
      <c r="I1662" t="s">
        <v>467</v>
      </c>
      <c r="J1662" s="110">
        <v>40623100</v>
      </c>
      <c r="K1662" s="4">
        <v>95370664</v>
      </c>
      <c r="L1662" s="4">
        <v>67.25</v>
      </c>
    </row>
    <row r="1663" spans="2:12" x14ac:dyDescent="0.2">
      <c r="B1663" s="696">
        <v>42623</v>
      </c>
      <c r="C1663" s="1" t="s">
        <v>712</v>
      </c>
      <c r="E1663" t="s">
        <v>225</v>
      </c>
      <c r="F1663" t="s">
        <v>305</v>
      </c>
      <c r="G1663" s="1" t="s">
        <v>3</v>
      </c>
      <c r="H1663" s="1">
        <v>553450</v>
      </c>
      <c r="I1663" t="s">
        <v>467</v>
      </c>
      <c r="J1663" s="110">
        <v>40623100</v>
      </c>
      <c r="K1663" s="4">
        <v>95539003</v>
      </c>
      <c r="L1663" s="4">
        <v>66.650000000000006</v>
      </c>
    </row>
    <row r="1664" spans="2:12" x14ac:dyDescent="0.2">
      <c r="B1664" s="696">
        <v>42623</v>
      </c>
      <c r="C1664" s="1" t="s">
        <v>707</v>
      </c>
      <c r="E1664" t="s">
        <v>225</v>
      </c>
      <c r="F1664" t="s">
        <v>305</v>
      </c>
      <c r="G1664" s="1" t="s">
        <v>3</v>
      </c>
      <c r="H1664" s="1">
        <v>553496</v>
      </c>
      <c r="I1664" t="s">
        <v>467</v>
      </c>
      <c r="J1664" s="110">
        <v>600634</v>
      </c>
      <c r="K1664" s="4" t="s">
        <v>913</v>
      </c>
      <c r="L1664" s="4">
        <v>25.6</v>
      </c>
    </row>
    <row r="1665" spans="2:12" x14ac:dyDescent="0.2">
      <c r="B1665" s="696">
        <v>42624</v>
      </c>
      <c r="C1665" s="1" t="s">
        <v>712</v>
      </c>
      <c r="E1665" t="s">
        <v>225</v>
      </c>
      <c r="F1665" t="s">
        <v>305</v>
      </c>
      <c r="G1665" s="1" t="s">
        <v>3</v>
      </c>
      <c r="H1665" s="1">
        <v>553450</v>
      </c>
      <c r="I1665" t="s">
        <v>467</v>
      </c>
      <c r="J1665" s="110">
        <v>40622698</v>
      </c>
      <c r="K1665" s="4">
        <v>95532628</v>
      </c>
      <c r="L1665" s="4">
        <v>68.3</v>
      </c>
    </row>
    <row r="1666" spans="2:12" x14ac:dyDescent="0.2">
      <c r="B1666" s="696">
        <v>42624</v>
      </c>
      <c r="C1666" s="1" t="s">
        <v>712</v>
      </c>
      <c r="E1666" t="s">
        <v>225</v>
      </c>
      <c r="F1666" t="s">
        <v>305</v>
      </c>
      <c r="G1666" s="1" t="s">
        <v>3</v>
      </c>
      <c r="H1666" s="1">
        <v>553450</v>
      </c>
      <c r="I1666" t="s">
        <v>467</v>
      </c>
      <c r="J1666" s="110">
        <v>40622698</v>
      </c>
      <c r="K1666" s="4">
        <v>95752481</v>
      </c>
      <c r="L1666" s="4">
        <v>67.75</v>
      </c>
    </row>
    <row r="1667" spans="2:12" x14ac:dyDescent="0.2">
      <c r="B1667" s="696">
        <v>42624</v>
      </c>
      <c r="C1667" s="1" t="s">
        <v>712</v>
      </c>
      <c r="E1667" t="s">
        <v>225</v>
      </c>
      <c r="F1667" t="s">
        <v>305</v>
      </c>
      <c r="G1667" s="1" t="s">
        <v>3</v>
      </c>
      <c r="H1667" s="1">
        <v>553450</v>
      </c>
      <c r="I1667" t="s">
        <v>467</v>
      </c>
      <c r="J1667" s="110">
        <v>40622698</v>
      </c>
      <c r="K1667" s="4">
        <v>95492526</v>
      </c>
      <c r="L1667" s="4">
        <v>69.5</v>
      </c>
    </row>
    <row r="1668" spans="2:12" x14ac:dyDescent="0.2">
      <c r="B1668" s="696">
        <v>42624</v>
      </c>
      <c r="C1668" s="1" t="s">
        <v>712</v>
      </c>
      <c r="E1668" t="s">
        <v>225</v>
      </c>
      <c r="F1668" t="s">
        <v>305</v>
      </c>
      <c r="G1668" s="1" t="s">
        <v>3</v>
      </c>
      <c r="H1668" s="1">
        <v>553450</v>
      </c>
      <c r="I1668" t="s">
        <v>467</v>
      </c>
      <c r="J1668" s="110">
        <v>40623100</v>
      </c>
      <c r="K1668" s="4">
        <v>95796132</v>
      </c>
      <c r="L1668" s="4">
        <v>67.55</v>
      </c>
    </row>
    <row r="1669" spans="2:12" x14ac:dyDescent="0.2">
      <c r="B1669" s="696">
        <v>42624</v>
      </c>
      <c r="C1669" s="1" t="s">
        <v>712</v>
      </c>
      <c r="E1669" t="s">
        <v>225</v>
      </c>
      <c r="F1669" t="s">
        <v>305</v>
      </c>
      <c r="G1669" s="1" t="s">
        <v>3</v>
      </c>
      <c r="H1669" s="1">
        <v>553450</v>
      </c>
      <c r="I1669" t="s">
        <v>467</v>
      </c>
      <c r="J1669" s="110">
        <v>40623100</v>
      </c>
      <c r="K1669" s="4">
        <v>95396453</v>
      </c>
      <c r="L1669" s="4">
        <v>63.7</v>
      </c>
    </row>
    <row r="1670" spans="2:12" x14ac:dyDescent="0.2">
      <c r="B1670" s="696">
        <v>42624</v>
      </c>
      <c r="C1670" s="1" t="s">
        <v>767</v>
      </c>
      <c r="E1670" t="s">
        <v>225</v>
      </c>
      <c r="F1670" t="s">
        <v>305</v>
      </c>
      <c r="G1670" s="1" t="s">
        <v>3</v>
      </c>
      <c r="H1670" s="1">
        <v>551438</v>
      </c>
      <c r="I1670" t="s">
        <v>467</v>
      </c>
      <c r="J1670" s="110">
        <v>44156057</v>
      </c>
      <c r="K1670" s="4">
        <v>95539359</v>
      </c>
      <c r="L1670" s="4">
        <v>66.05</v>
      </c>
    </row>
    <row r="1671" spans="2:12" x14ac:dyDescent="0.2">
      <c r="B1671" s="749">
        <v>42624</v>
      </c>
      <c r="C1671" s="1" t="s">
        <v>767</v>
      </c>
      <c r="E1671" t="s">
        <v>225</v>
      </c>
      <c r="F1671" t="s">
        <v>305</v>
      </c>
      <c r="G1671" s="1" t="s">
        <v>3</v>
      </c>
      <c r="H1671" s="1">
        <v>551438</v>
      </c>
      <c r="I1671" t="s">
        <v>467</v>
      </c>
      <c r="J1671" s="110">
        <v>44147684</v>
      </c>
      <c r="K1671" s="4">
        <v>95349056</v>
      </c>
      <c r="L1671" s="4">
        <v>67.7</v>
      </c>
    </row>
    <row r="1672" spans="2:12" x14ac:dyDescent="0.2">
      <c r="B1672" s="749">
        <v>42624</v>
      </c>
      <c r="C1672" s="1" t="s">
        <v>767</v>
      </c>
      <c r="E1672" t="s">
        <v>225</v>
      </c>
      <c r="F1672" t="s">
        <v>305</v>
      </c>
      <c r="G1672" s="1" t="s">
        <v>3</v>
      </c>
      <c r="H1672" s="1">
        <v>551438</v>
      </c>
      <c r="I1672" t="s">
        <v>467</v>
      </c>
      <c r="J1672" s="110">
        <v>44147684</v>
      </c>
      <c r="K1672" s="4">
        <v>95538450</v>
      </c>
      <c r="L1672" s="4">
        <v>67.650000000000006</v>
      </c>
    </row>
    <row r="1673" spans="2:12" x14ac:dyDescent="0.2">
      <c r="B1673" s="749">
        <v>42624</v>
      </c>
      <c r="C1673" s="1" t="s">
        <v>767</v>
      </c>
      <c r="E1673" t="s">
        <v>225</v>
      </c>
      <c r="F1673" t="s">
        <v>305</v>
      </c>
      <c r="G1673" s="1" t="s">
        <v>3</v>
      </c>
      <c r="H1673" s="1">
        <v>551438</v>
      </c>
      <c r="I1673" t="s">
        <v>467</v>
      </c>
      <c r="J1673" s="110">
        <v>44147684</v>
      </c>
      <c r="K1673" s="4">
        <v>95630208</v>
      </c>
      <c r="L1673" s="4">
        <v>68.3</v>
      </c>
    </row>
    <row r="1674" spans="2:12" x14ac:dyDescent="0.2">
      <c r="B1674" s="749">
        <v>42624</v>
      </c>
      <c r="C1674" s="1" t="s">
        <v>767</v>
      </c>
      <c r="E1674" t="s">
        <v>225</v>
      </c>
      <c r="F1674" t="s">
        <v>305</v>
      </c>
      <c r="G1674" s="1" t="s">
        <v>3</v>
      </c>
      <c r="H1674" s="1">
        <v>551438</v>
      </c>
      <c r="I1674" t="s">
        <v>467</v>
      </c>
      <c r="J1674" s="110">
        <v>44147684</v>
      </c>
      <c r="K1674" s="4">
        <v>95648861</v>
      </c>
      <c r="L1674" s="4">
        <v>66.3</v>
      </c>
    </row>
    <row r="1675" spans="2:12" x14ac:dyDescent="0.2">
      <c r="B1675" s="749">
        <v>42624</v>
      </c>
      <c r="C1675" s="1" t="s">
        <v>712</v>
      </c>
      <c r="E1675" t="s">
        <v>225</v>
      </c>
      <c r="F1675" t="s">
        <v>305</v>
      </c>
      <c r="G1675" s="1" t="s">
        <v>3</v>
      </c>
      <c r="H1675" s="1">
        <v>553450</v>
      </c>
      <c r="I1675" t="s">
        <v>467</v>
      </c>
      <c r="J1675" s="110">
        <v>40622698</v>
      </c>
      <c r="K1675" s="4">
        <v>95669131</v>
      </c>
      <c r="L1675" s="4">
        <v>64</v>
      </c>
    </row>
    <row r="1676" spans="2:12" x14ac:dyDescent="0.2">
      <c r="B1676" s="749">
        <v>42624</v>
      </c>
      <c r="C1676" s="1" t="s">
        <v>712</v>
      </c>
      <c r="E1676" t="s">
        <v>225</v>
      </c>
      <c r="F1676" t="s">
        <v>305</v>
      </c>
      <c r="G1676" s="1" t="s">
        <v>3</v>
      </c>
      <c r="H1676" s="1">
        <v>553450</v>
      </c>
      <c r="I1676" t="s">
        <v>467</v>
      </c>
      <c r="J1676" s="110">
        <v>40622698</v>
      </c>
      <c r="K1676" s="4">
        <v>95734448</v>
      </c>
      <c r="L1676" s="4">
        <v>64.05</v>
      </c>
    </row>
    <row r="1677" spans="2:12" x14ac:dyDescent="0.2">
      <c r="B1677" s="749">
        <v>42624</v>
      </c>
      <c r="C1677" s="1" t="s">
        <v>712</v>
      </c>
      <c r="E1677" t="s">
        <v>225</v>
      </c>
      <c r="F1677" t="s">
        <v>305</v>
      </c>
      <c r="G1677" s="1" t="s">
        <v>3</v>
      </c>
      <c r="H1677" s="1">
        <v>553450</v>
      </c>
      <c r="I1677" t="s">
        <v>467</v>
      </c>
      <c r="J1677" s="110">
        <v>40622698</v>
      </c>
      <c r="K1677" s="4">
        <v>95620076</v>
      </c>
      <c r="L1677" s="4">
        <v>66.05</v>
      </c>
    </row>
    <row r="1678" spans="2:12" x14ac:dyDescent="0.2">
      <c r="B1678" s="749">
        <v>42624</v>
      </c>
      <c r="C1678" s="1" t="s">
        <v>767</v>
      </c>
      <c r="E1678" t="s">
        <v>225</v>
      </c>
      <c r="F1678" t="s">
        <v>305</v>
      </c>
      <c r="G1678" s="1" t="s">
        <v>3</v>
      </c>
      <c r="H1678" s="1">
        <v>551438</v>
      </c>
      <c r="I1678" t="s">
        <v>467</v>
      </c>
      <c r="J1678" s="110">
        <v>44153153</v>
      </c>
      <c r="K1678" s="4">
        <v>95310538</v>
      </c>
      <c r="L1678" s="4">
        <v>61.45</v>
      </c>
    </row>
    <row r="1679" spans="2:12" x14ac:dyDescent="0.2">
      <c r="B1679" s="749">
        <v>42624</v>
      </c>
      <c r="C1679" s="1" t="s">
        <v>767</v>
      </c>
      <c r="E1679" t="s">
        <v>225</v>
      </c>
      <c r="F1679" t="s">
        <v>305</v>
      </c>
      <c r="G1679" s="1" t="s">
        <v>3</v>
      </c>
      <c r="H1679" s="1">
        <v>551438</v>
      </c>
      <c r="I1679" t="s">
        <v>467</v>
      </c>
      <c r="J1679" s="110">
        <v>44153153</v>
      </c>
      <c r="K1679" s="4">
        <v>95371571</v>
      </c>
      <c r="L1679" s="4">
        <v>66.8</v>
      </c>
    </row>
    <row r="1680" spans="2:12" x14ac:dyDescent="0.2">
      <c r="B1680" s="749">
        <v>42624</v>
      </c>
      <c r="C1680" s="1" t="s">
        <v>767</v>
      </c>
      <c r="E1680" t="s">
        <v>225</v>
      </c>
      <c r="F1680" t="s">
        <v>305</v>
      </c>
      <c r="G1680" s="1" t="s">
        <v>3</v>
      </c>
      <c r="H1680" s="1">
        <v>551438</v>
      </c>
      <c r="I1680" t="s">
        <v>467</v>
      </c>
      <c r="J1680" s="110">
        <v>44153153</v>
      </c>
      <c r="K1680" s="4">
        <v>95325957</v>
      </c>
      <c r="L1680" s="4">
        <v>67.25</v>
      </c>
    </row>
    <row r="1681" spans="2:12" x14ac:dyDescent="0.2">
      <c r="B1681" s="749">
        <v>42624</v>
      </c>
      <c r="C1681" s="1" t="s">
        <v>767</v>
      </c>
      <c r="E1681" t="s">
        <v>225</v>
      </c>
      <c r="F1681" t="s">
        <v>305</v>
      </c>
      <c r="G1681" s="1" t="s">
        <v>3</v>
      </c>
      <c r="H1681" s="1">
        <v>551438</v>
      </c>
      <c r="I1681" t="s">
        <v>467</v>
      </c>
      <c r="J1681" s="110">
        <v>44153153</v>
      </c>
      <c r="K1681" s="4">
        <v>95354783</v>
      </c>
      <c r="L1681" s="4">
        <v>64.25</v>
      </c>
    </row>
    <row r="1682" spans="2:12" x14ac:dyDescent="0.2">
      <c r="B1682" s="749">
        <v>42624</v>
      </c>
      <c r="C1682" s="1" t="s">
        <v>767</v>
      </c>
      <c r="E1682" t="s">
        <v>225</v>
      </c>
      <c r="F1682" t="s">
        <v>305</v>
      </c>
      <c r="G1682" s="1" t="s">
        <v>3</v>
      </c>
      <c r="H1682" s="1">
        <v>551438</v>
      </c>
      <c r="I1682" t="s">
        <v>467</v>
      </c>
      <c r="J1682" s="110">
        <v>44153153</v>
      </c>
      <c r="K1682" s="4">
        <v>95793022</v>
      </c>
      <c r="L1682" s="4">
        <v>65.95</v>
      </c>
    </row>
    <row r="1683" spans="2:12" x14ac:dyDescent="0.2">
      <c r="B1683" s="749">
        <v>42624</v>
      </c>
      <c r="C1683" s="1" t="s">
        <v>767</v>
      </c>
      <c r="E1683" t="s">
        <v>225</v>
      </c>
      <c r="F1683" t="s">
        <v>305</v>
      </c>
      <c r="G1683" s="1" t="s">
        <v>3</v>
      </c>
      <c r="H1683" s="1">
        <v>551438</v>
      </c>
      <c r="I1683" t="s">
        <v>467</v>
      </c>
      <c r="J1683" s="110">
        <v>44153153</v>
      </c>
      <c r="K1683" s="4">
        <v>95758033</v>
      </c>
      <c r="L1683" s="4">
        <v>62.55</v>
      </c>
    </row>
    <row r="1684" spans="2:12" x14ac:dyDescent="0.2">
      <c r="B1684" s="749">
        <v>42624</v>
      </c>
      <c r="C1684" s="1" t="s">
        <v>767</v>
      </c>
      <c r="E1684" t="s">
        <v>225</v>
      </c>
      <c r="F1684" t="s">
        <v>305</v>
      </c>
      <c r="G1684" s="1" t="s">
        <v>3</v>
      </c>
      <c r="H1684" s="1">
        <v>551438</v>
      </c>
      <c r="I1684" t="s">
        <v>467</v>
      </c>
      <c r="J1684" s="110">
        <v>44156057</v>
      </c>
      <c r="K1684" s="4">
        <v>95691788</v>
      </c>
      <c r="L1684" s="4">
        <v>66.150000000000006</v>
      </c>
    </row>
    <row r="1685" spans="2:12" x14ac:dyDescent="0.2">
      <c r="B1685" s="749">
        <v>42624</v>
      </c>
      <c r="C1685" s="1" t="s">
        <v>495</v>
      </c>
      <c r="E1685" t="s">
        <v>225</v>
      </c>
      <c r="F1685" t="s">
        <v>305</v>
      </c>
      <c r="G1685" s="1" t="s">
        <v>3</v>
      </c>
      <c r="H1685" s="1">
        <v>552936</v>
      </c>
      <c r="I1685" t="s">
        <v>467</v>
      </c>
      <c r="J1685" s="110">
        <v>47856513</v>
      </c>
      <c r="K1685" s="4">
        <v>95377909</v>
      </c>
      <c r="L1685" s="4">
        <v>69.55</v>
      </c>
    </row>
    <row r="1686" spans="2:12" x14ac:dyDescent="0.2">
      <c r="B1686" s="749">
        <v>42624</v>
      </c>
      <c r="C1686" s="1" t="s">
        <v>495</v>
      </c>
      <c r="E1686" t="s">
        <v>225</v>
      </c>
      <c r="F1686" t="s">
        <v>305</v>
      </c>
      <c r="G1686" s="1" t="s">
        <v>3</v>
      </c>
      <c r="H1686" s="1">
        <v>552936</v>
      </c>
      <c r="I1686" t="s">
        <v>467</v>
      </c>
      <c r="J1686" s="110">
        <v>47856513</v>
      </c>
      <c r="K1686" s="4">
        <v>95669073</v>
      </c>
      <c r="L1686" s="4">
        <v>70.2</v>
      </c>
    </row>
    <row r="1687" spans="2:12" x14ac:dyDescent="0.2">
      <c r="B1687" s="749">
        <v>42624</v>
      </c>
      <c r="C1687" s="1" t="s">
        <v>495</v>
      </c>
      <c r="E1687" t="s">
        <v>225</v>
      </c>
      <c r="F1687" t="s">
        <v>305</v>
      </c>
      <c r="G1687" s="1" t="s">
        <v>3</v>
      </c>
      <c r="H1687" s="1">
        <v>552936</v>
      </c>
      <c r="I1687" t="s">
        <v>467</v>
      </c>
      <c r="J1687" s="110">
        <v>47856513</v>
      </c>
      <c r="K1687" s="4">
        <v>95531828</v>
      </c>
      <c r="L1687" s="4">
        <v>69.400000000000006</v>
      </c>
    </row>
    <row r="1688" spans="2:12" x14ac:dyDescent="0.2">
      <c r="B1688" s="749">
        <v>42624</v>
      </c>
      <c r="C1688" s="1" t="s">
        <v>495</v>
      </c>
      <c r="E1688" t="s">
        <v>225</v>
      </c>
      <c r="F1688" t="s">
        <v>305</v>
      </c>
      <c r="G1688" s="1" t="s">
        <v>3</v>
      </c>
      <c r="H1688" s="1">
        <v>552936</v>
      </c>
      <c r="I1688" t="s">
        <v>467</v>
      </c>
      <c r="J1688" s="110">
        <v>47856513</v>
      </c>
      <c r="K1688" s="4">
        <v>95392775</v>
      </c>
      <c r="L1688" s="4">
        <v>69.75</v>
      </c>
    </row>
    <row r="1689" spans="2:12" x14ac:dyDescent="0.2">
      <c r="B1689" s="749">
        <v>42624</v>
      </c>
      <c r="C1689" s="1" t="s">
        <v>495</v>
      </c>
      <c r="E1689" t="s">
        <v>225</v>
      </c>
      <c r="F1689" t="s">
        <v>305</v>
      </c>
      <c r="G1689" s="1" t="s">
        <v>3</v>
      </c>
      <c r="H1689" s="1">
        <v>552936</v>
      </c>
      <c r="I1689" t="s">
        <v>467</v>
      </c>
      <c r="J1689" s="110">
        <v>47856513</v>
      </c>
      <c r="K1689" s="4">
        <v>95351375</v>
      </c>
      <c r="L1689" s="4">
        <v>69.55</v>
      </c>
    </row>
    <row r="1690" spans="2:12" x14ac:dyDescent="0.2">
      <c r="B1690" s="749">
        <v>42624</v>
      </c>
      <c r="C1690" s="1" t="s">
        <v>495</v>
      </c>
      <c r="E1690" t="s">
        <v>225</v>
      </c>
      <c r="F1690" t="s">
        <v>305</v>
      </c>
      <c r="G1690" s="1" t="s">
        <v>3</v>
      </c>
      <c r="H1690" s="1">
        <v>552936</v>
      </c>
      <c r="I1690" t="s">
        <v>467</v>
      </c>
      <c r="J1690" s="110">
        <v>47856513</v>
      </c>
      <c r="K1690" s="4">
        <v>95711586</v>
      </c>
      <c r="L1690" s="4">
        <v>69.150000000000006</v>
      </c>
    </row>
    <row r="1691" spans="2:12" x14ac:dyDescent="0.2">
      <c r="B1691" s="749">
        <v>42624</v>
      </c>
      <c r="C1691" s="1" t="s">
        <v>495</v>
      </c>
      <c r="E1691" t="s">
        <v>225</v>
      </c>
      <c r="F1691" t="s">
        <v>305</v>
      </c>
      <c r="G1691" s="1" t="s">
        <v>3</v>
      </c>
      <c r="H1691" s="1">
        <v>552936</v>
      </c>
      <c r="I1691" t="s">
        <v>467</v>
      </c>
      <c r="J1691" s="110">
        <v>50737600</v>
      </c>
      <c r="K1691" s="4">
        <v>95530259</v>
      </c>
      <c r="L1691" s="4">
        <v>69.95</v>
      </c>
    </row>
    <row r="1692" spans="2:12" x14ac:dyDescent="0.2">
      <c r="B1692" s="749">
        <v>42624</v>
      </c>
      <c r="C1692" s="1" t="s">
        <v>495</v>
      </c>
      <c r="E1692" t="s">
        <v>225</v>
      </c>
      <c r="F1692" t="s">
        <v>305</v>
      </c>
      <c r="G1692" s="1" t="s">
        <v>3</v>
      </c>
      <c r="H1692" s="1">
        <v>552936</v>
      </c>
      <c r="I1692" t="s">
        <v>467</v>
      </c>
      <c r="J1692" s="110">
        <v>50730415</v>
      </c>
      <c r="K1692" s="4">
        <v>95531430</v>
      </c>
      <c r="L1692" s="4">
        <v>69.7</v>
      </c>
    </row>
    <row r="1693" spans="2:12" x14ac:dyDescent="0.2">
      <c r="B1693" s="749">
        <v>42624</v>
      </c>
      <c r="C1693" s="1" t="s">
        <v>495</v>
      </c>
      <c r="E1693" t="s">
        <v>225</v>
      </c>
      <c r="F1693" t="s">
        <v>305</v>
      </c>
      <c r="G1693" s="1" t="s">
        <v>3</v>
      </c>
      <c r="H1693" s="1">
        <v>552936</v>
      </c>
      <c r="I1693" t="s">
        <v>467</v>
      </c>
      <c r="J1693" s="110">
        <v>50759273</v>
      </c>
      <c r="K1693" s="4">
        <v>95377453</v>
      </c>
      <c r="L1693" s="4">
        <v>69.75</v>
      </c>
    </row>
    <row r="1694" spans="2:12" x14ac:dyDescent="0.2">
      <c r="B1694" s="749">
        <v>42624</v>
      </c>
      <c r="C1694" s="1" t="s">
        <v>495</v>
      </c>
      <c r="E1694" t="s">
        <v>225</v>
      </c>
      <c r="F1694" t="s">
        <v>305</v>
      </c>
      <c r="G1694" s="1" t="s">
        <v>3</v>
      </c>
      <c r="H1694" s="1">
        <v>552936</v>
      </c>
      <c r="I1694" t="s">
        <v>467</v>
      </c>
      <c r="J1694" s="110">
        <v>50759273</v>
      </c>
      <c r="K1694" s="4">
        <v>95492815</v>
      </c>
      <c r="L1694" s="4">
        <v>69.95</v>
      </c>
    </row>
    <row r="1695" spans="2:12" x14ac:dyDescent="0.2">
      <c r="B1695" s="749">
        <v>42624</v>
      </c>
      <c r="C1695" s="1" t="s">
        <v>495</v>
      </c>
      <c r="E1695" t="s">
        <v>225</v>
      </c>
      <c r="F1695" t="s">
        <v>305</v>
      </c>
      <c r="G1695" s="1" t="s">
        <v>3</v>
      </c>
      <c r="H1695" s="1">
        <v>552936</v>
      </c>
      <c r="I1695" t="s">
        <v>467</v>
      </c>
      <c r="J1695" s="110">
        <v>50759273</v>
      </c>
      <c r="K1695" s="4">
        <v>95680914</v>
      </c>
      <c r="L1695" s="4">
        <v>69.75</v>
      </c>
    </row>
    <row r="1696" spans="2:12" x14ac:dyDescent="0.2">
      <c r="B1696" s="749">
        <v>42625</v>
      </c>
      <c r="C1696" s="1" t="s">
        <v>707</v>
      </c>
      <c r="E1696" t="s">
        <v>225</v>
      </c>
      <c r="F1696" t="s">
        <v>305</v>
      </c>
      <c r="G1696" s="1" t="s">
        <v>3</v>
      </c>
      <c r="H1696" s="1">
        <v>553496</v>
      </c>
      <c r="I1696" t="s">
        <v>467</v>
      </c>
      <c r="J1696" s="110">
        <v>600635</v>
      </c>
      <c r="K1696" s="4" t="s">
        <v>913</v>
      </c>
      <c r="L1696" s="4">
        <v>15.46</v>
      </c>
    </row>
    <row r="1697" spans="2:12" x14ac:dyDescent="0.2">
      <c r="B1697" s="749">
        <v>42625</v>
      </c>
      <c r="C1697" s="1" t="s">
        <v>914</v>
      </c>
      <c r="E1697" t="s">
        <v>225</v>
      </c>
      <c r="F1697" t="s">
        <v>305</v>
      </c>
      <c r="G1697" s="1" t="s">
        <v>3</v>
      </c>
      <c r="H1697" s="1">
        <v>553932</v>
      </c>
      <c r="I1697" t="s">
        <v>467</v>
      </c>
      <c r="J1697" s="110">
        <v>40542102</v>
      </c>
      <c r="K1697" s="4">
        <v>95712089</v>
      </c>
      <c r="L1697" s="4">
        <v>69.900000000000006</v>
      </c>
    </row>
    <row r="1698" spans="2:12" x14ac:dyDescent="0.2">
      <c r="B1698" s="749">
        <v>42625</v>
      </c>
      <c r="C1698" s="1" t="s">
        <v>914</v>
      </c>
      <c r="E1698" t="s">
        <v>225</v>
      </c>
      <c r="F1698" t="s">
        <v>305</v>
      </c>
      <c r="G1698" s="1" t="s">
        <v>3</v>
      </c>
      <c r="H1698" s="1">
        <v>553932</v>
      </c>
      <c r="I1698" t="s">
        <v>467</v>
      </c>
      <c r="J1698" s="110">
        <v>40542102</v>
      </c>
      <c r="K1698" s="4">
        <v>95613253</v>
      </c>
      <c r="L1698" s="4">
        <v>69.849999999999994</v>
      </c>
    </row>
    <row r="1699" spans="2:12" x14ac:dyDescent="0.2">
      <c r="B1699" s="749">
        <v>42625</v>
      </c>
      <c r="C1699" s="1" t="s">
        <v>914</v>
      </c>
      <c r="E1699" t="s">
        <v>225</v>
      </c>
      <c r="F1699" t="s">
        <v>305</v>
      </c>
      <c r="G1699" s="1" t="s">
        <v>3</v>
      </c>
      <c r="H1699" s="1">
        <v>553932</v>
      </c>
      <c r="I1699" t="s">
        <v>467</v>
      </c>
      <c r="J1699" s="110">
        <v>40542102</v>
      </c>
      <c r="K1699" s="4">
        <v>95292710</v>
      </c>
      <c r="L1699" s="4">
        <v>69.5</v>
      </c>
    </row>
    <row r="1700" spans="2:12" x14ac:dyDescent="0.2">
      <c r="B1700" s="749">
        <v>42625</v>
      </c>
      <c r="C1700" s="1" t="s">
        <v>914</v>
      </c>
      <c r="E1700" t="s">
        <v>225</v>
      </c>
      <c r="F1700" t="s">
        <v>305</v>
      </c>
      <c r="G1700" s="1" t="s">
        <v>3</v>
      </c>
      <c r="H1700" s="1">
        <v>553932</v>
      </c>
      <c r="I1700" t="s">
        <v>467</v>
      </c>
      <c r="J1700" s="110">
        <v>40543803</v>
      </c>
      <c r="K1700" s="4">
        <v>95454989</v>
      </c>
      <c r="L1700" s="4">
        <v>69.849999999999994</v>
      </c>
    </row>
    <row r="1701" spans="2:12" x14ac:dyDescent="0.2">
      <c r="B1701" s="749">
        <v>42625</v>
      </c>
      <c r="C1701" s="1" t="s">
        <v>914</v>
      </c>
      <c r="E1701" t="s">
        <v>225</v>
      </c>
      <c r="F1701" t="s">
        <v>305</v>
      </c>
      <c r="G1701" s="1" t="s">
        <v>3</v>
      </c>
      <c r="H1701" s="1">
        <v>553932</v>
      </c>
      <c r="I1701" t="s">
        <v>467</v>
      </c>
      <c r="J1701" s="110">
        <v>40543803</v>
      </c>
      <c r="K1701" s="4">
        <v>95328878</v>
      </c>
      <c r="L1701" s="4">
        <v>69.75</v>
      </c>
    </row>
    <row r="1702" spans="2:12" x14ac:dyDescent="0.2">
      <c r="B1702" s="749">
        <v>42625</v>
      </c>
      <c r="C1702" s="1" t="s">
        <v>914</v>
      </c>
      <c r="E1702" t="s">
        <v>225</v>
      </c>
      <c r="F1702" t="s">
        <v>305</v>
      </c>
      <c r="G1702" s="1" t="s">
        <v>3</v>
      </c>
      <c r="H1702" s="1">
        <v>553932</v>
      </c>
      <c r="I1702" t="s">
        <v>467</v>
      </c>
      <c r="J1702" s="110">
        <v>40543803</v>
      </c>
      <c r="K1702" s="4">
        <v>95792966</v>
      </c>
      <c r="L1702" s="4">
        <v>69.55</v>
      </c>
    </row>
    <row r="1703" spans="2:12" x14ac:dyDescent="0.2">
      <c r="B1703" s="749">
        <v>42625</v>
      </c>
      <c r="C1703" s="1" t="s">
        <v>914</v>
      </c>
      <c r="E1703" t="s">
        <v>225</v>
      </c>
      <c r="F1703" t="s">
        <v>305</v>
      </c>
      <c r="G1703" s="1" t="s">
        <v>3</v>
      </c>
      <c r="H1703" s="1">
        <v>553932</v>
      </c>
      <c r="I1703" t="s">
        <v>467</v>
      </c>
      <c r="J1703" s="110">
        <v>40543803</v>
      </c>
      <c r="K1703" s="4">
        <v>95796587</v>
      </c>
      <c r="L1703" s="4">
        <v>69.55</v>
      </c>
    </row>
    <row r="1704" spans="2:12" x14ac:dyDescent="0.2">
      <c r="B1704" s="749">
        <v>42622</v>
      </c>
      <c r="C1704" s="1" t="s">
        <v>818</v>
      </c>
      <c r="E1704" t="s">
        <v>225</v>
      </c>
      <c r="F1704" t="s">
        <v>305</v>
      </c>
      <c r="G1704" s="1" t="s">
        <v>3</v>
      </c>
      <c r="H1704" s="1">
        <v>553036</v>
      </c>
      <c r="I1704" t="s">
        <v>292</v>
      </c>
      <c r="J1704" s="110">
        <v>50733369</v>
      </c>
      <c r="K1704" s="4">
        <v>95646824</v>
      </c>
      <c r="L1704" s="4">
        <v>69.599999999999994</v>
      </c>
    </row>
    <row r="1705" spans="2:12" x14ac:dyDescent="0.2">
      <c r="B1705" s="749">
        <v>42622</v>
      </c>
      <c r="C1705" s="1" t="s">
        <v>888</v>
      </c>
      <c r="E1705" t="s">
        <v>225</v>
      </c>
      <c r="F1705" t="s">
        <v>305</v>
      </c>
      <c r="G1705" s="1" t="s">
        <v>3</v>
      </c>
      <c r="H1705" s="1">
        <v>553902</v>
      </c>
      <c r="I1705" t="s">
        <v>643</v>
      </c>
      <c r="J1705" s="110">
        <v>271064</v>
      </c>
      <c r="K1705" s="4" t="s">
        <v>893</v>
      </c>
      <c r="L1705" s="4">
        <v>24.58</v>
      </c>
    </row>
    <row r="1706" spans="2:12" x14ac:dyDescent="0.2">
      <c r="B1706" s="749">
        <v>42623</v>
      </c>
      <c r="C1706" s="1" t="s">
        <v>619</v>
      </c>
      <c r="E1706" t="s">
        <v>225</v>
      </c>
      <c r="F1706" t="s">
        <v>305</v>
      </c>
      <c r="G1706" s="1" t="s">
        <v>3</v>
      </c>
      <c r="H1706" s="1">
        <v>551127</v>
      </c>
      <c r="I1706" t="s">
        <v>292</v>
      </c>
      <c r="J1706" s="110">
        <v>50761345</v>
      </c>
      <c r="K1706" s="4">
        <v>95631479</v>
      </c>
      <c r="L1706" s="4">
        <v>69.45</v>
      </c>
    </row>
    <row r="1707" spans="2:12" x14ac:dyDescent="0.2">
      <c r="B1707" s="749">
        <v>42623</v>
      </c>
      <c r="C1707" s="1" t="s">
        <v>644</v>
      </c>
      <c r="E1707" t="s">
        <v>225</v>
      </c>
      <c r="F1707" t="s">
        <v>305</v>
      </c>
      <c r="G1707" s="1" t="s">
        <v>3</v>
      </c>
      <c r="H1707" s="1">
        <v>552518</v>
      </c>
      <c r="I1707" t="s">
        <v>643</v>
      </c>
      <c r="J1707" s="110">
        <v>50779669</v>
      </c>
      <c r="K1707" s="4">
        <v>95347829</v>
      </c>
      <c r="L1707" s="4">
        <v>64.05</v>
      </c>
    </row>
    <row r="1708" spans="2:12" x14ac:dyDescent="0.2">
      <c r="B1708" s="749">
        <v>42623</v>
      </c>
      <c r="C1708" s="1" t="s">
        <v>644</v>
      </c>
      <c r="E1708" t="s">
        <v>225</v>
      </c>
      <c r="F1708" t="s">
        <v>305</v>
      </c>
      <c r="G1708" s="1" t="s">
        <v>3</v>
      </c>
      <c r="H1708" s="1">
        <v>552518</v>
      </c>
      <c r="I1708" t="s">
        <v>643</v>
      </c>
      <c r="J1708" s="110">
        <v>50779669</v>
      </c>
      <c r="K1708" s="4">
        <v>95395570</v>
      </c>
      <c r="L1708" s="4">
        <v>68.349999999999994</v>
      </c>
    </row>
    <row r="1709" spans="2:12" x14ac:dyDescent="0.2">
      <c r="B1709" s="749">
        <v>42623</v>
      </c>
      <c r="C1709" s="1" t="s">
        <v>644</v>
      </c>
      <c r="E1709" t="s">
        <v>225</v>
      </c>
      <c r="F1709" t="s">
        <v>305</v>
      </c>
      <c r="G1709" s="1" t="s">
        <v>3</v>
      </c>
      <c r="H1709" s="1">
        <v>552518</v>
      </c>
      <c r="I1709" t="s">
        <v>643</v>
      </c>
      <c r="J1709" s="110">
        <v>50779669</v>
      </c>
      <c r="K1709" s="4">
        <v>95639969</v>
      </c>
      <c r="L1709" s="4">
        <v>69.25</v>
      </c>
    </row>
    <row r="1710" spans="2:12" x14ac:dyDescent="0.2">
      <c r="B1710" s="749">
        <v>42623</v>
      </c>
      <c r="C1710" s="1" t="s">
        <v>702</v>
      </c>
      <c r="E1710" t="s">
        <v>225</v>
      </c>
      <c r="F1710" t="s">
        <v>305</v>
      </c>
      <c r="G1710" s="1" t="s">
        <v>3</v>
      </c>
      <c r="H1710" s="1">
        <v>553244</v>
      </c>
      <c r="I1710" t="s">
        <v>292</v>
      </c>
      <c r="J1710" s="110">
        <v>44126324</v>
      </c>
      <c r="K1710" s="4">
        <v>95455473</v>
      </c>
      <c r="L1710" s="4">
        <v>61.35</v>
      </c>
    </row>
    <row r="1711" spans="2:12" x14ac:dyDescent="0.2">
      <c r="B1711" s="749">
        <v>42623</v>
      </c>
      <c r="C1711" s="1" t="s">
        <v>644</v>
      </c>
      <c r="E1711" t="s">
        <v>225</v>
      </c>
      <c r="F1711" t="s">
        <v>305</v>
      </c>
      <c r="G1711" s="1" t="s">
        <v>3</v>
      </c>
      <c r="H1711" s="1">
        <v>552518</v>
      </c>
      <c r="I1711" t="s">
        <v>643</v>
      </c>
      <c r="J1711" s="110">
        <v>50779669</v>
      </c>
      <c r="K1711" s="4">
        <v>95366985</v>
      </c>
      <c r="L1711" s="4">
        <v>64</v>
      </c>
    </row>
    <row r="1712" spans="2:12" x14ac:dyDescent="0.2">
      <c r="B1712" s="749">
        <v>42623</v>
      </c>
      <c r="C1712" s="1" t="s">
        <v>644</v>
      </c>
      <c r="E1712" t="s">
        <v>225</v>
      </c>
      <c r="F1712" t="s">
        <v>305</v>
      </c>
      <c r="G1712" s="1" t="s">
        <v>3</v>
      </c>
      <c r="H1712" s="1">
        <v>552518</v>
      </c>
      <c r="I1712" t="s">
        <v>643</v>
      </c>
      <c r="J1712" s="110">
        <v>50779669</v>
      </c>
      <c r="K1712" s="4">
        <v>95359733</v>
      </c>
      <c r="L1712" s="4">
        <v>69.05</v>
      </c>
    </row>
    <row r="1713" spans="2:12" x14ac:dyDescent="0.2">
      <c r="B1713" s="749">
        <v>42623</v>
      </c>
      <c r="C1713" s="1" t="s">
        <v>818</v>
      </c>
      <c r="E1713" t="s">
        <v>225</v>
      </c>
      <c r="F1713" t="s">
        <v>305</v>
      </c>
      <c r="G1713" s="1" t="s">
        <v>3</v>
      </c>
      <c r="H1713" s="1">
        <v>553036</v>
      </c>
      <c r="I1713" t="s">
        <v>292</v>
      </c>
      <c r="J1713" s="110">
        <v>50764836</v>
      </c>
      <c r="K1713" s="4">
        <v>95346565</v>
      </c>
      <c r="L1713" s="4">
        <v>69.25</v>
      </c>
    </row>
    <row r="1714" spans="2:12" x14ac:dyDescent="0.2">
      <c r="B1714" s="749">
        <v>42623</v>
      </c>
      <c r="C1714" s="1" t="s">
        <v>818</v>
      </c>
      <c r="E1714" t="s">
        <v>225</v>
      </c>
      <c r="F1714" t="s">
        <v>305</v>
      </c>
      <c r="G1714" s="1" t="s">
        <v>3</v>
      </c>
      <c r="H1714" s="1">
        <v>553036</v>
      </c>
      <c r="I1714" t="s">
        <v>292</v>
      </c>
      <c r="J1714" s="110">
        <v>50764836</v>
      </c>
      <c r="K1714" s="4">
        <v>95760203</v>
      </c>
      <c r="L1714" s="4">
        <v>69.7</v>
      </c>
    </row>
    <row r="1715" spans="2:12" x14ac:dyDescent="0.2">
      <c r="B1715" s="749">
        <v>42623</v>
      </c>
      <c r="C1715" s="1" t="s">
        <v>818</v>
      </c>
      <c r="E1715" t="s">
        <v>225</v>
      </c>
      <c r="F1715" t="s">
        <v>305</v>
      </c>
      <c r="G1715" s="1" t="s">
        <v>3</v>
      </c>
      <c r="H1715" s="1">
        <v>553036</v>
      </c>
      <c r="I1715" t="s">
        <v>292</v>
      </c>
      <c r="J1715" s="110">
        <v>50764836</v>
      </c>
      <c r="K1715" s="4">
        <v>95320313</v>
      </c>
      <c r="L1715" s="4">
        <v>64.8</v>
      </c>
    </row>
    <row r="1716" spans="2:12" x14ac:dyDescent="0.2">
      <c r="B1716" s="749">
        <v>42623</v>
      </c>
      <c r="C1716" s="1" t="s">
        <v>818</v>
      </c>
      <c r="E1716" t="s">
        <v>225</v>
      </c>
      <c r="F1716" t="s">
        <v>305</v>
      </c>
      <c r="G1716" s="1" t="s">
        <v>3</v>
      </c>
      <c r="H1716" s="1">
        <v>553036</v>
      </c>
      <c r="I1716" t="s">
        <v>292</v>
      </c>
      <c r="J1716" s="110">
        <v>50764836</v>
      </c>
      <c r="K1716" s="4">
        <v>95353835</v>
      </c>
      <c r="L1716" s="4">
        <v>69.75</v>
      </c>
    </row>
    <row r="1717" spans="2:12" x14ac:dyDescent="0.2">
      <c r="B1717" s="749">
        <v>42623</v>
      </c>
      <c r="C1717" s="1" t="s">
        <v>818</v>
      </c>
      <c r="E1717" t="s">
        <v>225</v>
      </c>
      <c r="F1717" t="s">
        <v>305</v>
      </c>
      <c r="G1717" s="1" t="s">
        <v>3</v>
      </c>
      <c r="H1717" s="1">
        <v>553036</v>
      </c>
      <c r="I1717" t="s">
        <v>292</v>
      </c>
      <c r="J1717" s="110">
        <v>50764836</v>
      </c>
      <c r="K1717" s="4">
        <v>95651048</v>
      </c>
      <c r="L1717" s="4">
        <v>69.400000000000006</v>
      </c>
    </row>
    <row r="1718" spans="2:12" x14ac:dyDescent="0.2">
      <c r="B1718" s="749">
        <v>42623</v>
      </c>
      <c r="C1718" s="1" t="s">
        <v>644</v>
      </c>
      <c r="E1718" t="s">
        <v>225</v>
      </c>
      <c r="F1718" t="s">
        <v>305</v>
      </c>
      <c r="G1718" s="1" t="s">
        <v>3</v>
      </c>
      <c r="H1718" s="1">
        <v>552518</v>
      </c>
      <c r="I1718" t="s">
        <v>643</v>
      </c>
      <c r="J1718" s="110">
        <v>47819826</v>
      </c>
      <c r="K1718" s="4">
        <v>95186854</v>
      </c>
      <c r="L1718" s="4">
        <v>70.099999999999994</v>
      </c>
    </row>
    <row r="1719" spans="2:12" x14ac:dyDescent="0.2">
      <c r="B1719" s="749">
        <v>42623</v>
      </c>
      <c r="C1719" s="1" t="s">
        <v>644</v>
      </c>
      <c r="E1719" t="s">
        <v>225</v>
      </c>
      <c r="F1719" t="s">
        <v>305</v>
      </c>
      <c r="G1719" s="1" t="s">
        <v>3</v>
      </c>
      <c r="H1719" s="1">
        <v>552518</v>
      </c>
      <c r="I1719" t="s">
        <v>643</v>
      </c>
      <c r="J1719" s="110">
        <v>47819826</v>
      </c>
      <c r="K1719" s="4">
        <v>95191938</v>
      </c>
      <c r="L1719" s="4">
        <v>69.75</v>
      </c>
    </row>
    <row r="1720" spans="2:12" x14ac:dyDescent="0.2">
      <c r="B1720" s="749">
        <v>42623</v>
      </c>
      <c r="C1720" s="1" t="s">
        <v>644</v>
      </c>
      <c r="E1720" t="s">
        <v>225</v>
      </c>
      <c r="F1720" t="s">
        <v>305</v>
      </c>
      <c r="G1720" s="1" t="s">
        <v>3</v>
      </c>
      <c r="H1720" s="1">
        <v>552518</v>
      </c>
      <c r="I1720" t="s">
        <v>643</v>
      </c>
      <c r="J1720" s="110">
        <v>47819826</v>
      </c>
      <c r="K1720" s="4">
        <v>95153243</v>
      </c>
      <c r="L1720" s="4">
        <v>68.5</v>
      </c>
    </row>
    <row r="1721" spans="2:12" x14ac:dyDescent="0.2">
      <c r="B1721" s="749">
        <v>42623</v>
      </c>
      <c r="C1721" s="1" t="s">
        <v>644</v>
      </c>
      <c r="E1721" t="s">
        <v>225</v>
      </c>
      <c r="F1721" t="s">
        <v>305</v>
      </c>
      <c r="G1721" s="1" t="s">
        <v>3</v>
      </c>
      <c r="H1721" s="1">
        <v>552518</v>
      </c>
      <c r="I1721" t="s">
        <v>643</v>
      </c>
      <c r="J1721" s="110">
        <v>47819826</v>
      </c>
      <c r="K1721" s="4">
        <v>95092540</v>
      </c>
      <c r="L1721" s="4">
        <v>69.150000000000006</v>
      </c>
    </row>
    <row r="1722" spans="2:12" x14ac:dyDescent="0.2">
      <c r="B1722" s="749">
        <v>42623</v>
      </c>
      <c r="C1722" s="1" t="s">
        <v>886</v>
      </c>
      <c r="E1722" t="s">
        <v>225</v>
      </c>
      <c r="F1722" t="s">
        <v>305</v>
      </c>
      <c r="G1722" s="1" t="s">
        <v>3</v>
      </c>
      <c r="H1722" s="1">
        <v>553593</v>
      </c>
      <c r="I1722" t="s">
        <v>292</v>
      </c>
      <c r="J1722" s="110">
        <v>40566978</v>
      </c>
      <c r="K1722" s="4">
        <v>95758454</v>
      </c>
      <c r="L1722" s="4">
        <v>68.3</v>
      </c>
    </row>
    <row r="1723" spans="2:12" x14ac:dyDescent="0.2">
      <c r="B1723" s="749">
        <v>42623</v>
      </c>
      <c r="C1723" s="1" t="s">
        <v>701</v>
      </c>
      <c r="E1723" t="s">
        <v>225</v>
      </c>
      <c r="F1723" t="s">
        <v>305</v>
      </c>
      <c r="G1723" s="1" t="s">
        <v>3</v>
      </c>
      <c r="H1723" s="1">
        <v>552928</v>
      </c>
      <c r="I1723" t="s">
        <v>643</v>
      </c>
      <c r="J1723" s="110">
        <v>32110165</v>
      </c>
      <c r="K1723" s="4">
        <v>95531679</v>
      </c>
      <c r="L1723" s="4">
        <v>66.95</v>
      </c>
    </row>
    <row r="1724" spans="2:12" x14ac:dyDescent="0.2">
      <c r="B1724" s="749">
        <v>42623</v>
      </c>
      <c r="C1724" s="1" t="s">
        <v>701</v>
      </c>
      <c r="E1724" t="s">
        <v>225</v>
      </c>
      <c r="F1724" t="s">
        <v>305</v>
      </c>
      <c r="G1724" s="1" t="s">
        <v>3</v>
      </c>
      <c r="H1724" s="1">
        <v>552928</v>
      </c>
      <c r="I1724" t="s">
        <v>643</v>
      </c>
      <c r="J1724" s="110">
        <v>32110165</v>
      </c>
      <c r="K1724" s="4">
        <v>95395075</v>
      </c>
      <c r="L1724" s="4">
        <v>67.150000000000006</v>
      </c>
    </row>
    <row r="1725" spans="2:12" x14ac:dyDescent="0.2">
      <c r="B1725" s="749">
        <v>42624</v>
      </c>
      <c r="C1725" s="1" t="s">
        <v>888</v>
      </c>
      <c r="E1725" t="s">
        <v>225</v>
      </c>
      <c r="F1725" t="s">
        <v>305</v>
      </c>
      <c r="G1725" s="1" t="s">
        <v>3</v>
      </c>
      <c r="H1725" s="1">
        <v>553902</v>
      </c>
      <c r="I1725" t="s">
        <v>643</v>
      </c>
      <c r="J1725" s="110">
        <v>271071</v>
      </c>
      <c r="K1725" s="4" t="s">
        <v>915</v>
      </c>
      <c r="L1725" s="4">
        <v>24.34</v>
      </c>
    </row>
    <row r="1726" spans="2:12" x14ac:dyDescent="0.2">
      <c r="B1726" s="749">
        <v>42624</v>
      </c>
      <c r="C1726" s="1" t="s">
        <v>644</v>
      </c>
      <c r="E1726" t="s">
        <v>225</v>
      </c>
      <c r="F1726" t="s">
        <v>305</v>
      </c>
      <c r="G1726" s="1" t="s">
        <v>3</v>
      </c>
      <c r="H1726" s="1">
        <v>552518</v>
      </c>
      <c r="I1726" t="s">
        <v>643</v>
      </c>
      <c r="J1726" s="110">
        <v>47864236</v>
      </c>
      <c r="K1726" s="4">
        <v>95130563</v>
      </c>
      <c r="L1726" s="4">
        <v>67.05</v>
      </c>
    </row>
    <row r="1727" spans="2:12" x14ac:dyDescent="0.2">
      <c r="B1727" s="749">
        <v>42624</v>
      </c>
      <c r="C1727" s="1" t="s">
        <v>644</v>
      </c>
      <c r="E1727" t="s">
        <v>225</v>
      </c>
      <c r="F1727" t="s">
        <v>305</v>
      </c>
      <c r="G1727" s="1" t="s">
        <v>3</v>
      </c>
      <c r="H1727" s="1">
        <v>552518</v>
      </c>
      <c r="I1727" t="s">
        <v>643</v>
      </c>
      <c r="J1727" s="110">
        <v>47864236</v>
      </c>
      <c r="K1727" s="4">
        <v>95095683</v>
      </c>
      <c r="L1727" s="4">
        <v>69.849999999999994</v>
      </c>
    </row>
    <row r="1728" spans="2:12" x14ac:dyDescent="0.2">
      <c r="B1728" s="749">
        <v>42624</v>
      </c>
      <c r="C1728" s="1" t="s">
        <v>644</v>
      </c>
      <c r="E1728" t="s">
        <v>225</v>
      </c>
      <c r="F1728" t="s">
        <v>305</v>
      </c>
      <c r="G1728" s="1" t="s">
        <v>3</v>
      </c>
      <c r="H1728" s="1">
        <v>552518</v>
      </c>
      <c r="I1728" t="s">
        <v>643</v>
      </c>
      <c r="J1728" s="110">
        <v>47864236</v>
      </c>
      <c r="K1728" s="4">
        <v>95092763</v>
      </c>
      <c r="L1728" s="4">
        <v>69</v>
      </c>
    </row>
    <row r="1729" spans="2:12" x14ac:dyDescent="0.2">
      <c r="B1729" s="749">
        <v>42624</v>
      </c>
      <c r="C1729" s="1" t="s">
        <v>888</v>
      </c>
      <c r="E1729" t="s">
        <v>225</v>
      </c>
      <c r="F1729" t="s">
        <v>305</v>
      </c>
      <c r="G1729" s="1" t="s">
        <v>3</v>
      </c>
      <c r="H1729" s="1">
        <v>553902</v>
      </c>
      <c r="I1729" t="s">
        <v>643</v>
      </c>
      <c r="J1729" s="110">
        <v>47819412</v>
      </c>
      <c r="K1729" s="4">
        <v>95796454</v>
      </c>
      <c r="L1729" s="4">
        <v>68.7</v>
      </c>
    </row>
    <row r="1730" spans="2:12" x14ac:dyDescent="0.2">
      <c r="B1730" s="749">
        <v>42624</v>
      </c>
      <c r="C1730" s="1" t="s">
        <v>888</v>
      </c>
      <c r="E1730" t="s">
        <v>225</v>
      </c>
      <c r="F1730" t="s">
        <v>305</v>
      </c>
      <c r="G1730" s="1" t="s">
        <v>3</v>
      </c>
      <c r="H1730" s="1">
        <v>553902</v>
      </c>
      <c r="I1730" t="s">
        <v>643</v>
      </c>
      <c r="J1730" s="110">
        <v>47819412</v>
      </c>
      <c r="K1730" s="4">
        <v>95647236</v>
      </c>
      <c r="L1730" s="4">
        <v>68.05</v>
      </c>
    </row>
    <row r="1731" spans="2:12" x14ac:dyDescent="0.2">
      <c r="B1731" s="749">
        <v>42624</v>
      </c>
      <c r="C1731" s="1" t="s">
        <v>888</v>
      </c>
      <c r="E1731" t="s">
        <v>225</v>
      </c>
      <c r="F1731" t="s">
        <v>305</v>
      </c>
      <c r="G1731" s="1" t="s">
        <v>3</v>
      </c>
      <c r="H1731" s="1">
        <v>553902</v>
      </c>
      <c r="I1731" t="s">
        <v>643</v>
      </c>
      <c r="J1731" s="110">
        <v>47819412</v>
      </c>
      <c r="K1731" s="4">
        <v>95369237</v>
      </c>
      <c r="L1731" s="4">
        <v>68.650000000000006</v>
      </c>
    </row>
    <row r="1732" spans="2:12" x14ac:dyDescent="0.2">
      <c r="B1732" s="749">
        <v>42624</v>
      </c>
      <c r="C1732" s="1" t="s">
        <v>888</v>
      </c>
      <c r="E1732" t="s">
        <v>225</v>
      </c>
      <c r="F1732" t="s">
        <v>305</v>
      </c>
      <c r="G1732" s="1" t="s">
        <v>3</v>
      </c>
      <c r="H1732" s="1">
        <v>553902</v>
      </c>
      <c r="I1732" t="s">
        <v>643</v>
      </c>
      <c r="J1732" s="110">
        <v>47819412</v>
      </c>
      <c r="K1732" s="4">
        <v>95800330</v>
      </c>
      <c r="L1732" s="4">
        <v>67.45</v>
      </c>
    </row>
    <row r="1733" spans="2:12" x14ac:dyDescent="0.2">
      <c r="B1733" s="749">
        <v>42625</v>
      </c>
      <c r="C1733" s="1" t="s">
        <v>888</v>
      </c>
      <c r="E1733" t="s">
        <v>225</v>
      </c>
      <c r="F1733" t="s">
        <v>305</v>
      </c>
      <c r="G1733" s="1" t="s">
        <v>3</v>
      </c>
      <c r="H1733" s="1">
        <v>553902</v>
      </c>
      <c r="I1733" t="s">
        <v>292</v>
      </c>
      <c r="J1733" s="110">
        <v>267705</v>
      </c>
      <c r="K1733" s="4" t="s">
        <v>893</v>
      </c>
      <c r="L1733" s="4">
        <v>24.88</v>
      </c>
    </row>
    <row r="1734" spans="2:12" x14ac:dyDescent="0.2">
      <c r="B1734" s="749">
        <v>42625</v>
      </c>
      <c r="C1734" s="1" t="s">
        <v>935</v>
      </c>
      <c r="E1734" t="s">
        <v>225</v>
      </c>
      <c r="F1734" t="s">
        <v>305</v>
      </c>
      <c r="G1734" s="1" t="s">
        <v>3</v>
      </c>
      <c r="H1734" s="1">
        <v>553665</v>
      </c>
      <c r="I1734" t="s">
        <v>643</v>
      </c>
      <c r="J1734" s="110">
        <v>50815778</v>
      </c>
      <c r="K1734" s="4">
        <v>95525200</v>
      </c>
      <c r="L1734" s="4">
        <v>69.45</v>
      </c>
    </row>
    <row r="1735" spans="2:12" x14ac:dyDescent="0.2">
      <c r="B1735" s="749">
        <v>42625</v>
      </c>
      <c r="C1735" s="1" t="s">
        <v>935</v>
      </c>
      <c r="E1735" t="s">
        <v>225</v>
      </c>
      <c r="F1735" t="s">
        <v>305</v>
      </c>
      <c r="G1735" s="1" t="s">
        <v>3</v>
      </c>
      <c r="H1735" s="1">
        <v>553665</v>
      </c>
      <c r="I1735" t="s">
        <v>643</v>
      </c>
      <c r="J1735" s="110">
        <v>50815778</v>
      </c>
      <c r="K1735" s="4">
        <v>95681235</v>
      </c>
      <c r="L1735" s="4">
        <v>69.95</v>
      </c>
    </row>
    <row r="1736" spans="2:12" x14ac:dyDescent="0.2">
      <c r="B1736" s="749">
        <v>42625</v>
      </c>
      <c r="C1736" s="1" t="s">
        <v>935</v>
      </c>
      <c r="E1736" t="s">
        <v>225</v>
      </c>
      <c r="F1736" t="s">
        <v>305</v>
      </c>
      <c r="G1736" s="1" t="s">
        <v>3</v>
      </c>
      <c r="H1736" s="1">
        <v>553665</v>
      </c>
      <c r="I1736" t="s">
        <v>643</v>
      </c>
      <c r="J1736" s="110">
        <v>50815778</v>
      </c>
      <c r="K1736" s="4">
        <v>95369849</v>
      </c>
      <c r="L1736" s="4">
        <v>69.45</v>
      </c>
    </row>
    <row r="1737" spans="2:12" x14ac:dyDescent="0.2">
      <c r="B1737" s="749">
        <v>42625</v>
      </c>
      <c r="C1737" s="1" t="s">
        <v>935</v>
      </c>
      <c r="E1737" t="s">
        <v>225</v>
      </c>
      <c r="F1737" t="s">
        <v>305</v>
      </c>
      <c r="G1737" s="1" t="s">
        <v>3</v>
      </c>
      <c r="H1737" s="1">
        <v>553665</v>
      </c>
      <c r="I1737" t="s">
        <v>643</v>
      </c>
      <c r="J1737" s="110">
        <v>50815778</v>
      </c>
      <c r="K1737" s="4">
        <v>95617668</v>
      </c>
      <c r="L1737" s="4">
        <v>69.45</v>
      </c>
    </row>
    <row r="1738" spans="2:12" x14ac:dyDescent="0.2">
      <c r="B1738" s="749">
        <v>42625</v>
      </c>
      <c r="C1738" s="1" t="s">
        <v>644</v>
      </c>
      <c r="E1738" t="s">
        <v>225</v>
      </c>
      <c r="F1738" t="s">
        <v>305</v>
      </c>
      <c r="G1738" s="1" t="s">
        <v>3</v>
      </c>
      <c r="H1738" s="1">
        <v>552518</v>
      </c>
      <c r="I1738" t="s">
        <v>292</v>
      </c>
      <c r="J1738" s="110">
        <v>40646275</v>
      </c>
      <c r="K1738" s="4">
        <v>95353975</v>
      </c>
      <c r="L1738" s="4">
        <v>67.5</v>
      </c>
    </row>
    <row r="1739" spans="2:12" x14ac:dyDescent="0.2">
      <c r="B1739" s="749">
        <v>42625</v>
      </c>
      <c r="C1739" s="1" t="s">
        <v>644</v>
      </c>
      <c r="E1739" t="s">
        <v>225</v>
      </c>
      <c r="F1739" t="s">
        <v>305</v>
      </c>
      <c r="G1739" s="1" t="s">
        <v>3</v>
      </c>
      <c r="H1739" s="1">
        <v>552518</v>
      </c>
      <c r="I1739" t="s">
        <v>292</v>
      </c>
      <c r="J1739" s="110">
        <v>40646275</v>
      </c>
      <c r="K1739" s="4">
        <v>95453221</v>
      </c>
      <c r="L1739" s="4">
        <v>67.05</v>
      </c>
    </row>
    <row r="1740" spans="2:12" x14ac:dyDescent="0.2">
      <c r="B1740" s="749">
        <v>42625</v>
      </c>
      <c r="C1740" s="1" t="s">
        <v>644</v>
      </c>
      <c r="E1740" t="s">
        <v>225</v>
      </c>
      <c r="F1740" t="s">
        <v>305</v>
      </c>
      <c r="G1740" s="1" t="s">
        <v>3</v>
      </c>
      <c r="H1740" s="1">
        <v>552518</v>
      </c>
      <c r="I1740" t="s">
        <v>292</v>
      </c>
      <c r="J1740" s="110">
        <v>40646275</v>
      </c>
      <c r="K1740" s="4">
        <v>95649067</v>
      </c>
      <c r="L1740" s="4">
        <v>65.95</v>
      </c>
    </row>
    <row r="1741" spans="2:12" x14ac:dyDescent="0.2">
      <c r="B1741" s="749">
        <v>42625</v>
      </c>
      <c r="C1741" s="1" t="s">
        <v>644</v>
      </c>
      <c r="E1741" t="s">
        <v>225</v>
      </c>
      <c r="F1741" t="s">
        <v>305</v>
      </c>
      <c r="G1741" s="1" t="s">
        <v>3</v>
      </c>
      <c r="H1741" s="1">
        <v>552518</v>
      </c>
      <c r="I1741" t="s">
        <v>292</v>
      </c>
      <c r="J1741" s="110">
        <v>40646275</v>
      </c>
      <c r="K1741" s="4">
        <v>95679353</v>
      </c>
      <c r="L1741" s="4">
        <v>67.5</v>
      </c>
    </row>
    <row r="1742" spans="2:12" x14ac:dyDescent="0.2">
      <c r="B1742" s="749">
        <v>42622</v>
      </c>
      <c r="C1742" s="1" t="s">
        <v>868</v>
      </c>
      <c r="E1742" t="s">
        <v>225</v>
      </c>
      <c r="F1742" t="s">
        <v>305</v>
      </c>
      <c r="G1742" s="1" t="s">
        <v>3</v>
      </c>
      <c r="H1742" s="1">
        <v>554029</v>
      </c>
      <c r="I1742" t="s">
        <v>910</v>
      </c>
      <c r="J1742" s="110">
        <v>15779</v>
      </c>
      <c r="K1742" s="4" t="s">
        <v>556</v>
      </c>
      <c r="L1742" s="4">
        <v>23.94</v>
      </c>
    </row>
    <row r="1743" spans="2:12" x14ac:dyDescent="0.2">
      <c r="B1743" s="749">
        <v>42622</v>
      </c>
      <c r="C1743" s="1" t="s">
        <v>868</v>
      </c>
      <c r="E1743" t="s">
        <v>225</v>
      </c>
      <c r="F1743" t="s">
        <v>305</v>
      </c>
      <c r="G1743" s="1" t="s">
        <v>3</v>
      </c>
      <c r="H1743" s="1">
        <v>554029</v>
      </c>
      <c r="I1743" t="s">
        <v>910</v>
      </c>
      <c r="J1743" s="110">
        <v>36190</v>
      </c>
      <c r="K1743" s="4" t="s">
        <v>916</v>
      </c>
      <c r="L1743" s="4">
        <v>25.5</v>
      </c>
    </row>
    <row r="1744" spans="2:12" x14ac:dyDescent="0.2">
      <c r="B1744" s="749">
        <v>42622</v>
      </c>
      <c r="C1744" s="1" t="s">
        <v>868</v>
      </c>
      <c r="E1744" t="s">
        <v>225</v>
      </c>
      <c r="F1744" t="s">
        <v>305</v>
      </c>
      <c r="G1744" s="1" t="s">
        <v>3</v>
      </c>
      <c r="H1744" s="1">
        <v>554029</v>
      </c>
      <c r="I1744" t="s">
        <v>910</v>
      </c>
      <c r="J1744" s="110">
        <v>36189</v>
      </c>
      <c r="K1744" s="4" t="s">
        <v>917</v>
      </c>
      <c r="L1744" s="4">
        <v>25.78</v>
      </c>
    </row>
    <row r="1745" spans="2:12" x14ac:dyDescent="0.2">
      <c r="B1745" s="749">
        <v>42622</v>
      </c>
      <c r="C1745" s="1" t="s">
        <v>868</v>
      </c>
      <c r="E1745" t="s">
        <v>225</v>
      </c>
      <c r="F1745" t="s">
        <v>305</v>
      </c>
      <c r="G1745" s="1" t="s">
        <v>3</v>
      </c>
      <c r="H1745" s="1">
        <v>554029</v>
      </c>
      <c r="I1745" t="s">
        <v>910</v>
      </c>
      <c r="J1745" s="110">
        <v>44137354</v>
      </c>
      <c r="K1745" s="4">
        <v>95526364</v>
      </c>
      <c r="L1745" s="4">
        <v>67.650000000000006</v>
      </c>
    </row>
    <row r="1746" spans="2:12" x14ac:dyDescent="0.2">
      <c r="B1746" s="749">
        <v>42622</v>
      </c>
      <c r="C1746" s="1" t="s">
        <v>868</v>
      </c>
      <c r="E1746" t="s">
        <v>225</v>
      </c>
      <c r="F1746" t="s">
        <v>305</v>
      </c>
      <c r="G1746" s="1" t="s">
        <v>3</v>
      </c>
      <c r="H1746" s="1">
        <v>554029</v>
      </c>
      <c r="I1746" t="s">
        <v>910</v>
      </c>
      <c r="J1746" s="110">
        <v>44137354</v>
      </c>
      <c r="K1746" s="4">
        <v>95692158</v>
      </c>
      <c r="L1746" s="4">
        <v>67.3</v>
      </c>
    </row>
    <row r="1747" spans="2:12" x14ac:dyDescent="0.2">
      <c r="B1747" s="749">
        <v>42622</v>
      </c>
      <c r="C1747" s="1" t="s">
        <v>868</v>
      </c>
      <c r="E1747" t="s">
        <v>225</v>
      </c>
      <c r="F1747" t="s">
        <v>305</v>
      </c>
      <c r="G1747" s="1" t="s">
        <v>3</v>
      </c>
      <c r="H1747" s="1">
        <v>554029</v>
      </c>
      <c r="I1747" t="s">
        <v>910</v>
      </c>
      <c r="J1747" s="110">
        <v>44137354</v>
      </c>
      <c r="K1747" s="4">
        <v>95759015</v>
      </c>
      <c r="L1747" s="4">
        <v>67.099999999999994</v>
      </c>
    </row>
    <row r="1748" spans="2:12" x14ac:dyDescent="0.2">
      <c r="B1748" s="749">
        <v>42622</v>
      </c>
      <c r="C1748" s="1" t="s">
        <v>868</v>
      </c>
      <c r="E1748" t="s">
        <v>225</v>
      </c>
      <c r="F1748" t="s">
        <v>305</v>
      </c>
      <c r="G1748" s="1" t="s">
        <v>3</v>
      </c>
      <c r="H1748" s="1">
        <v>554029</v>
      </c>
      <c r="I1748" t="s">
        <v>910</v>
      </c>
      <c r="J1748" s="110">
        <v>44137354</v>
      </c>
      <c r="K1748" s="4">
        <v>95335212</v>
      </c>
      <c r="L1748" s="4">
        <v>62.95</v>
      </c>
    </row>
    <row r="1749" spans="2:12" x14ac:dyDescent="0.2">
      <c r="B1749" s="749">
        <v>42622</v>
      </c>
      <c r="C1749" s="1" t="s">
        <v>868</v>
      </c>
      <c r="E1749" t="s">
        <v>225</v>
      </c>
      <c r="F1749" t="s">
        <v>305</v>
      </c>
      <c r="G1749" s="1" t="s">
        <v>3</v>
      </c>
      <c r="H1749" s="1">
        <v>554029</v>
      </c>
      <c r="I1749" t="s">
        <v>910</v>
      </c>
      <c r="J1749" s="110">
        <v>44137354</v>
      </c>
      <c r="K1749" s="4">
        <v>95448783</v>
      </c>
      <c r="L1749" s="4">
        <v>68.599999999999994</v>
      </c>
    </row>
    <row r="1750" spans="2:12" x14ac:dyDescent="0.2">
      <c r="B1750" s="749">
        <v>42622</v>
      </c>
      <c r="C1750" s="1" t="s">
        <v>868</v>
      </c>
      <c r="E1750" t="s">
        <v>225</v>
      </c>
      <c r="F1750" t="s">
        <v>305</v>
      </c>
      <c r="G1750" s="1" t="s">
        <v>3</v>
      </c>
      <c r="H1750" s="1">
        <v>554029</v>
      </c>
      <c r="I1750" t="s">
        <v>910</v>
      </c>
      <c r="J1750" s="110">
        <v>36178</v>
      </c>
      <c r="K1750" s="4" t="s">
        <v>918</v>
      </c>
      <c r="L1750" s="4">
        <v>24.02</v>
      </c>
    </row>
    <row r="1751" spans="2:12" x14ac:dyDescent="0.2">
      <c r="B1751" s="749">
        <v>42622</v>
      </c>
      <c r="C1751" s="1" t="s">
        <v>868</v>
      </c>
      <c r="E1751" t="s">
        <v>225</v>
      </c>
      <c r="F1751" t="s">
        <v>305</v>
      </c>
      <c r="G1751" s="1" t="s">
        <v>3</v>
      </c>
      <c r="H1751" s="1">
        <v>554029</v>
      </c>
      <c r="I1751" t="s">
        <v>910</v>
      </c>
      <c r="J1751" s="110">
        <v>36179</v>
      </c>
      <c r="K1751" s="4" t="s">
        <v>919</v>
      </c>
      <c r="L1751" s="4">
        <v>22.92</v>
      </c>
    </row>
    <row r="1752" spans="2:12" x14ac:dyDescent="0.2">
      <c r="B1752" s="749">
        <v>42622</v>
      </c>
      <c r="C1752" s="1" t="s">
        <v>868</v>
      </c>
      <c r="E1752" t="s">
        <v>225</v>
      </c>
      <c r="F1752" t="s">
        <v>305</v>
      </c>
      <c r="G1752" s="1" t="s">
        <v>3</v>
      </c>
      <c r="H1752" s="1">
        <v>554029</v>
      </c>
      <c r="I1752" t="s">
        <v>910</v>
      </c>
      <c r="J1752" s="110">
        <v>270996</v>
      </c>
      <c r="K1752" s="4" t="s">
        <v>920</v>
      </c>
      <c r="L1752" s="4">
        <v>25.16</v>
      </c>
    </row>
    <row r="1753" spans="2:12" x14ac:dyDescent="0.2">
      <c r="B1753" s="749">
        <v>42622</v>
      </c>
      <c r="C1753" s="1" t="s">
        <v>868</v>
      </c>
      <c r="E1753" t="s">
        <v>225</v>
      </c>
      <c r="F1753" t="s">
        <v>305</v>
      </c>
      <c r="G1753" s="1" t="s">
        <v>3</v>
      </c>
      <c r="H1753" s="1">
        <v>554029</v>
      </c>
      <c r="I1753" t="s">
        <v>910</v>
      </c>
      <c r="J1753" s="110">
        <v>350245</v>
      </c>
      <c r="K1753" s="4" t="s">
        <v>865</v>
      </c>
      <c r="L1753" s="4">
        <v>21.4</v>
      </c>
    </row>
    <row r="1754" spans="2:12" x14ac:dyDescent="0.2">
      <c r="B1754" s="749">
        <v>42622</v>
      </c>
      <c r="C1754" s="1" t="s">
        <v>868</v>
      </c>
      <c r="E1754" t="s">
        <v>225</v>
      </c>
      <c r="F1754" t="s">
        <v>305</v>
      </c>
      <c r="G1754" s="1" t="s">
        <v>3</v>
      </c>
      <c r="H1754" s="1">
        <v>554029</v>
      </c>
      <c r="I1754" t="s">
        <v>910</v>
      </c>
      <c r="J1754" s="110">
        <v>350250</v>
      </c>
      <c r="K1754" s="4" t="s">
        <v>864</v>
      </c>
      <c r="L1754" s="4">
        <v>25.3</v>
      </c>
    </row>
    <row r="1755" spans="2:12" x14ac:dyDescent="0.2">
      <c r="B1755" s="749">
        <v>42623</v>
      </c>
      <c r="C1755" s="1" t="s">
        <v>868</v>
      </c>
      <c r="E1755" t="s">
        <v>225</v>
      </c>
      <c r="F1755" t="s">
        <v>305</v>
      </c>
      <c r="G1755" s="1" t="s">
        <v>3</v>
      </c>
      <c r="H1755" s="1">
        <v>554029</v>
      </c>
      <c r="I1755" t="s">
        <v>910</v>
      </c>
      <c r="J1755" s="110">
        <v>270993</v>
      </c>
      <c r="K1755" s="4" t="s">
        <v>921</v>
      </c>
      <c r="L1755" s="4">
        <v>23.24</v>
      </c>
    </row>
    <row r="1756" spans="2:12" x14ac:dyDescent="0.2">
      <c r="B1756" s="749">
        <v>42623</v>
      </c>
      <c r="C1756" s="1" t="s">
        <v>868</v>
      </c>
      <c r="E1756" t="s">
        <v>225</v>
      </c>
      <c r="F1756" t="s">
        <v>305</v>
      </c>
      <c r="G1756" s="1" t="s">
        <v>3</v>
      </c>
      <c r="H1756" s="1">
        <v>554029</v>
      </c>
      <c r="I1756" t="s">
        <v>910</v>
      </c>
      <c r="J1756" s="110">
        <v>270994</v>
      </c>
      <c r="K1756" s="4" t="s">
        <v>922</v>
      </c>
      <c r="L1756" s="4">
        <v>26.56</v>
      </c>
    </row>
    <row r="1757" spans="2:12" x14ac:dyDescent="0.2">
      <c r="B1757" s="749">
        <v>42623</v>
      </c>
      <c r="C1757" s="1" t="s">
        <v>868</v>
      </c>
      <c r="E1757" t="s">
        <v>225</v>
      </c>
      <c r="F1757" t="s">
        <v>305</v>
      </c>
      <c r="G1757" s="1" t="s">
        <v>3</v>
      </c>
      <c r="H1757" s="1">
        <v>554029</v>
      </c>
      <c r="I1757" t="s">
        <v>910</v>
      </c>
      <c r="J1757" s="110">
        <v>273736</v>
      </c>
      <c r="K1757" s="4" t="s">
        <v>923</v>
      </c>
      <c r="L1757" s="4">
        <v>24.74</v>
      </c>
    </row>
    <row r="1758" spans="2:12" x14ac:dyDescent="0.2">
      <c r="B1758" s="749">
        <v>42623</v>
      </c>
      <c r="C1758" s="1" t="s">
        <v>868</v>
      </c>
      <c r="E1758" t="s">
        <v>225</v>
      </c>
      <c r="F1758" t="s">
        <v>305</v>
      </c>
      <c r="G1758" s="1" t="s">
        <v>3</v>
      </c>
      <c r="H1758" s="1">
        <v>554029</v>
      </c>
      <c r="I1758" t="s">
        <v>910</v>
      </c>
      <c r="J1758" s="110">
        <v>36176</v>
      </c>
      <c r="K1758" s="4" t="s">
        <v>924</v>
      </c>
      <c r="L1758" s="4">
        <v>21.94</v>
      </c>
    </row>
    <row r="1759" spans="2:12" x14ac:dyDescent="0.2">
      <c r="B1759" s="749">
        <v>42623</v>
      </c>
      <c r="C1759" s="1" t="s">
        <v>868</v>
      </c>
      <c r="E1759" t="s">
        <v>225</v>
      </c>
      <c r="F1759" t="s">
        <v>305</v>
      </c>
      <c r="G1759" s="1" t="s">
        <v>3</v>
      </c>
      <c r="H1759" s="1">
        <v>554029</v>
      </c>
      <c r="I1759" t="s">
        <v>910</v>
      </c>
      <c r="J1759" s="110">
        <v>270991</v>
      </c>
      <c r="K1759" s="4" t="s">
        <v>916</v>
      </c>
      <c r="L1759" s="4">
        <v>26.08</v>
      </c>
    </row>
    <row r="1760" spans="2:12" x14ac:dyDescent="0.2">
      <c r="B1760" s="749">
        <v>42623</v>
      </c>
      <c r="C1760" s="1" t="s">
        <v>868</v>
      </c>
      <c r="E1760" t="s">
        <v>225</v>
      </c>
      <c r="F1760" t="s">
        <v>305</v>
      </c>
      <c r="G1760" s="1" t="s">
        <v>3</v>
      </c>
      <c r="H1760" s="1">
        <v>554029</v>
      </c>
      <c r="I1760" t="s">
        <v>910</v>
      </c>
      <c r="J1760" s="110">
        <v>270598</v>
      </c>
      <c r="K1760" s="4" t="s">
        <v>925</v>
      </c>
      <c r="L1760" s="4">
        <v>22.4</v>
      </c>
    </row>
    <row r="1761" spans="2:12" x14ac:dyDescent="0.2">
      <c r="B1761" s="749">
        <v>42623</v>
      </c>
      <c r="C1761" s="1" t="s">
        <v>868</v>
      </c>
      <c r="E1761" t="s">
        <v>225</v>
      </c>
      <c r="F1761" t="s">
        <v>305</v>
      </c>
      <c r="G1761" s="1" t="s">
        <v>3</v>
      </c>
      <c r="H1761" s="1">
        <v>554029</v>
      </c>
      <c r="I1761" t="s">
        <v>910</v>
      </c>
      <c r="J1761" s="110">
        <v>270992</v>
      </c>
      <c r="K1761" s="4" t="s">
        <v>907</v>
      </c>
      <c r="L1761" s="4">
        <v>25.3</v>
      </c>
    </row>
    <row r="1762" spans="2:12" x14ac:dyDescent="0.2">
      <c r="B1762" s="749">
        <v>42623</v>
      </c>
      <c r="C1762" s="1" t="s">
        <v>868</v>
      </c>
      <c r="E1762" t="s">
        <v>225</v>
      </c>
      <c r="F1762" t="s">
        <v>305</v>
      </c>
      <c r="G1762" s="1" t="s">
        <v>3</v>
      </c>
      <c r="H1762" s="1">
        <v>554029</v>
      </c>
      <c r="I1762" t="s">
        <v>910</v>
      </c>
      <c r="J1762" s="110">
        <v>270596</v>
      </c>
      <c r="K1762" s="4" t="s">
        <v>926</v>
      </c>
      <c r="L1762" s="4">
        <v>22.92</v>
      </c>
    </row>
    <row r="1763" spans="2:12" x14ac:dyDescent="0.2">
      <c r="B1763" s="749">
        <v>42624</v>
      </c>
      <c r="C1763" s="1" t="s">
        <v>868</v>
      </c>
      <c r="E1763" t="s">
        <v>225</v>
      </c>
      <c r="F1763" t="s">
        <v>305</v>
      </c>
      <c r="G1763" s="1" t="s">
        <v>3</v>
      </c>
      <c r="H1763" s="1">
        <v>554029</v>
      </c>
      <c r="I1763" t="s">
        <v>910</v>
      </c>
      <c r="J1763" s="110">
        <v>271013</v>
      </c>
      <c r="K1763" s="4" t="s">
        <v>864</v>
      </c>
      <c r="L1763" s="4">
        <v>25.58</v>
      </c>
    </row>
    <row r="1764" spans="2:12" x14ac:dyDescent="0.2">
      <c r="B1764" s="749">
        <v>42624</v>
      </c>
      <c r="C1764" s="1" t="s">
        <v>868</v>
      </c>
      <c r="E1764" t="s">
        <v>225</v>
      </c>
      <c r="F1764" t="s">
        <v>305</v>
      </c>
      <c r="G1764" s="1" t="s">
        <v>3</v>
      </c>
      <c r="H1764" s="1">
        <v>554029</v>
      </c>
      <c r="I1764" t="s">
        <v>910</v>
      </c>
      <c r="J1764" s="110">
        <v>270578</v>
      </c>
      <c r="K1764" s="4" t="s">
        <v>927</v>
      </c>
      <c r="L1764" s="4">
        <v>22.94</v>
      </c>
    </row>
    <row r="1765" spans="2:12" x14ac:dyDescent="0.2">
      <c r="B1765" s="749">
        <v>42624</v>
      </c>
      <c r="C1765" s="1" t="s">
        <v>868</v>
      </c>
      <c r="E1765" t="s">
        <v>225</v>
      </c>
      <c r="F1765" t="s">
        <v>305</v>
      </c>
      <c r="G1765" s="1" t="s">
        <v>3</v>
      </c>
      <c r="H1765" s="1">
        <v>554029</v>
      </c>
      <c r="I1765" t="s">
        <v>910</v>
      </c>
      <c r="J1765" s="110">
        <v>36193</v>
      </c>
      <c r="K1765" s="4" t="s">
        <v>928</v>
      </c>
      <c r="L1765" s="4">
        <v>24.98</v>
      </c>
    </row>
    <row r="1766" spans="2:12" x14ac:dyDescent="0.2">
      <c r="B1766" s="749">
        <v>42624</v>
      </c>
      <c r="C1766" s="1" t="s">
        <v>868</v>
      </c>
      <c r="E1766" t="s">
        <v>225</v>
      </c>
      <c r="F1766" t="s">
        <v>305</v>
      </c>
      <c r="G1766" s="1" t="s">
        <v>3</v>
      </c>
      <c r="H1766" s="1">
        <v>554029</v>
      </c>
      <c r="I1766" t="s">
        <v>910</v>
      </c>
      <c r="J1766" s="110">
        <v>36194</v>
      </c>
      <c r="K1766" s="4" t="s">
        <v>929</v>
      </c>
      <c r="L1766" s="4">
        <v>24.5</v>
      </c>
    </row>
    <row r="1767" spans="2:12" x14ac:dyDescent="0.2">
      <c r="B1767" s="749">
        <v>42625</v>
      </c>
      <c r="C1767" s="1" t="s">
        <v>868</v>
      </c>
      <c r="E1767" t="s">
        <v>225</v>
      </c>
      <c r="F1767" t="s">
        <v>305</v>
      </c>
      <c r="G1767" s="1" t="s">
        <v>3</v>
      </c>
      <c r="H1767" s="1">
        <v>554029</v>
      </c>
      <c r="I1767" t="s">
        <v>910</v>
      </c>
      <c r="J1767" s="110">
        <v>270595</v>
      </c>
      <c r="K1767" s="4" t="s">
        <v>930</v>
      </c>
      <c r="L1767" s="4">
        <v>25.66</v>
      </c>
    </row>
    <row r="1768" spans="2:12" x14ac:dyDescent="0.2">
      <c r="B1768" s="749">
        <v>42625</v>
      </c>
      <c r="C1768" s="1" t="s">
        <v>868</v>
      </c>
      <c r="E1768" t="s">
        <v>225</v>
      </c>
      <c r="F1768" t="s">
        <v>305</v>
      </c>
      <c r="G1768" s="1" t="s">
        <v>3</v>
      </c>
      <c r="H1768" s="1">
        <v>554029</v>
      </c>
      <c r="I1768" t="s">
        <v>910</v>
      </c>
      <c r="J1768" s="110">
        <v>356176</v>
      </c>
      <c r="K1768" s="4" t="s">
        <v>864</v>
      </c>
      <c r="L1768" s="4">
        <v>25</v>
      </c>
    </row>
    <row r="1769" spans="2:12" x14ac:dyDescent="0.2">
      <c r="B1769" s="749">
        <v>42625</v>
      </c>
      <c r="C1769" s="1" t="s">
        <v>868</v>
      </c>
      <c r="E1769" t="s">
        <v>225</v>
      </c>
      <c r="F1769" t="s">
        <v>305</v>
      </c>
      <c r="G1769" s="1" t="s">
        <v>3</v>
      </c>
      <c r="H1769" s="1">
        <v>554029</v>
      </c>
      <c r="I1769" t="s">
        <v>910</v>
      </c>
      <c r="J1769" s="110">
        <v>270593</v>
      </c>
      <c r="K1769" s="4" t="s">
        <v>931</v>
      </c>
      <c r="L1769" s="4">
        <v>25.02</v>
      </c>
    </row>
    <row r="1770" spans="2:12" x14ac:dyDescent="0.2">
      <c r="B1770" s="749">
        <v>42625</v>
      </c>
      <c r="C1770" s="1" t="s">
        <v>868</v>
      </c>
      <c r="E1770" t="s">
        <v>225</v>
      </c>
      <c r="F1770" t="s">
        <v>305</v>
      </c>
      <c r="G1770" s="1" t="s">
        <v>3</v>
      </c>
      <c r="H1770" s="1">
        <v>554029</v>
      </c>
      <c r="I1770" t="s">
        <v>910</v>
      </c>
      <c r="J1770" s="110">
        <v>270590</v>
      </c>
      <c r="K1770" s="4" t="s">
        <v>932</v>
      </c>
      <c r="L1770" s="4">
        <v>24.54</v>
      </c>
    </row>
    <row r="1771" spans="2:12" x14ac:dyDescent="0.2">
      <c r="B1771" s="749">
        <v>42625</v>
      </c>
      <c r="C1771" s="1" t="s">
        <v>868</v>
      </c>
      <c r="E1771" t="s">
        <v>225</v>
      </c>
      <c r="F1771" t="s">
        <v>305</v>
      </c>
      <c r="G1771" s="1" t="s">
        <v>3</v>
      </c>
      <c r="H1771" s="1">
        <v>554029</v>
      </c>
      <c r="I1771" t="s">
        <v>910</v>
      </c>
      <c r="J1771" s="110">
        <v>270591</v>
      </c>
      <c r="K1771" s="4" t="s">
        <v>933</v>
      </c>
      <c r="L1771" s="4">
        <v>25.88</v>
      </c>
    </row>
    <row r="1772" spans="2:12" x14ac:dyDescent="0.2">
      <c r="B1772" s="749">
        <v>42623</v>
      </c>
      <c r="C1772" s="1" t="s">
        <v>704</v>
      </c>
      <c r="E1772" t="s">
        <v>225</v>
      </c>
      <c r="F1772" t="s">
        <v>305</v>
      </c>
      <c r="G1772" s="1" t="s">
        <v>3</v>
      </c>
      <c r="H1772" s="1">
        <v>553610</v>
      </c>
      <c r="I1772" t="s">
        <v>887</v>
      </c>
      <c r="J1772" s="110">
        <v>40511610</v>
      </c>
      <c r="K1772" s="4">
        <v>58500216</v>
      </c>
      <c r="L1772" s="4">
        <v>59.45</v>
      </c>
    </row>
    <row r="1773" spans="2:12" x14ac:dyDescent="0.2">
      <c r="B1773" s="749">
        <v>42623</v>
      </c>
      <c r="C1773" s="1" t="s">
        <v>704</v>
      </c>
      <c r="E1773" t="s">
        <v>225</v>
      </c>
      <c r="F1773" t="s">
        <v>305</v>
      </c>
      <c r="G1773" s="1" t="s">
        <v>3</v>
      </c>
      <c r="H1773" s="1">
        <v>553610</v>
      </c>
      <c r="I1773" t="s">
        <v>887</v>
      </c>
      <c r="J1773" s="110">
        <v>40511610</v>
      </c>
      <c r="K1773" s="4">
        <v>58523069</v>
      </c>
      <c r="L1773" s="4">
        <v>60.15</v>
      </c>
    </row>
    <row r="1774" spans="2:12" x14ac:dyDescent="0.2">
      <c r="B1774" s="749">
        <v>42623</v>
      </c>
      <c r="C1774" s="1" t="s">
        <v>704</v>
      </c>
      <c r="E1774" t="s">
        <v>225</v>
      </c>
      <c r="F1774" t="s">
        <v>305</v>
      </c>
      <c r="G1774" s="1" t="s">
        <v>3</v>
      </c>
      <c r="H1774" s="1">
        <v>553610</v>
      </c>
      <c r="I1774" t="s">
        <v>887</v>
      </c>
      <c r="J1774" s="110">
        <v>40511610</v>
      </c>
      <c r="K1774" s="4">
        <v>53235552</v>
      </c>
      <c r="L1774" s="4">
        <v>60.65</v>
      </c>
    </row>
    <row r="1775" spans="2:12" x14ac:dyDescent="0.2">
      <c r="B1775" s="749">
        <v>42623</v>
      </c>
      <c r="C1775" s="1" t="s">
        <v>704</v>
      </c>
      <c r="E1775" t="s">
        <v>225</v>
      </c>
      <c r="F1775" t="s">
        <v>305</v>
      </c>
      <c r="G1775" s="1" t="s">
        <v>3</v>
      </c>
      <c r="H1775" s="1">
        <v>553610</v>
      </c>
      <c r="I1775" t="s">
        <v>887</v>
      </c>
      <c r="J1775" s="110">
        <v>40511610</v>
      </c>
      <c r="K1775" s="4">
        <v>58556788</v>
      </c>
      <c r="L1775" s="4">
        <v>60.7</v>
      </c>
    </row>
    <row r="1776" spans="2:12" x14ac:dyDescent="0.2">
      <c r="B1776" s="749">
        <v>42623</v>
      </c>
      <c r="C1776" s="1" t="s">
        <v>704</v>
      </c>
      <c r="E1776" t="s">
        <v>225</v>
      </c>
      <c r="F1776" t="s">
        <v>305</v>
      </c>
      <c r="G1776" s="1" t="s">
        <v>3</v>
      </c>
      <c r="H1776" s="1">
        <v>553610</v>
      </c>
      <c r="I1776" t="s">
        <v>887</v>
      </c>
      <c r="J1776" s="110">
        <v>40511610</v>
      </c>
      <c r="K1776" s="4">
        <v>58544875</v>
      </c>
      <c r="L1776" s="4">
        <v>61.2</v>
      </c>
    </row>
    <row r="1777" spans="2:12" x14ac:dyDescent="0.2">
      <c r="B1777" s="749">
        <v>42623</v>
      </c>
      <c r="C1777" s="1" t="s">
        <v>704</v>
      </c>
      <c r="E1777" t="s">
        <v>225</v>
      </c>
      <c r="F1777" t="s">
        <v>305</v>
      </c>
      <c r="G1777" s="1" t="s">
        <v>3</v>
      </c>
      <c r="H1777" s="1">
        <v>553610</v>
      </c>
      <c r="I1777" t="s">
        <v>887</v>
      </c>
      <c r="J1777" s="110">
        <v>40511610</v>
      </c>
      <c r="K1777" s="4">
        <v>58534116</v>
      </c>
      <c r="L1777" s="4">
        <v>58.6</v>
      </c>
    </row>
    <row r="1778" spans="2:12" x14ac:dyDescent="0.2">
      <c r="B1778" s="749">
        <v>42623</v>
      </c>
      <c r="C1778" s="1" t="s">
        <v>704</v>
      </c>
      <c r="E1778" t="s">
        <v>225</v>
      </c>
      <c r="F1778" t="s">
        <v>305</v>
      </c>
      <c r="G1778" s="1" t="s">
        <v>3</v>
      </c>
      <c r="H1778" s="1">
        <v>553610</v>
      </c>
      <c r="I1778" t="s">
        <v>887</v>
      </c>
      <c r="J1778" s="110">
        <v>40518797</v>
      </c>
      <c r="K1778" s="4">
        <v>95697827</v>
      </c>
      <c r="L1778" s="4">
        <v>60.85</v>
      </c>
    </row>
    <row r="1779" spans="2:12" x14ac:dyDescent="0.2">
      <c r="B1779" s="749">
        <v>42623</v>
      </c>
      <c r="C1779" s="1" t="s">
        <v>704</v>
      </c>
      <c r="E1779" t="s">
        <v>225</v>
      </c>
      <c r="F1779" t="s">
        <v>305</v>
      </c>
      <c r="G1779" s="1" t="s">
        <v>3</v>
      </c>
      <c r="H1779" s="1">
        <v>553610</v>
      </c>
      <c r="I1779" t="s">
        <v>887</v>
      </c>
      <c r="J1779" s="110">
        <v>40511610</v>
      </c>
      <c r="K1779" s="4">
        <v>58547977</v>
      </c>
      <c r="L1779" s="4">
        <v>60.7</v>
      </c>
    </row>
    <row r="1780" spans="2:12" x14ac:dyDescent="0.2">
      <c r="B1780" s="749">
        <v>42623</v>
      </c>
      <c r="C1780" s="1" t="s">
        <v>704</v>
      </c>
      <c r="E1780" t="s">
        <v>225</v>
      </c>
      <c r="F1780" t="s">
        <v>305</v>
      </c>
      <c r="G1780" s="1" t="s">
        <v>3</v>
      </c>
      <c r="H1780" s="1">
        <v>553610</v>
      </c>
      <c r="I1780" t="s">
        <v>887</v>
      </c>
      <c r="J1780" s="110">
        <v>40518797</v>
      </c>
      <c r="K1780" s="4">
        <v>95831129</v>
      </c>
      <c r="L1780" s="4">
        <v>60.95</v>
      </c>
    </row>
    <row r="1781" spans="2:12" x14ac:dyDescent="0.2">
      <c r="B1781" s="749">
        <v>42623</v>
      </c>
      <c r="C1781" s="1" t="s">
        <v>704</v>
      </c>
      <c r="E1781" t="s">
        <v>225</v>
      </c>
      <c r="F1781" t="s">
        <v>305</v>
      </c>
      <c r="G1781" s="1" t="s">
        <v>3</v>
      </c>
      <c r="H1781" s="1">
        <v>553610</v>
      </c>
      <c r="I1781" t="s">
        <v>887</v>
      </c>
      <c r="J1781" s="110">
        <v>40525305</v>
      </c>
      <c r="K1781" s="4">
        <v>95912788</v>
      </c>
      <c r="L1781" s="4">
        <v>60.8</v>
      </c>
    </row>
    <row r="1782" spans="2:12" x14ac:dyDescent="0.2">
      <c r="B1782" s="749">
        <v>42623</v>
      </c>
      <c r="C1782" s="1" t="s">
        <v>704</v>
      </c>
      <c r="E1782" t="s">
        <v>225</v>
      </c>
      <c r="F1782" t="s">
        <v>305</v>
      </c>
      <c r="G1782" s="1" t="s">
        <v>3</v>
      </c>
      <c r="H1782" s="1">
        <v>553610</v>
      </c>
      <c r="I1782" t="s">
        <v>887</v>
      </c>
      <c r="J1782" s="110">
        <v>40488470</v>
      </c>
      <c r="K1782" s="4">
        <v>95391520</v>
      </c>
      <c r="L1782" s="4">
        <v>57.3</v>
      </c>
    </row>
    <row r="1783" spans="2:12" x14ac:dyDescent="0.2">
      <c r="B1783" s="749">
        <v>42623</v>
      </c>
      <c r="C1783" s="1" t="s">
        <v>704</v>
      </c>
      <c r="E1783" t="s">
        <v>225</v>
      </c>
      <c r="F1783" t="s">
        <v>305</v>
      </c>
      <c r="G1783" s="1" t="s">
        <v>3</v>
      </c>
      <c r="H1783" s="1">
        <v>553610</v>
      </c>
      <c r="I1783" t="s">
        <v>887</v>
      </c>
      <c r="J1783" s="110">
        <v>40488470</v>
      </c>
      <c r="K1783" s="4">
        <v>95636361</v>
      </c>
      <c r="L1783" s="4">
        <v>57.6</v>
      </c>
    </row>
    <row r="1784" spans="2:12" x14ac:dyDescent="0.2">
      <c r="B1784" s="749">
        <v>42623</v>
      </c>
      <c r="C1784" s="1" t="s">
        <v>704</v>
      </c>
      <c r="E1784" t="s">
        <v>225</v>
      </c>
      <c r="F1784" t="s">
        <v>305</v>
      </c>
      <c r="G1784" s="1" t="s">
        <v>3</v>
      </c>
      <c r="H1784" s="1">
        <v>553610</v>
      </c>
      <c r="I1784" t="s">
        <v>887</v>
      </c>
      <c r="J1784" s="110">
        <v>40495129</v>
      </c>
      <c r="K1784" s="4">
        <v>95828703</v>
      </c>
      <c r="L1784" s="4">
        <v>57.05</v>
      </c>
    </row>
    <row r="1785" spans="2:12" x14ac:dyDescent="0.2">
      <c r="B1785" s="749">
        <v>42623</v>
      </c>
      <c r="C1785" s="1" t="s">
        <v>704</v>
      </c>
      <c r="E1785" t="s">
        <v>225</v>
      </c>
      <c r="F1785" t="s">
        <v>305</v>
      </c>
      <c r="G1785" s="1" t="s">
        <v>3</v>
      </c>
      <c r="H1785" s="1">
        <v>553610</v>
      </c>
      <c r="I1785" t="s">
        <v>887</v>
      </c>
      <c r="J1785" s="110">
        <v>40495129</v>
      </c>
      <c r="K1785" s="4">
        <v>95644449</v>
      </c>
      <c r="L1785" s="4">
        <v>57.25</v>
      </c>
    </row>
    <row r="1786" spans="2:12" x14ac:dyDescent="0.2">
      <c r="B1786" s="749">
        <v>42623</v>
      </c>
      <c r="C1786" s="1" t="s">
        <v>704</v>
      </c>
      <c r="E1786" t="s">
        <v>225</v>
      </c>
      <c r="F1786" t="s">
        <v>305</v>
      </c>
      <c r="G1786" s="1" t="s">
        <v>3</v>
      </c>
      <c r="H1786" s="1">
        <v>553610</v>
      </c>
      <c r="I1786" t="s">
        <v>887</v>
      </c>
      <c r="J1786" s="110">
        <v>40511628</v>
      </c>
      <c r="K1786" s="4">
        <v>95150462</v>
      </c>
      <c r="L1786" s="4">
        <v>62.85</v>
      </c>
    </row>
    <row r="1787" spans="2:12" x14ac:dyDescent="0.2">
      <c r="B1787" s="749">
        <v>42623</v>
      </c>
      <c r="C1787" s="1" t="s">
        <v>704</v>
      </c>
      <c r="E1787" t="s">
        <v>225</v>
      </c>
      <c r="F1787" t="s">
        <v>305</v>
      </c>
      <c r="G1787" s="1" t="s">
        <v>3</v>
      </c>
      <c r="H1787" s="1">
        <v>553610</v>
      </c>
      <c r="I1787" t="s">
        <v>887</v>
      </c>
      <c r="J1787" s="110">
        <v>40511636</v>
      </c>
      <c r="K1787" s="4">
        <v>95362562</v>
      </c>
      <c r="L1787" s="4">
        <v>64.05</v>
      </c>
    </row>
    <row r="1788" spans="2:12" x14ac:dyDescent="0.2">
      <c r="B1788" s="749">
        <v>42623</v>
      </c>
      <c r="C1788" s="1" t="s">
        <v>704</v>
      </c>
      <c r="E1788" t="s">
        <v>225</v>
      </c>
      <c r="F1788" t="s">
        <v>305</v>
      </c>
      <c r="G1788" s="1" t="s">
        <v>3</v>
      </c>
      <c r="H1788" s="1">
        <v>553610</v>
      </c>
      <c r="I1788" t="s">
        <v>887</v>
      </c>
      <c r="J1788" s="110">
        <v>40511644</v>
      </c>
      <c r="K1788" s="4">
        <v>95375440</v>
      </c>
      <c r="L1788" s="4">
        <v>64.45</v>
      </c>
    </row>
    <row r="1789" spans="2:12" x14ac:dyDescent="0.2">
      <c r="B1789" s="749">
        <v>42623</v>
      </c>
      <c r="C1789" s="1" t="s">
        <v>704</v>
      </c>
      <c r="E1789" t="s">
        <v>225</v>
      </c>
      <c r="F1789" t="s">
        <v>305</v>
      </c>
      <c r="G1789" s="1" t="s">
        <v>3</v>
      </c>
      <c r="H1789" s="1">
        <v>553610</v>
      </c>
      <c r="I1789" t="s">
        <v>887</v>
      </c>
      <c r="J1789" s="110">
        <v>40445447</v>
      </c>
      <c r="K1789" s="4">
        <v>95621157</v>
      </c>
      <c r="L1789" s="4">
        <v>57.9</v>
      </c>
    </row>
    <row r="1790" spans="2:12" x14ac:dyDescent="0.2">
      <c r="B1790" s="749">
        <v>42623</v>
      </c>
      <c r="C1790" s="1" t="s">
        <v>704</v>
      </c>
      <c r="E1790" t="s">
        <v>225</v>
      </c>
      <c r="F1790" t="s">
        <v>305</v>
      </c>
      <c r="G1790" s="1" t="s">
        <v>3</v>
      </c>
      <c r="H1790" s="1">
        <v>553610</v>
      </c>
      <c r="I1790" t="s">
        <v>887</v>
      </c>
      <c r="J1790" s="110">
        <v>40525305</v>
      </c>
      <c r="K1790" s="4">
        <v>95830576</v>
      </c>
      <c r="L1790" s="4">
        <v>61.25</v>
      </c>
    </row>
    <row r="1791" spans="2:12" x14ac:dyDescent="0.2">
      <c r="B1791" s="749">
        <v>42623</v>
      </c>
      <c r="C1791" s="1" t="s">
        <v>704</v>
      </c>
      <c r="E1791" t="s">
        <v>225</v>
      </c>
      <c r="F1791" t="s">
        <v>305</v>
      </c>
      <c r="G1791" s="1" t="s">
        <v>3</v>
      </c>
      <c r="H1791" s="1">
        <v>553610</v>
      </c>
      <c r="I1791" t="s">
        <v>887</v>
      </c>
      <c r="J1791" s="110">
        <v>40525305</v>
      </c>
      <c r="K1791" s="4">
        <v>95616215</v>
      </c>
      <c r="L1791" s="4">
        <v>60.85</v>
      </c>
    </row>
    <row r="1792" spans="2:12" x14ac:dyDescent="0.2">
      <c r="B1792" s="749">
        <v>42623</v>
      </c>
      <c r="C1792" s="1" t="s">
        <v>704</v>
      </c>
      <c r="E1792" t="s">
        <v>225</v>
      </c>
      <c r="F1792" t="s">
        <v>305</v>
      </c>
      <c r="G1792" s="1" t="s">
        <v>3</v>
      </c>
      <c r="H1792" s="1">
        <v>553610</v>
      </c>
      <c r="I1792" t="s">
        <v>887</v>
      </c>
      <c r="J1792" s="110">
        <v>40525305</v>
      </c>
      <c r="K1792" s="4">
        <v>95614616</v>
      </c>
      <c r="L1792" s="4">
        <v>60.8</v>
      </c>
    </row>
    <row r="1793" spans="2:12" x14ac:dyDescent="0.2">
      <c r="B1793" s="749">
        <v>42623</v>
      </c>
      <c r="C1793" s="1" t="s">
        <v>704</v>
      </c>
      <c r="E1793" t="s">
        <v>225</v>
      </c>
      <c r="F1793" t="s">
        <v>305</v>
      </c>
      <c r="G1793" s="1" t="s">
        <v>3</v>
      </c>
      <c r="H1793" s="1">
        <v>553610</v>
      </c>
      <c r="I1793" t="s">
        <v>887</v>
      </c>
      <c r="J1793" s="110">
        <v>40526014</v>
      </c>
      <c r="K1793" s="4">
        <v>95651543</v>
      </c>
      <c r="L1793" s="4">
        <v>60.85</v>
      </c>
    </row>
    <row r="1794" spans="2:12" x14ac:dyDescent="0.2">
      <c r="B1794" s="749">
        <v>42623</v>
      </c>
      <c r="C1794" s="1" t="s">
        <v>704</v>
      </c>
      <c r="E1794" t="s">
        <v>225</v>
      </c>
      <c r="F1794" t="s">
        <v>305</v>
      </c>
      <c r="G1794" s="1" t="s">
        <v>3</v>
      </c>
      <c r="H1794" s="1">
        <v>553610</v>
      </c>
      <c r="I1794" t="s">
        <v>887</v>
      </c>
      <c r="J1794" s="110">
        <v>40488470</v>
      </c>
      <c r="K1794" s="4">
        <v>95493151</v>
      </c>
      <c r="L1794" s="4">
        <v>57.35</v>
      </c>
    </row>
    <row r="1795" spans="2:12" x14ac:dyDescent="0.2">
      <c r="B1795" s="749">
        <v>42623</v>
      </c>
      <c r="C1795" s="1" t="s">
        <v>704</v>
      </c>
      <c r="E1795" t="s">
        <v>225</v>
      </c>
      <c r="F1795" t="s">
        <v>305</v>
      </c>
      <c r="G1795" s="1" t="s">
        <v>3</v>
      </c>
      <c r="H1795" s="1">
        <v>553610</v>
      </c>
      <c r="I1795" t="s">
        <v>887</v>
      </c>
      <c r="J1795" s="110">
        <v>40488470</v>
      </c>
      <c r="K1795" s="4">
        <v>95352670</v>
      </c>
      <c r="L1795" s="4">
        <v>57.55</v>
      </c>
    </row>
    <row r="1796" spans="2:12" x14ac:dyDescent="0.2">
      <c r="B1796" s="749">
        <v>42623</v>
      </c>
      <c r="C1796" s="1" t="s">
        <v>622</v>
      </c>
      <c r="E1796" t="s">
        <v>225</v>
      </c>
      <c r="F1796" t="s">
        <v>305</v>
      </c>
      <c r="G1796" s="1" t="s">
        <v>3</v>
      </c>
      <c r="H1796" s="1">
        <v>552973</v>
      </c>
      <c r="I1796" t="s">
        <v>887</v>
      </c>
      <c r="J1796" s="110">
        <v>40568677</v>
      </c>
      <c r="K1796" s="4">
        <v>95018768</v>
      </c>
      <c r="L1796" s="4">
        <v>57.25</v>
      </c>
    </row>
    <row r="1797" spans="2:12" x14ac:dyDescent="0.2">
      <c r="B1797" s="749">
        <v>42623</v>
      </c>
      <c r="C1797" s="1" t="s">
        <v>622</v>
      </c>
      <c r="E1797" t="s">
        <v>225</v>
      </c>
      <c r="F1797" t="s">
        <v>305</v>
      </c>
      <c r="G1797" s="1" t="s">
        <v>3</v>
      </c>
      <c r="H1797" s="1">
        <v>552973</v>
      </c>
      <c r="I1797" t="s">
        <v>887</v>
      </c>
      <c r="J1797" s="110">
        <v>40568677</v>
      </c>
      <c r="K1797" s="4">
        <v>95366530</v>
      </c>
      <c r="L1797" s="4">
        <v>58.2</v>
      </c>
    </row>
    <row r="1798" spans="2:12" x14ac:dyDescent="0.2">
      <c r="B1798" s="749">
        <v>42623</v>
      </c>
      <c r="C1798" s="1" t="s">
        <v>622</v>
      </c>
      <c r="E1798" t="s">
        <v>225</v>
      </c>
      <c r="F1798" t="s">
        <v>305</v>
      </c>
      <c r="G1798" s="1" t="s">
        <v>3</v>
      </c>
      <c r="H1798" s="1">
        <v>552973</v>
      </c>
      <c r="I1798" t="s">
        <v>887</v>
      </c>
      <c r="J1798" s="110">
        <v>40568677</v>
      </c>
      <c r="K1798" s="4">
        <v>95377834</v>
      </c>
      <c r="L1798" s="4">
        <v>57</v>
      </c>
    </row>
    <row r="1799" spans="2:12" x14ac:dyDescent="0.2">
      <c r="B1799" s="749">
        <v>42623</v>
      </c>
      <c r="C1799" s="1" t="s">
        <v>622</v>
      </c>
      <c r="E1799" t="s">
        <v>225</v>
      </c>
      <c r="F1799" t="s">
        <v>305</v>
      </c>
      <c r="G1799" s="1" t="s">
        <v>3</v>
      </c>
      <c r="H1799" s="1">
        <v>552973</v>
      </c>
      <c r="I1799" t="s">
        <v>887</v>
      </c>
      <c r="J1799" s="110">
        <v>40568677</v>
      </c>
      <c r="K1799" s="4">
        <v>95385514</v>
      </c>
      <c r="L1799" s="4">
        <v>57.2</v>
      </c>
    </row>
    <row r="1800" spans="2:12" x14ac:dyDescent="0.2">
      <c r="B1800" s="749">
        <v>42623</v>
      </c>
      <c r="C1800" s="1" t="s">
        <v>622</v>
      </c>
      <c r="E1800" t="s">
        <v>225</v>
      </c>
      <c r="F1800" t="s">
        <v>305</v>
      </c>
      <c r="G1800" s="1" t="s">
        <v>3</v>
      </c>
      <c r="H1800" s="1">
        <v>552973</v>
      </c>
      <c r="I1800" t="s">
        <v>887</v>
      </c>
      <c r="J1800" s="110">
        <v>40569501</v>
      </c>
      <c r="K1800" s="4">
        <v>95644381</v>
      </c>
      <c r="L1800" s="4">
        <v>56.05</v>
      </c>
    </row>
    <row r="1801" spans="2:12" x14ac:dyDescent="0.2">
      <c r="B1801" s="749">
        <v>42622</v>
      </c>
      <c r="C1801" s="1" t="s">
        <v>767</v>
      </c>
      <c r="E1801" t="s">
        <v>225</v>
      </c>
      <c r="F1801" t="s">
        <v>305</v>
      </c>
      <c r="G1801" s="1" t="s">
        <v>3</v>
      </c>
      <c r="H1801" s="1">
        <v>551438</v>
      </c>
      <c r="I1801" t="s">
        <v>467</v>
      </c>
      <c r="J1801" s="110">
        <v>44118941</v>
      </c>
      <c r="K1801" s="4">
        <v>95525762</v>
      </c>
      <c r="L1801" s="4">
        <v>67</v>
      </c>
    </row>
    <row r="1802" spans="2:12" x14ac:dyDescent="0.2">
      <c r="B1802" s="749">
        <v>42622</v>
      </c>
      <c r="C1802" s="1" t="s">
        <v>767</v>
      </c>
      <c r="E1802" t="s">
        <v>225</v>
      </c>
      <c r="F1802" t="s">
        <v>305</v>
      </c>
      <c r="G1802" s="1" t="s">
        <v>3</v>
      </c>
      <c r="H1802" s="1">
        <v>551438</v>
      </c>
      <c r="I1802" t="s">
        <v>467</v>
      </c>
      <c r="J1802" s="110">
        <v>44118941</v>
      </c>
      <c r="K1802" s="4">
        <v>95830543</v>
      </c>
      <c r="L1802" s="4">
        <v>65.5</v>
      </c>
    </row>
    <row r="1803" spans="2:12" x14ac:dyDescent="0.2">
      <c r="B1803" s="749">
        <v>42622</v>
      </c>
      <c r="C1803" s="1" t="s">
        <v>767</v>
      </c>
      <c r="E1803" t="s">
        <v>225</v>
      </c>
      <c r="F1803" t="s">
        <v>305</v>
      </c>
      <c r="G1803" s="1" t="s">
        <v>3</v>
      </c>
      <c r="H1803" s="1">
        <v>551438</v>
      </c>
      <c r="I1803" t="s">
        <v>467</v>
      </c>
      <c r="J1803" s="110">
        <v>44118941</v>
      </c>
      <c r="K1803" s="4">
        <v>95538781</v>
      </c>
      <c r="L1803" s="4">
        <v>65.45</v>
      </c>
    </row>
    <row r="1804" spans="2:12" x14ac:dyDescent="0.2">
      <c r="B1804" s="749">
        <v>42622</v>
      </c>
      <c r="C1804" s="1" t="s">
        <v>767</v>
      </c>
      <c r="E1804" t="s">
        <v>225</v>
      </c>
      <c r="F1804" t="s">
        <v>305</v>
      </c>
      <c r="G1804" s="1" t="s">
        <v>3</v>
      </c>
      <c r="H1804" s="1">
        <v>551438</v>
      </c>
      <c r="I1804" t="s">
        <v>467</v>
      </c>
      <c r="J1804" s="110">
        <v>44118941</v>
      </c>
      <c r="K1804" s="4">
        <v>95829040</v>
      </c>
      <c r="L1804" s="4">
        <v>64.349999999999994</v>
      </c>
    </row>
    <row r="1805" spans="2:12" x14ac:dyDescent="0.2">
      <c r="B1805" s="749">
        <v>42622</v>
      </c>
      <c r="C1805" s="1" t="s">
        <v>767</v>
      </c>
      <c r="E1805" t="s">
        <v>225</v>
      </c>
      <c r="F1805" t="s">
        <v>305</v>
      </c>
      <c r="G1805" s="1" t="s">
        <v>3</v>
      </c>
      <c r="H1805" s="1">
        <v>551438</v>
      </c>
      <c r="I1805" t="s">
        <v>467</v>
      </c>
      <c r="J1805" s="110">
        <v>44118941</v>
      </c>
      <c r="K1805" s="4">
        <v>95271441</v>
      </c>
      <c r="L1805" s="4">
        <v>69.150000000000006</v>
      </c>
    </row>
    <row r="1806" spans="2:12" x14ac:dyDescent="0.2">
      <c r="B1806" s="749">
        <v>42622</v>
      </c>
      <c r="C1806" s="1" t="s">
        <v>767</v>
      </c>
      <c r="E1806" t="s">
        <v>225</v>
      </c>
      <c r="F1806" t="s">
        <v>305</v>
      </c>
      <c r="G1806" s="1" t="s">
        <v>3</v>
      </c>
      <c r="H1806" s="1">
        <v>551438</v>
      </c>
      <c r="I1806" t="s">
        <v>467</v>
      </c>
      <c r="J1806" s="110">
        <v>44124923</v>
      </c>
      <c r="K1806" s="4">
        <v>95541363</v>
      </c>
      <c r="L1806" s="4">
        <v>64.95</v>
      </c>
    </row>
    <row r="1807" spans="2:12" x14ac:dyDescent="0.2">
      <c r="B1807" s="749">
        <v>42622</v>
      </c>
      <c r="C1807" s="1" t="s">
        <v>767</v>
      </c>
      <c r="E1807" t="s">
        <v>225</v>
      </c>
      <c r="F1807" t="s">
        <v>305</v>
      </c>
      <c r="G1807" s="1" t="s">
        <v>3</v>
      </c>
      <c r="H1807" s="1">
        <v>551438</v>
      </c>
      <c r="I1807" t="s">
        <v>467</v>
      </c>
      <c r="J1807" s="110">
        <v>44124923</v>
      </c>
      <c r="K1807" s="4">
        <v>95543930</v>
      </c>
      <c r="L1807" s="4">
        <v>65.849999999999994</v>
      </c>
    </row>
    <row r="1808" spans="2:12" x14ac:dyDescent="0.2">
      <c r="B1808" s="749">
        <v>42622</v>
      </c>
      <c r="C1808" s="1" t="s">
        <v>767</v>
      </c>
      <c r="E1808" t="s">
        <v>225</v>
      </c>
      <c r="F1808" t="s">
        <v>305</v>
      </c>
      <c r="G1808" s="1" t="s">
        <v>3</v>
      </c>
      <c r="H1808" s="1">
        <v>551438</v>
      </c>
      <c r="I1808" t="s">
        <v>467</v>
      </c>
      <c r="J1808" s="110">
        <v>44124923</v>
      </c>
      <c r="K1808" s="4">
        <v>95369526</v>
      </c>
      <c r="L1808" s="4">
        <v>65.3</v>
      </c>
    </row>
    <row r="1809" spans="2:12" x14ac:dyDescent="0.2">
      <c r="B1809" s="749">
        <v>42622</v>
      </c>
      <c r="C1809" s="1" t="s">
        <v>767</v>
      </c>
      <c r="E1809" t="s">
        <v>225</v>
      </c>
      <c r="F1809" t="s">
        <v>305</v>
      </c>
      <c r="G1809" s="1" t="s">
        <v>3</v>
      </c>
      <c r="H1809" s="1">
        <v>551438</v>
      </c>
      <c r="I1809" t="s">
        <v>467</v>
      </c>
      <c r="J1809" s="110">
        <v>44124923</v>
      </c>
      <c r="K1809" s="4">
        <v>95348462</v>
      </c>
      <c r="L1809" s="4">
        <v>66.55</v>
      </c>
    </row>
    <row r="1810" spans="2:12" x14ac:dyDescent="0.2">
      <c r="B1810" s="749">
        <v>42622</v>
      </c>
      <c r="C1810" s="1" t="s">
        <v>767</v>
      </c>
      <c r="E1810" t="s">
        <v>225</v>
      </c>
      <c r="F1810" t="s">
        <v>305</v>
      </c>
      <c r="G1810" s="1" t="s">
        <v>3</v>
      </c>
      <c r="H1810" s="1">
        <v>551438</v>
      </c>
      <c r="I1810" t="s">
        <v>467</v>
      </c>
      <c r="J1810" s="110">
        <v>44124923</v>
      </c>
      <c r="K1810" s="4">
        <v>95388724</v>
      </c>
      <c r="L1810" s="4">
        <v>65.45</v>
      </c>
    </row>
    <row r="1811" spans="2:12" x14ac:dyDescent="0.2">
      <c r="B1811" s="749">
        <v>42622</v>
      </c>
      <c r="C1811" s="1" t="s">
        <v>712</v>
      </c>
      <c r="E1811" t="s">
        <v>225</v>
      </c>
      <c r="F1811" t="s">
        <v>305</v>
      </c>
      <c r="G1811" s="1" t="s">
        <v>3</v>
      </c>
      <c r="H1811" s="1">
        <v>553450</v>
      </c>
      <c r="I1811" t="s">
        <v>467</v>
      </c>
      <c r="J1811" s="110">
        <v>40594640</v>
      </c>
      <c r="K1811" s="4">
        <v>95615282</v>
      </c>
      <c r="L1811" s="4">
        <v>67.2</v>
      </c>
    </row>
    <row r="1812" spans="2:12" x14ac:dyDescent="0.2">
      <c r="B1812" s="749">
        <v>42622</v>
      </c>
      <c r="C1812" s="1" t="s">
        <v>712</v>
      </c>
      <c r="E1812" t="s">
        <v>225</v>
      </c>
      <c r="F1812" t="s">
        <v>305</v>
      </c>
      <c r="G1812" s="1" t="s">
        <v>3</v>
      </c>
      <c r="H1812" s="1">
        <v>553450</v>
      </c>
      <c r="I1812" t="s">
        <v>467</v>
      </c>
      <c r="J1812" s="110">
        <v>40594640</v>
      </c>
      <c r="K1812" s="4">
        <v>95352555</v>
      </c>
      <c r="L1812" s="4">
        <v>66.849999999999994</v>
      </c>
    </row>
    <row r="1813" spans="2:12" x14ac:dyDescent="0.2">
      <c r="B1813" s="749">
        <v>42622</v>
      </c>
      <c r="C1813" s="1" t="s">
        <v>712</v>
      </c>
      <c r="E1813" t="s">
        <v>225</v>
      </c>
      <c r="F1813" t="s">
        <v>305</v>
      </c>
      <c r="G1813" s="1" t="s">
        <v>3</v>
      </c>
      <c r="H1813" s="1">
        <v>553450</v>
      </c>
      <c r="I1813" t="s">
        <v>467</v>
      </c>
      <c r="J1813" s="110">
        <v>40594640</v>
      </c>
      <c r="K1813" s="4">
        <v>95544110</v>
      </c>
      <c r="L1813" s="4">
        <v>69.95</v>
      </c>
    </row>
    <row r="1814" spans="2:12" x14ac:dyDescent="0.2">
      <c r="B1814" s="749">
        <v>42622</v>
      </c>
      <c r="C1814" s="1" t="s">
        <v>934</v>
      </c>
      <c r="E1814" t="s">
        <v>225</v>
      </c>
      <c r="F1814" t="s">
        <v>305</v>
      </c>
      <c r="G1814" s="1" t="s">
        <v>3</v>
      </c>
      <c r="H1814" s="1">
        <v>553902</v>
      </c>
      <c r="I1814" t="s">
        <v>467</v>
      </c>
      <c r="J1814" s="110">
        <v>271068</v>
      </c>
      <c r="K1814" s="4" t="s">
        <v>894</v>
      </c>
      <c r="L1814" s="4">
        <v>21.96</v>
      </c>
    </row>
    <row r="1815" spans="2:12" x14ac:dyDescent="0.2">
      <c r="B1815" s="749">
        <v>42623</v>
      </c>
      <c r="C1815" s="1" t="s">
        <v>712</v>
      </c>
      <c r="E1815" t="s">
        <v>225</v>
      </c>
      <c r="F1815" t="s">
        <v>305</v>
      </c>
      <c r="G1815" s="1" t="s">
        <v>3</v>
      </c>
      <c r="H1815" s="1">
        <v>553450</v>
      </c>
      <c r="I1815" t="s">
        <v>467</v>
      </c>
      <c r="J1815" s="110">
        <v>40594640</v>
      </c>
      <c r="K1815" s="4">
        <v>95695441</v>
      </c>
      <c r="L1815" s="4">
        <v>68.3</v>
      </c>
    </row>
    <row r="1816" spans="2:12" x14ac:dyDescent="0.2">
      <c r="B1816" s="749">
        <v>42623</v>
      </c>
      <c r="C1816" s="1" t="s">
        <v>712</v>
      </c>
      <c r="E1816" t="s">
        <v>225</v>
      </c>
      <c r="F1816" t="s">
        <v>305</v>
      </c>
      <c r="G1816" s="1" t="s">
        <v>3</v>
      </c>
      <c r="H1816" s="1">
        <v>553450</v>
      </c>
      <c r="I1816" t="s">
        <v>467</v>
      </c>
      <c r="J1816" s="110">
        <v>40594640</v>
      </c>
      <c r="K1816" s="4">
        <v>95020202</v>
      </c>
      <c r="L1816" s="4">
        <v>67.8</v>
      </c>
    </row>
    <row r="1817" spans="2:12" x14ac:dyDescent="0.2">
      <c r="B1817" s="749">
        <v>42623</v>
      </c>
      <c r="C1817" s="1" t="s">
        <v>712</v>
      </c>
      <c r="E1817" t="s">
        <v>225</v>
      </c>
      <c r="F1817" t="s">
        <v>305</v>
      </c>
      <c r="G1817" s="1" t="s">
        <v>3</v>
      </c>
      <c r="H1817" s="1">
        <v>553450</v>
      </c>
      <c r="I1817" t="s">
        <v>467</v>
      </c>
      <c r="J1817" s="110">
        <v>40594640</v>
      </c>
      <c r="K1817" s="4">
        <v>95794434</v>
      </c>
      <c r="L1817" s="4">
        <v>66.95</v>
      </c>
    </row>
    <row r="1818" spans="2:12" x14ac:dyDescent="0.2">
      <c r="B1818" s="749">
        <v>42623</v>
      </c>
      <c r="C1818" s="1" t="s">
        <v>712</v>
      </c>
      <c r="E1818" t="s">
        <v>225</v>
      </c>
      <c r="F1818" t="s">
        <v>305</v>
      </c>
      <c r="G1818" s="1" t="s">
        <v>3</v>
      </c>
      <c r="H1818" s="1">
        <v>553450</v>
      </c>
      <c r="I1818" t="s">
        <v>467</v>
      </c>
      <c r="J1818" s="110">
        <v>40594640</v>
      </c>
      <c r="K1818" s="4">
        <v>95680260</v>
      </c>
      <c r="L1818" s="4">
        <v>68.75</v>
      </c>
    </row>
    <row r="1819" spans="2:12" x14ac:dyDescent="0.2">
      <c r="B1819" s="749">
        <v>42623</v>
      </c>
      <c r="C1819" s="1" t="s">
        <v>712</v>
      </c>
      <c r="E1819" t="s">
        <v>225</v>
      </c>
      <c r="F1819" t="s">
        <v>305</v>
      </c>
      <c r="G1819" s="1" t="s">
        <v>3</v>
      </c>
      <c r="H1819" s="1">
        <v>553450</v>
      </c>
      <c r="I1819" t="s">
        <v>467</v>
      </c>
      <c r="J1819" s="110">
        <v>40594640</v>
      </c>
      <c r="K1819" s="4">
        <v>95655387</v>
      </c>
      <c r="L1819" s="4">
        <v>68</v>
      </c>
    </row>
    <row r="1820" spans="2:12" x14ac:dyDescent="0.2">
      <c r="B1820" s="749">
        <v>42623</v>
      </c>
      <c r="C1820" s="1" t="s">
        <v>712</v>
      </c>
      <c r="E1820" t="s">
        <v>225</v>
      </c>
      <c r="F1820" t="s">
        <v>305</v>
      </c>
      <c r="G1820" s="1" t="s">
        <v>3</v>
      </c>
      <c r="H1820" s="1">
        <v>553450</v>
      </c>
      <c r="I1820" t="s">
        <v>467</v>
      </c>
      <c r="J1820" s="110">
        <v>40594640</v>
      </c>
      <c r="K1820" s="4">
        <v>95613303</v>
      </c>
      <c r="L1820" s="4">
        <v>68.25</v>
      </c>
    </row>
    <row r="1821" spans="2:12" x14ac:dyDescent="0.2">
      <c r="B1821" s="749">
        <v>42623</v>
      </c>
      <c r="C1821" s="1" t="s">
        <v>712</v>
      </c>
      <c r="E1821" t="s">
        <v>225</v>
      </c>
      <c r="F1821" t="s">
        <v>305</v>
      </c>
      <c r="G1821" s="1" t="s">
        <v>3</v>
      </c>
      <c r="H1821" s="1">
        <v>553450</v>
      </c>
      <c r="I1821" t="s">
        <v>467</v>
      </c>
      <c r="J1821" s="110">
        <v>40594640</v>
      </c>
      <c r="K1821" s="4">
        <v>95173589</v>
      </c>
      <c r="L1821" s="4">
        <v>69.05</v>
      </c>
    </row>
    <row r="1822" spans="2:12" x14ac:dyDescent="0.2">
      <c r="B1822" s="749">
        <v>42623</v>
      </c>
      <c r="C1822" s="1" t="s">
        <v>712</v>
      </c>
      <c r="E1822" t="s">
        <v>225</v>
      </c>
      <c r="F1822" t="s">
        <v>305</v>
      </c>
      <c r="G1822" s="1" t="s">
        <v>3</v>
      </c>
      <c r="H1822" s="1">
        <v>553450</v>
      </c>
      <c r="I1822" t="s">
        <v>467</v>
      </c>
      <c r="J1822" s="110">
        <v>40594640</v>
      </c>
      <c r="K1822" s="4">
        <v>95650529</v>
      </c>
      <c r="L1822" s="4">
        <v>66.2</v>
      </c>
    </row>
    <row r="1823" spans="2:12" x14ac:dyDescent="0.2">
      <c r="B1823" s="749">
        <v>42623</v>
      </c>
      <c r="C1823" s="1" t="s">
        <v>712</v>
      </c>
      <c r="E1823" t="s">
        <v>225</v>
      </c>
      <c r="F1823" t="s">
        <v>305</v>
      </c>
      <c r="G1823" s="1" t="s">
        <v>3</v>
      </c>
      <c r="H1823" s="1">
        <v>553450</v>
      </c>
      <c r="I1823" t="s">
        <v>467</v>
      </c>
      <c r="J1823" s="110">
        <v>40594640</v>
      </c>
      <c r="K1823" s="4">
        <v>95449617</v>
      </c>
      <c r="L1823" s="4">
        <v>67</v>
      </c>
    </row>
    <row r="1824" spans="2:12" x14ac:dyDescent="0.2">
      <c r="B1824" s="749">
        <v>42623</v>
      </c>
      <c r="C1824" s="1" t="s">
        <v>712</v>
      </c>
      <c r="E1824" t="s">
        <v>225</v>
      </c>
      <c r="F1824" t="s">
        <v>305</v>
      </c>
      <c r="G1824" s="1" t="s">
        <v>3</v>
      </c>
      <c r="H1824" s="1">
        <v>553450</v>
      </c>
      <c r="I1824" t="s">
        <v>467</v>
      </c>
      <c r="J1824" s="110">
        <v>40622698</v>
      </c>
      <c r="K1824" s="4">
        <v>95654430</v>
      </c>
      <c r="L1824" s="4">
        <v>69.75</v>
      </c>
    </row>
    <row r="1825" spans="2:12" x14ac:dyDescent="0.2">
      <c r="B1825" s="749">
        <v>42623</v>
      </c>
      <c r="C1825" s="1" t="s">
        <v>712</v>
      </c>
      <c r="E1825" t="s">
        <v>225</v>
      </c>
      <c r="F1825" t="s">
        <v>305</v>
      </c>
      <c r="G1825" s="1" t="s">
        <v>3</v>
      </c>
      <c r="H1825" s="1">
        <v>553450</v>
      </c>
      <c r="I1825" t="s">
        <v>467</v>
      </c>
      <c r="J1825" s="110">
        <v>40623100</v>
      </c>
      <c r="K1825" s="4">
        <v>95755914</v>
      </c>
      <c r="L1825" s="4">
        <v>67.25</v>
      </c>
    </row>
    <row r="1826" spans="2:12" x14ac:dyDescent="0.2">
      <c r="B1826" s="749">
        <v>42623</v>
      </c>
      <c r="C1826" s="1" t="s">
        <v>712</v>
      </c>
      <c r="E1826" t="s">
        <v>225</v>
      </c>
      <c r="F1826" t="s">
        <v>305</v>
      </c>
      <c r="G1826" s="1" t="s">
        <v>3</v>
      </c>
      <c r="H1826" s="1">
        <v>553450</v>
      </c>
      <c r="I1826" t="s">
        <v>467</v>
      </c>
      <c r="J1826" s="110">
        <v>40623100</v>
      </c>
      <c r="K1826" s="4">
        <v>95524369</v>
      </c>
      <c r="L1826" s="4">
        <v>66.3</v>
      </c>
    </row>
    <row r="1827" spans="2:12" x14ac:dyDescent="0.2">
      <c r="B1827" s="749">
        <v>42623</v>
      </c>
      <c r="C1827" s="1" t="s">
        <v>712</v>
      </c>
      <c r="E1827" t="s">
        <v>225</v>
      </c>
      <c r="F1827" t="s">
        <v>305</v>
      </c>
      <c r="G1827" s="1" t="s">
        <v>3</v>
      </c>
      <c r="H1827" s="1">
        <v>553450</v>
      </c>
      <c r="I1827" t="s">
        <v>467</v>
      </c>
      <c r="J1827" s="110">
        <v>40623100</v>
      </c>
      <c r="K1827" s="4">
        <v>95795373</v>
      </c>
      <c r="L1827" s="4">
        <v>65.95</v>
      </c>
    </row>
    <row r="1828" spans="2:12" x14ac:dyDescent="0.2">
      <c r="B1828" s="749">
        <v>42623</v>
      </c>
      <c r="C1828" s="1" t="s">
        <v>767</v>
      </c>
      <c r="E1828" t="s">
        <v>225</v>
      </c>
      <c r="F1828" t="s">
        <v>305</v>
      </c>
      <c r="G1828" s="1" t="s">
        <v>3</v>
      </c>
      <c r="H1828" s="1">
        <v>551438</v>
      </c>
      <c r="I1828" t="s">
        <v>467</v>
      </c>
      <c r="J1828" s="110">
        <v>44147684</v>
      </c>
      <c r="K1828" s="4">
        <v>95318820</v>
      </c>
      <c r="L1828" s="4">
        <v>65.5</v>
      </c>
    </row>
    <row r="1829" spans="2:12" x14ac:dyDescent="0.2">
      <c r="B1829" s="749">
        <v>42623</v>
      </c>
      <c r="C1829" s="1" t="s">
        <v>767</v>
      </c>
      <c r="E1829" t="s">
        <v>225</v>
      </c>
      <c r="F1829" t="s">
        <v>305</v>
      </c>
      <c r="G1829" s="1" t="s">
        <v>3</v>
      </c>
      <c r="H1829" s="1">
        <v>551438</v>
      </c>
      <c r="I1829" t="s">
        <v>467</v>
      </c>
      <c r="J1829" s="110">
        <v>44147684</v>
      </c>
      <c r="K1829" s="4">
        <v>95450359</v>
      </c>
      <c r="L1829" s="4">
        <v>64.5</v>
      </c>
    </row>
    <row r="1830" spans="2:12" x14ac:dyDescent="0.2">
      <c r="B1830" s="749">
        <v>42623</v>
      </c>
      <c r="C1830" s="1" t="s">
        <v>712</v>
      </c>
      <c r="E1830" t="s">
        <v>225</v>
      </c>
      <c r="F1830" t="s">
        <v>305</v>
      </c>
      <c r="G1830" s="1" t="s">
        <v>3</v>
      </c>
      <c r="H1830" s="1">
        <v>553450</v>
      </c>
      <c r="I1830" t="s">
        <v>467</v>
      </c>
      <c r="J1830" s="110">
        <v>40623100</v>
      </c>
      <c r="K1830" s="4">
        <v>95751608</v>
      </c>
      <c r="L1830" s="4">
        <v>67.75</v>
      </c>
    </row>
    <row r="1831" spans="2:12" x14ac:dyDescent="0.2">
      <c r="B1831" s="749">
        <v>42623</v>
      </c>
      <c r="C1831" s="1" t="s">
        <v>712</v>
      </c>
      <c r="E1831" t="s">
        <v>225</v>
      </c>
      <c r="F1831" t="s">
        <v>305</v>
      </c>
      <c r="G1831" s="1" t="s">
        <v>3</v>
      </c>
      <c r="H1831" s="1">
        <v>553450</v>
      </c>
      <c r="I1831" t="s">
        <v>467</v>
      </c>
      <c r="J1831" s="110">
        <v>40623100</v>
      </c>
      <c r="K1831" s="4">
        <v>95370664</v>
      </c>
      <c r="L1831" s="4">
        <v>67.25</v>
      </c>
    </row>
    <row r="1832" spans="2:12" x14ac:dyDescent="0.2">
      <c r="B1832" s="749">
        <v>42623</v>
      </c>
      <c r="C1832" s="1" t="s">
        <v>712</v>
      </c>
      <c r="E1832" t="s">
        <v>225</v>
      </c>
      <c r="F1832" t="s">
        <v>305</v>
      </c>
      <c r="G1832" s="1" t="s">
        <v>3</v>
      </c>
      <c r="H1832" s="1">
        <v>553450</v>
      </c>
      <c r="I1832" t="s">
        <v>467</v>
      </c>
      <c r="J1832" s="110">
        <v>40623100</v>
      </c>
      <c r="K1832" s="4">
        <v>95539003</v>
      </c>
      <c r="L1832" s="4">
        <v>66.650000000000006</v>
      </c>
    </row>
    <row r="1833" spans="2:12" x14ac:dyDescent="0.2">
      <c r="B1833" s="749">
        <v>42623</v>
      </c>
      <c r="C1833" s="1" t="s">
        <v>707</v>
      </c>
      <c r="E1833" t="s">
        <v>225</v>
      </c>
      <c r="F1833" t="s">
        <v>305</v>
      </c>
      <c r="G1833" s="1" t="s">
        <v>3</v>
      </c>
      <c r="H1833" s="1">
        <v>553496</v>
      </c>
      <c r="I1833" t="s">
        <v>467</v>
      </c>
      <c r="J1833" s="110">
        <v>600634</v>
      </c>
      <c r="K1833" s="4" t="s">
        <v>913</v>
      </c>
      <c r="L1833" s="4">
        <v>25.6</v>
      </c>
    </row>
    <row r="1834" spans="2:12" x14ac:dyDescent="0.2">
      <c r="B1834" s="749">
        <v>42624</v>
      </c>
      <c r="C1834" s="1" t="s">
        <v>712</v>
      </c>
      <c r="E1834" t="s">
        <v>225</v>
      </c>
      <c r="F1834" t="s">
        <v>305</v>
      </c>
      <c r="G1834" s="1" t="s">
        <v>3</v>
      </c>
      <c r="H1834" s="1">
        <v>553450</v>
      </c>
      <c r="I1834" t="s">
        <v>467</v>
      </c>
      <c r="J1834" s="110">
        <v>40622698</v>
      </c>
      <c r="K1834" s="4">
        <v>95532628</v>
      </c>
      <c r="L1834" s="4">
        <v>68.3</v>
      </c>
    </row>
    <row r="1835" spans="2:12" x14ac:dyDescent="0.2">
      <c r="B1835" s="749">
        <v>42624</v>
      </c>
      <c r="C1835" s="1" t="s">
        <v>712</v>
      </c>
      <c r="E1835" t="s">
        <v>225</v>
      </c>
      <c r="F1835" t="s">
        <v>305</v>
      </c>
      <c r="G1835" s="1" t="s">
        <v>3</v>
      </c>
      <c r="H1835" s="1">
        <v>553450</v>
      </c>
      <c r="I1835" t="s">
        <v>467</v>
      </c>
      <c r="J1835" s="110">
        <v>40622698</v>
      </c>
      <c r="K1835" s="4">
        <v>95752481</v>
      </c>
      <c r="L1835" s="4">
        <v>67.75</v>
      </c>
    </row>
    <row r="1836" spans="2:12" x14ac:dyDescent="0.2">
      <c r="B1836" s="749">
        <v>42624</v>
      </c>
      <c r="C1836" s="1" t="s">
        <v>712</v>
      </c>
      <c r="E1836" t="s">
        <v>225</v>
      </c>
      <c r="F1836" t="s">
        <v>305</v>
      </c>
      <c r="G1836" s="1" t="s">
        <v>3</v>
      </c>
      <c r="H1836" s="1">
        <v>553450</v>
      </c>
      <c r="I1836" t="s">
        <v>467</v>
      </c>
      <c r="J1836" s="110">
        <v>40622698</v>
      </c>
      <c r="K1836" s="4">
        <v>95492526</v>
      </c>
      <c r="L1836" s="4">
        <v>69.5</v>
      </c>
    </row>
    <row r="1837" spans="2:12" x14ac:dyDescent="0.2">
      <c r="B1837" s="749">
        <v>42624</v>
      </c>
      <c r="C1837" s="1" t="s">
        <v>712</v>
      </c>
      <c r="E1837" t="s">
        <v>225</v>
      </c>
      <c r="F1837" t="s">
        <v>305</v>
      </c>
      <c r="G1837" s="1" t="s">
        <v>3</v>
      </c>
      <c r="H1837" s="1">
        <v>553450</v>
      </c>
      <c r="I1837" t="s">
        <v>467</v>
      </c>
      <c r="J1837" s="110">
        <v>40623100</v>
      </c>
      <c r="K1837" s="4">
        <v>95796132</v>
      </c>
      <c r="L1837" s="4">
        <v>67.55</v>
      </c>
    </row>
    <row r="1838" spans="2:12" x14ac:dyDescent="0.2">
      <c r="B1838" s="749">
        <v>42624</v>
      </c>
      <c r="C1838" s="1" t="s">
        <v>712</v>
      </c>
      <c r="E1838" t="s">
        <v>225</v>
      </c>
      <c r="F1838" t="s">
        <v>305</v>
      </c>
      <c r="G1838" s="1" t="s">
        <v>3</v>
      </c>
      <c r="H1838" s="1">
        <v>553450</v>
      </c>
      <c r="I1838" t="s">
        <v>467</v>
      </c>
      <c r="J1838" s="110">
        <v>40623100</v>
      </c>
      <c r="K1838" s="4">
        <v>95396453</v>
      </c>
      <c r="L1838" s="4">
        <v>63.7</v>
      </c>
    </row>
    <row r="1839" spans="2:12" x14ac:dyDescent="0.2">
      <c r="B1839" s="749">
        <v>42624</v>
      </c>
      <c r="C1839" s="1" t="s">
        <v>767</v>
      </c>
      <c r="E1839" t="s">
        <v>225</v>
      </c>
      <c r="F1839" t="s">
        <v>305</v>
      </c>
      <c r="G1839" s="1" t="s">
        <v>3</v>
      </c>
      <c r="H1839" s="1">
        <v>551438</v>
      </c>
      <c r="I1839" t="s">
        <v>467</v>
      </c>
      <c r="J1839" s="110">
        <v>44156057</v>
      </c>
      <c r="K1839" s="4">
        <v>95539359</v>
      </c>
      <c r="L1839" s="4">
        <v>66.05</v>
      </c>
    </row>
    <row r="1840" spans="2:12" x14ac:dyDescent="0.2">
      <c r="B1840" s="749">
        <v>42624</v>
      </c>
      <c r="C1840" s="1" t="s">
        <v>767</v>
      </c>
      <c r="E1840" t="s">
        <v>225</v>
      </c>
      <c r="F1840" t="s">
        <v>305</v>
      </c>
      <c r="G1840" s="1" t="s">
        <v>3</v>
      </c>
      <c r="H1840" s="1">
        <v>551438</v>
      </c>
      <c r="I1840" t="s">
        <v>467</v>
      </c>
      <c r="J1840" s="110">
        <v>44147684</v>
      </c>
      <c r="K1840" s="4">
        <v>95349056</v>
      </c>
      <c r="L1840" s="4">
        <v>67.7</v>
      </c>
    </row>
    <row r="1841" spans="2:12" x14ac:dyDescent="0.2">
      <c r="B1841" s="749">
        <v>42624</v>
      </c>
      <c r="C1841" s="1" t="s">
        <v>767</v>
      </c>
      <c r="E1841" t="s">
        <v>225</v>
      </c>
      <c r="F1841" t="s">
        <v>305</v>
      </c>
      <c r="G1841" s="1" t="s">
        <v>3</v>
      </c>
      <c r="H1841" s="1">
        <v>551438</v>
      </c>
      <c r="I1841" t="s">
        <v>467</v>
      </c>
      <c r="J1841" s="110">
        <v>44147684</v>
      </c>
      <c r="K1841" s="4">
        <v>95538450</v>
      </c>
      <c r="L1841" s="4">
        <v>67.650000000000006</v>
      </c>
    </row>
    <row r="1842" spans="2:12" x14ac:dyDescent="0.2">
      <c r="B1842" s="749">
        <v>42624</v>
      </c>
      <c r="C1842" s="1" t="s">
        <v>767</v>
      </c>
      <c r="E1842" t="s">
        <v>225</v>
      </c>
      <c r="F1842" t="s">
        <v>305</v>
      </c>
      <c r="G1842" s="1" t="s">
        <v>3</v>
      </c>
      <c r="H1842" s="1">
        <v>551438</v>
      </c>
      <c r="I1842" t="s">
        <v>467</v>
      </c>
      <c r="J1842" s="110">
        <v>44147684</v>
      </c>
      <c r="K1842" s="4">
        <v>95630208</v>
      </c>
      <c r="L1842" s="4">
        <v>68.3</v>
      </c>
    </row>
    <row r="1843" spans="2:12" x14ac:dyDescent="0.2">
      <c r="B1843" s="749">
        <v>42624</v>
      </c>
      <c r="C1843" s="1" t="s">
        <v>767</v>
      </c>
      <c r="E1843" t="s">
        <v>225</v>
      </c>
      <c r="F1843" t="s">
        <v>305</v>
      </c>
      <c r="G1843" s="1" t="s">
        <v>3</v>
      </c>
      <c r="H1843" s="1">
        <v>551438</v>
      </c>
      <c r="I1843" t="s">
        <v>467</v>
      </c>
      <c r="J1843" s="110">
        <v>44147684</v>
      </c>
      <c r="K1843" s="4">
        <v>95648861</v>
      </c>
      <c r="L1843" s="4">
        <v>66.3</v>
      </c>
    </row>
    <row r="1844" spans="2:12" x14ac:dyDescent="0.2">
      <c r="B1844" s="749">
        <v>42624</v>
      </c>
      <c r="C1844" s="1" t="s">
        <v>712</v>
      </c>
      <c r="E1844" t="s">
        <v>225</v>
      </c>
      <c r="F1844" t="s">
        <v>305</v>
      </c>
      <c r="G1844" s="1" t="s">
        <v>3</v>
      </c>
      <c r="H1844" s="1">
        <v>553450</v>
      </c>
      <c r="I1844" t="s">
        <v>467</v>
      </c>
      <c r="J1844" s="110">
        <v>40622698</v>
      </c>
      <c r="K1844" s="4">
        <v>95669131</v>
      </c>
      <c r="L1844" s="4">
        <v>64</v>
      </c>
    </row>
    <row r="1845" spans="2:12" x14ac:dyDescent="0.2">
      <c r="B1845" s="749">
        <v>42624</v>
      </c>
      <c r="C1845" s="1" t="s">
        <v>712</v>
      </c>
      <c r="E1845" t="s">
        <v>225</v>
      </c>
      <c r="F1845" t="s">
        <v>305</v>
      </c>
      <c r="G1845" s="1" t="s">
        <v>3</v>
      </c>
      <c r="H1845" s="1">
        <v>553450</v>
      </c>
      <c r="I1845" t="s">
        <v>467</v>
      </c>
      <c r="J1845" s="110">
        <v>40622698</v>
      </c>
      <c r="K1845" s="4">
        <v>95734448</v>
      </c>
      <c r="L1845" s="4">
        <v>64.05</v>
      </c>
    </row>
    <row r="1846" spans="2:12" x14ac:dyDescent="0.2">
      <c r="B1846" s="749">
        <v>42624</v>
      </c>
      <c r="C1846" s="1" t="s">
        <v>712</v>
      </c>
      <c r="E1846" t="s">
        <v>225</v>
      </c>
      <c r="F1846" t="s">
        <v>305</v>
      </c>
      <c r="G1846" s="1" t="s">
        <v>3</v>
      </c>
      <c r="H1846" s="1">
        <v>553450</v>
      </c>
      <c r="I1846" t="s">
        <v>467</v>
      </c>
      <c r="J1846" s="110">
        <v>40622698</v>
      </c>
      <c r="K1846" s="4">
        <v>95620076</v>
      </c>
      <c r="L1846" s="4">
        <v>66.05</v>
      </c>
    </row>
    <row r="1847" spans="2:12" x14ac:dyDescent="0.2">
      <c r="B1847" s="749">
        <v>42624</v>
      </c>
      <c r="C1847" s="1" t="s">
        <v>767</v>
      </c>
      <c r="E1847" t="s">
        <v>225</v>
      </c>
      <c r="F1847" t="s">
        <v>305</v>
      </c>
      <c r="G1847" s="1" t="s">
        <v>3</v>
      </c>
      <c r="H1847" s="1">
        <v>551438</v>
      </c>
      <c r="I1847" t="s">
        <v>467</v>
      </c>
      <c r="J1847" s="110">
        <v>44153153</v>
      </c>
      <c r="K1847" s="4">
        <v>95310538</v>
      </c>
      <c r="L1847" s="4">
        <v>61.45</v>
      </c>
    </row>
    <row r="1848" spans="2:12" x14ac:dyDescent="0.2">
      <c r="B1848" s="749">
        <v>42624</v>
      </c>
      <c r="C1848" s="1" t="s">
        <v>767</v>
      </c>
      <c r="E1848" t="s">
        <v>225</v>
      </c>
      <c r="F1848" t="s">
        <v>305</v>
      </c>
      <c r="G1848" s="1" t="s">
        <v>3</v>
      </c>
      <c r="H1848" s="1">
        <v>551438</v>
      </c>
      <c r="I1848" t="s">
        <v>467</v>
      </c>
      <c r="J1848" s="110">
        <v>44153153</v>
      </c>
      <c r="K1848" s="4">
        <v>95371571</v>
      </c>
      <c r="L1848" s="4">
        <v>66.8</v>
      </c>
    </row>
    <row r="1849" spans="2:12" x14ac:dyDescent="0.2">
      <c r="B1849" s="749">
        <v>42624</v>
      </c>
      <c r="C1849" s="1" t="s">
        <v>767</v>
      </c>
      <c r="E1849" t="s">
        <v>225</v>
      </c>
      <c r="F1849" t="s">
        <v>305</v>
      </c>
      <c r="G1849" s="1" t="s">
        <v>3</v>
      </c>
      <c r="H1849" s="1">
        <v>551438</v>
      </c>
      <c r="I1849" t="s">
        <v>467</v>
      </c>
      <c r="J1849" s="110">
        <v>44153153</v>
      </c>
      <c r="K1849" s="4">
        <v>95325957</v>
      </c>
      <c r="L1849" s="4">
        <v>67.25</v>
      </c>
    </row>
    <row r="1850" spans="2:12" x14ac:dyDescent="0.2">
      <c r="B1850" s="749">
        <v>42624</v>
      </c>
      <c r="C1850" s="1" t="s">
        <v>767</v>
      </c>
      <c r="E1850" t="s">
        <v>225</v>
      </c>
      <c r="F1850" t="s">
        <v>305</v>
      </c>
      <c r="G1850" s="1" t="s">
        <v>3</v>
      </c>
      <c r="H1850" s="1">
        <v>551438</v>
      </c>
      <c r="I1850" t="s">
        <v>467</v>
      </c>
      <c r="J1850" s="110">
        <v>44153153</v>
      </c>
      <c r="K1850" s="4">
        <v>95354783</v>
      </c>
      <c r="L1850" s="4">
        <v>64.25</v>
      </c>
    </row>
    <row r="1851" spans="2:12" x14ac:dyDescent="0.2">
      <c r="B1851" s="749">
        <v>42624</v>
      </c>
      <c r="C1851" s="1" t="s">
        <v>767</v>
      </c>
      <c r="E1851" t="s">
        <v>225</v>
      </c>
      <c r="F1851" t="s">
        <v>305</v>
      </c>
      <c r="G1851" s="1" t="s">
        <v>3</v>
      </c>
      <c r="H1851" s="1">
        <v>551438</v>
      </c>
      <c r="I1851" t="s">
        <v>467</v>
      </c>
      <c r="J1851" s="110">
        <v>44153153</v>
      </c>
      <c r="K1851" s="4">
        <v>95793022</v>
      </c>
      <c r="L1851" s="4">
        <v>65.95</v>
      </c>
    </row>
    <row r="1852" spans="2:12" x14ac:dyDescent="0.2">
      <c r="B1852" s="749">
        <v>42624</v>
      </c>
      <c r="C1852" s="1" t="s">
        <v>767</v>
      </c>
      <c r="E1852" t="s">
        <v>225</v>
      </c>
      <c r="F1852" t="s">
        <v>305</v>
      </c>
      <c r="G1852" s="1" t="s">
        <v>3</v>
      </c>
      <c r="H1852" s="1">
        <v>551438</v>
      </c>
      <c r="I1852" t="s">
        <v>467</v>
      </c>
      <c r="J1852" s="110">
        <v>44153153</v>
      </c>
      <c r="K1852" s="4">
        <v>95758033</v>
      </c>
      <c r="L1852" s="4">
        <v>62.55</v>
      </c>
    </row>
    <row r="1853" spans="2:12" x14ac:dyDescent="0.2">
      <c r="B1853" s="749">
        <v>42624</v>
      </c>
      <c r="C1853" s="1" t="s">
        <v>767</v>
      </c>
      <c r="E1853" t="s">
        <v>225</v>
      </c>
      <c r="F1853" t="s">
        <v>305</v>
      </c>
      <c r="G1853" s="1" t="s">
        <v>3</v>
      </c>
      <c r="H1853" s="1">
        <v>551438</v>
      </c>
      <c r="I1853" t="s">
        <v>467</v>
      </c>
      <c r="J1853" s="110">
        <v>44156057</v>
      </c>
      <c r="K1853" s="4">
        <v>95691788</v>
      </c>
      <c r="L1853" s="4">
        <v>66.150000000000006</v>
      </c>
    </row>
    <row r="1854" spans="2:12" x14ac:dyDescent="0.2">
      <c r="B1854" s="749">
        <v>42624</v>
      </c>
      <c r="C1854" s="1" t="s">
        <v>495</v>
      </c>
      <c r="E1854" t="s">
        <v>225</v>
      </c>
      <c r="F1854" t="s">
        <v>305</v>
      </c>
      <c r="G1854" s="1" t="s">
        <v>3</v>
      </c>
      <c r="H1854" s="1">
        <v>552936</v>
      </c>
      <c r="I1854" t="s">
        <v>467</v>
      </c>
      <c r="J1854" s="110">
        <v>47856513</v>
      </c>
      <c r="K1854" s="4">
        <v>95377909</v>
      </c>
      <c r="L1854" s="4">
        <v>69.55</v>
      </c>
    </row>
    <row r="1855" spans="2:12" x14ac:dyDescent="0.2">
      <c r="B1855" s="749">
        <v>42624</v>
      </c>
      <c r="C1855" s="1" t="s">
        <v>495</v>
      </c>
      <c r="E1855" t="s">
        <v>225</v>
      </c>
      <c r="F1855" t="s">
        <v>305</v>
      </c>
      <c r="G1855" s="1" t="s">
        <v>3</v>
      </c>
      <c r="H1855" s="1">
        <v>552936</v>
      </c>
      <c r="I1855" t="s">
        <v>467</v>
      </c>
      <c r="J1855" s="110">
        <v>47856513</v>
      </c>
      <c r="K1855" s="4">
        <v>95669073</v>
      </c>
      <c r="L1855" s="4">
        <v>70.2</v>
      </c>
    </row>
    <row r="1856" spans="2:12" x14ac:dyDescent="0.2">
      <c r="B1856" s="749">
        <v>42624</v>
      </c>
      <c r="C1856" s="1" t="s">
        <v>495</v>
      </c>
      <c r="E1856" t="s">
        <v>225</v>
      </c>
      <c r="F1856" t="s">
        <v>305</v>
      </c>
      <c r="G1856" s="1" t="s">
        <v>3</v>
      </c>
      <c r="H1856" s="1">
        <v>552936</v>
      </c>
      <c r="I1856" t="s">
        <v>467</v>
      </c>
      <c r="J1856" s="110">
        <v>47856513</v>
      </c>
      <c r="K1856" s="4">
        <v>95531828</v>
      </c>
      <c r="L1856" s="4">
        <v>69.400000000000006</v>
      </c>
    </row>
    <row r="1857" spans="2:12" x14ac:dyDescent="0.2">
      <c r="B1857" s="749">
        <v>42624</v>
      </c>
      <c r="C1857" s="1" t="s">
        <v>495</v>
      </c>
      <c r="E1857" t="s">
        <v>225</v>
      </c>
      <c r="F1857" t="s">
        <v>305</v>
      </c>
      <c r="G1857" s="1" t="s">
        <v>3</v>
      </c>
      <c r="H1857" s="1">
        <v>552936</v>
      </c>
      <c r="I1857" t="s">
        <v>467</v>
      </c>
      <c r="J1857" s="110">
        <v>47856513</v>
      </c>
      <c r="K1857" s="4">
        <v>95392775</v>
      </c>
      <c r="L1857" s="4">
        <v>69.75</v>
      </c>
    </row>
    <row r="1858" spans="2:12" x14ac:dyDescent="0.2">
      <c r="B1858" s="749">
        <v>42624</v>
      </c>
      <c r="C1858" s="1" t="s">
        <v>495</v>
      </c>
      <c r="E1858" t="s">
        <v>225</v>
      </c>
      <c r="F1858" t="s">
        <v>305</v>
      </c>
      <c r="G1858" s="1" t="s">
        <v>3</v>
      </c>
      <c r="H1858" s="1">
        <v>552936</v>
      </c>
      <c r="I1858" t="s">
        <v>467</v>
      </c>
      <c r="J1858" s="110">
        <v>47856513</v>
      </c>
      <c r="K1858" s="4">
        <v>95351375</v>
      </c>
      <c r="L1858" s="4">
        <v>69.55</v>
      </c>
    </row>
    <row r="1859" spans="2:12" x14ac:dyDescent="0.2">
      <c r="B1859" s="749">
        <v>42624</v>
      </c>
      <c r="C1859" s="1" t="s">
        <v>495</v>
      </c>
      <c r="E1859" t="s">
        <v>225</v>
      </c>
      <c r="F1859" t="s">
        <v>305</v>
      </c>
      <c r="G1859" s="1" t="s">
        <v>3</v>
      </c>
      <c r="H1859" s="1">
        <v>552936</v>
      </c>
      <c r="I1859" t="s">
        <v>467</v>
      </c>
      <c r="J1859" s="110">
        <v>47856513</v>
      </c>
      <c r="K1859" s="4">
        <v>95711586</v>
      </c>
      <c r="L1859" s="4">
        <v>69.150000000000006</v>
      </c>
    </row>
    <row r="1860" spans="2:12" x14ac:dyDescent="0.2">
      <c r="B1860" s="749">
        <v>42624</v>
      </c>
      <c r="C1860" s="1" t="s">
        <v>495</v>
      </c>
      <c r="E1860" t="s">
        <v>225</v>
      </c>
      <c r="F1860" t="s">
        <v>305</v>
      </c>
      <c r="G1860" s="1" t="s">
        <v>3</v>
      </c>
      <c r="H1860" s="1">
        <v>552936</v>
      </c>
      <c r="I1860" t="s">
        <v>467</v>
      </c>
      <c r="J1860" s="110">
        <v>50737600</v>
      </c>
      <c r="K1860" s="4">
        <v>95530259</v>
      </c>
      <c r="L1860" s="4">
        <v>69.95</v>
      </c>
    </row>
    <row r="1861" spans="2:12" x14ac:dyDescent="0.2">
      <c r="B1861" s="749">
        <v>42624</v>
      </c>
      <c r="C1861" s="1" t="s">
        <v>495</v>
      </c>
      <c r="E1861" t="s">
        <v>225</v>
      </c>
      <c r="F1861" t="s">
        <v>305</v>
      </c>
      <c r="G1861" s="1" t="s">
        <v>3</v>
      </c>
      <c r="H1861" s="1">
        <v>552936</v>
      </c>
      <c r="I1861" t="s">
        <v>467</v>
      </c>
      <c r="J1861" s="110">
        <v>50730415</v>
      </c>
      <c r="K1861" s="4">
        <v>95531430</v>
      </c>
      <c r="L1861" s="4">
        <v>69.7</v>
      </c>
    </row>
    <row r="1862" spans="2:12" x14ac:dyDescent="0.2">
      <c r="B1862" s="749">
        <v>42624</v>
      </c>
      <c r="C1862" s="1" t="s">
        <v>495</v>
      </c>
      <c r="E1862" t="s">
        <v>225</v>
      </c>
      <c r="F1862" t="s">
        <v>305</v>
      </c>
      <c r="G1862" s="1" t="s">
        <v>3</v>
      </c>
      <c r="H1862" s="1">
        <v>552936</v>
      </c>
      <c r="I1862" t="s">
        <v>467</v>
      </c>
      <c r="J1862" s="110">
        <v>50759273</v>
      </c>
      <c r="K1862" s="4">
        <v>95377453</v>
      </c>
      <c r="L1862" s="4">
        <v>69.75</v>
      </c>
    </row>
    <row r="1863" spans="2:12" x14ac:dyDescent="0.2">
      <c r="B1863" s="749">
        <v>42624</v>
      </c>
      <c r="C1863" s="1" t="s">
        <v>495</v>
      </c>
      <c r="E1863" t="s">
        <v>225</v>
      </c>
      <c r="F1863" t="s">
        <v>305</v>
      </c>
      <c r="G1863" s="1" t="s">
        <v>3</v>
      </c>
      <c r="H1863" s="1">
        <v>552936</v>
      </c>
      <c r="I1863" t="s">
        <v>467</v>
      </c>
      <c r="J1863" s="110">
        <v>50759273</v>
      </c>
      <c r="K1863" s="4">
        <v>95492815</v>
      </c>
      <c r="L1863" s="4">
        <v>69.95</v>
      </c>
    </row>
    <row r="1864" spans="2:12" x14ac:dyDescent="0.2">
      <c r="B1864" s="749">
        <v>42624</v>
      </c>
      <c r="C1864" s="1" t="s">
        <v>495</v>
      </c>
      <c r="E1864" t="s">
        <v>225</v>
      </c>
      <c r="F1864" t="s">
        <v>305</v>
      </c>
      <c r="G1864" s="1" t="s">
        <v>3</v>
      </c>
      <c r="H1864" s="1">
        <v>552936</v>
      </c>
      <c r="I1864" t="s">
        <v>467</v>
      </c>
      <c r="J1864" s="110">
        <v>50759273</v>
      </c>
      <c r="K1864" s="4">
        <v>95680914</v>
      </c>
      <c r="L1864" s="4">
        <v>69.75</v>
      </c>
    </row>
    <row r="1865" spans="2:12" x14ac:dyDescent="0.2">
      <c r="B1865" s="749">
        <v>42625</v>
      </c>
      <c r="C1865" s="1" t="s">
        <v>707</v>
      </c>
      <c r="E1865" t="s">
        <v>225</v>
      </c>
      <c r="F1865" t="s">
        <v>305</v>
      </c>
      <c r="G1865" s="1" t="s">
        <v>3</v>
      </c>
      <c r="H1865" s="1">
        <v>553496</v>
      </c>
      <c r="I1865" t="s">
        <v>467</v>
      </c>
      <c r="J1865" s="110">
        <v>600635</v>
      </c>
      <c r="K1865" s="4" t="s">
        <v>913</v>
      </c>
      <c r="L1865" s="4">
        <v>15.46</v>
      </c>
    </row>
    <row r="1866" spans="2:12" x14ac:dyDescent="0.2">
      <c r="B1866" s="749">
        <v>42625</v>
      </c>
      <c r="C1866" s="1" t="s">
        <v>914</v>
      </c>
      <c r="E1866" t="s">
        <v>225</v>
      </c>
      <c r="F1866" t="s">
        <v>305</v>
      </c>
      <c r="G1866" s="1" t="s">
        <v>3</v>
      </c>
      <c r="H1866" s="1">
        <v>553932</v>
      </c>
      <c r="I1866" t="s">
        <v>467</v>
      </c>
      <c r="J1866" s="110">
        <v>40542102</v>
      </c>
      <c r="K1866" s="4">
        <v>95712089</v>
      </c>
      <c r="L1866" s="4">
        <v>69.900000000000006</v>
      </c>
    </row>
    <row r="1867" spans="2:12" x14ac:dyDescent="0.2">
      <c r="B1867" s="749">
        <v>42625</v>
      </c>
      <c r="C1867" s="1" t="s">
        <v>914</v>
      </c>
      <c r="E1867" t="s">
        <v>225</v>
      </c>
      <c r="F1867" t="s">
        <v>305</v>
      </c>
      <c r="G1867" s="1" t="s">
        <v>3</v>
      </c>
      <c r="H1867" s="1">
        <v>553932</v>
      </c>
      <c r="I1867" t="s">
        <v>467</v>
      </c>
      <c r="J1867" s="110">
        <v>40542102</v>
      </c>
      <c r="K1867" s="4">
        <v>95613253</v>
      </c>
      <c r="L1867" s="4">
        <v>69.849999999999994</v>
      </c>
    </row>
    <row r="1868" spans="2:12" x14ac:dyDescent="0.2">
      <c r="B1868" s="749">
        <v>42625</v>
      </c>
      <c r="C1868" s="1" t="s">
        <v>914</v>
      </c>
      <c r="E1868" t="s">
        <v>225</v>
      </c>
      <c r="F1868" t="s">
        <v>305</v>
      </c>
      <c r="G1868" s="1" t="s">
        <v>3</v>
      </c>
      <c r="H1868" s="1">
        <v>553932</v>
      </c>
      <c r="I1868" t="s">
        <v>467</v>
      </c>
      <c r="J1868" s="110">
        <v>40542102</v>
      </c>
      <c r="K1868" s="4">
        <v>95292710</v>
      </c>
      <c r="L1868" s="4">
        <v>69.5</v>
      </c>
    </row>
    <row r="1869" spans="2:12" x14ac:dyDescent="0.2">
      <c r="B1869" s="749">
        <v>42625</v>
      </c>
      <c r="C1869" s="1" t="s">
        <v>914</v>
      </c>
      <c r="E1869" t="s">
        <v>225</v>
      </c>
      <c r="F1869" t="s">
        <v>305</v>
      </c>
      <c r="G1869" s="1" t="s">
        <v>3</v>
      </c>
      <c r="H1869" s="1">
        <v>553932</v>
      </c>
      <c r="I1869" t="s">
        <v>467</v>
      </c>
      <c r="J1869" s="110">
        <v>40543803</v>
      </c>
      <c r="K1869" s="4">
        <v>95454989</v>
      </c>
      <c r="L1869" s="4">
        <v>69.849999999999994</v>
      </c>
    </row>
    <row r="1870" spans="2:12" x14ac:dyDescent="0.2">
      <c r="B1870" s="749">
        <v>42625</v>
      </c>
      <c r="C1870" s="1" t="s">
        <v>914</v>
      </c>
      <c r="E1870" t="s">
        <v>225</v>
      </c>
      <c r="F1870" t="s">
        <v>305</v>
      </c>
      <c r="G1870" s="1" t="s">
        <v>3</v>
      </c>
      <c r="H1870" s="1">
        <v>553932</v>
      </c>
      <c r="I1870" t="s">
        <v>467</v>
      </c>
      <c r="J1870" s="110">
        <v>40543803</v>
      </c>
      <c r="K1870" s="4">
        <v>95328878</v>
      </c>
      <c r="L1870" s="4">
        <v>69.75</v>
      </c>
    </row>
    <row r="1871" spans="2:12" x14ac:dyDescent="0.2">
      <c r="B1871" s="749">
        <v>42625</v>
      </c>
      <c r="C1871" s="1" t="s">
        <v>914</v>
      </c>
      <c r="E1871" t="s">
        <v>225</v>
      </c>
      <c r="F1871" t="s">
        <v>305</v>
      </c>
      <c r="G1871" s="1" t="s">
        <v>3</v>
      </c>
      <c r="H1871" s="1">
        <v>553932</v>
      </c>
      <c r="I1871" t="s">
        <v>467</v>
      </c>
      <c r="J1871" s="110">
        <v>40543803</v>
      </c>
      <c r="K1871" s="4">
        <v>95792966</v>
      </c>
      <c r="L1871" s="4">
        <v>69.55</v>
      </c>
    </row>
    <row r="1872" spans="2:12" x14ac:dyDescent="0.2">
      <c r="B1872" s="749">
        <v>42625</v>
      </c>
      <c r="C1872" s="1" t="s">
        <v>914</v>
      </c>
      <c r="E1872" t="s">
        <v>225</v>
      </c>
      <c r="F1872" t="s">
        <v>305</v>
      </c>
      <c r="G1872" s="1" t="s">
        <v>3</v>
      </c>
      <c r="H1872" s="1">
        <v>553932</v>
      </c>
      <c r="I1872" t="s">
        <v>467</v>
      </c>
      <c r="J1872" s="110">
        <v>40543803</v>
      </c>
      <c r="K1872" s="4">
        <v>95796587</v>
      </c>
      <c r="L1872" s="4">
        <v>69.55</v>
      </c>
    </row>
    <row r="1873" spans="2:12" x14ac:dyDescent="0.2">
      <c r="B1873" s="749">
        <v>42622</v>
      </c>
      <c r="C1873" s="1" t="s">
        <v>818</v>
      </c>
      <c r="E1873" t="s">
        <v>225</v>
      </c>
      <c r="F1873" t="s">
        <v>305</v>
      </c>
      <c r="G1873" s="1" t="s">
        <v>3</v>
      </c>
      <c r="H1873" s="1">
        <v>553036</v>
      </c>
      <c r="I1873" t="s">
        <v>292</v>
      </c>
      <c r="J1873" s="110">
        <v>50733369</v>
      </c>
      <c r="K1873" s="4">
        <v>95646824</v>
      </c>
      <c r="L1873" s="4">
        <v>69.599999999999994</v>
      </c>
    </row>
    <row r="1874" spans="2:12" x14ac:dyDescent="0.2">
      <c r="B1874" s="749">
        <v>42622</v>
      </c>
      <c r="C1874" s="1" t="s">
        <v>888</v>
      </c>
      <c r="E1874" t="s">
        <v>225</v>
      </c>
      <c r="F1874" t="s">
        <v>305</v>
      </c>
      <c r="G1874" s="1" t="s">
        <v>3</v>
      </c>
      <c r="H1874" s="1">
        <v>553902</v>
      </c>
      <c r="I1874" t="s">
        <v>643</v>
      </c>
      <c r="J1874" s="110">
        <v>271064</v>
      </c>
      <c r="K1874" s="4" t="s">
        <v>893</v>
      </c>
      <c r="L1874" s="4">
        <v>24.58</v>
      </c>
    </row>
    <row r="1875" spans="2:12" x14ac:dyDescent="0.2">
      <c r="B1875" s="749">
        <v>42623</v>
      </c>
      <c r="C1875" s="1" t="s">
        <v>619</v>
      </c>
      <c r="E1875" t="s">
        <v>225</v>
      </c>
      <c r="F1875" t="s">
        <v>305</v>
      </c>
      <c r="G1875" s="1" t="s">
        <v>3</v>
      </c>
      <c r="H1875" s="1">
        <v>551127</v>
      </c>
      <c r="I1875" t="s">
        <v>292</v>
      </c>
      <c r="J1875" s="110">
        <v>50761345</v>
      </c>
      <c r="K1875" s="4">
        <v>95631479</v>
      </c>
      <c r="L1875" s="4">
        <v>69.45</v>
      </c>
    </row>
    <row r="1876" spans="2:12" x14ac:dyDescent="0.2">
      <c r="B1876" s="749">
        <v>42623</v>
      </c>
      <c r="C1876" s="1" t="s">
        <v>644</v>
      </c>
      <c r="E1876" t="s">
        <v>225</v>
      </c>
      <c r="F1876" t="s">
        <v>305</v>
      </c>
      <c r="G1876" s="1" t="s">
        <v>3</v>
      </c>
      <c r="H1876" s="1">
        <v>552518</v>
      </c>
      <c r="I1876" t="s">
        <v>643</v>
      </c>
      <c r="J1876" s="110">
        <v>50779669</v>
      </c>
      <c r="K1876" s="4">
        <v>95347829</v>
      </c>
      <c r="L1876" s="4">
        <v>64.05</v>
      </c>
    </row>
    <row r="1877" spans="2:12" x14ac:dyDescent="0.2">
      <c r="B1877" s="749">
        <v>42623</v>
      </c>
      <c r="C1877" s="1" t="s">
        <v>644</v>
      </c>
      <c r="E1877" t="s">
        <v>225</v>
      </c>
      <c r="F1877" t="s">
        <v>305</v>
      </c>
      <c r="G1877" s="1" t="s">
        <v>3</v>
      </c>
      <c r="H1877" s="1">
        <v>552518</v>
      </c>
      <c r="I1877" t="s">
        <v>643</v>
      </c>
      <c r="J1877" s="110">
        <v>50779669</v>
      </c>
      <c r="K1877" s="4">
        <v>95395570</v>
      </c>
      <c r="L1877" s="4">
        <v>68.349999999999994</v>
      </c>
    </row>
    <row r="1878" spans="2:12" x14ac:dyDescent="0.2">
      <c r="B1878" s="749">
        <v>42623</v>
      </c>
      <c r="C1878" s="1" t="s">
        <v>644</v>
      </c>
      <c r="E1878" t="s">
        <v>225</v>
      </c>
      <c r="F1878" t="s">
        <v>305</v>
      </c>
      <c r="G1878" s="1" t="s">
        <v>3</v>
      </c>
      <c r="H1878" s="1">
        <v>552518</v>
      </c>
      <c r="I1878" t="s">
        <v>643</v>
      </c>
      <c r="J1878" s="110">
        <v>50779669</v>
      </c>
      <c r="K1878" s="4">
        <v>95639969</v>
      </c>
      <c r="L1878" s="4">
        <v>69.25</v>
      </c>
    </row>
    <row r="1879" spans="2:12" x14ac:dyDescent="0.2">
      <c r="B1879" s="749">
        <v>42623</v>
      </c>
      <c r="C1879" s="1" t="s">
        <v>702</v>
      </c>
      <c r="E1879" t="s">
        <v>225</v>
      </c>
      <c r="F1879" t="s">
        <v>305</v>
      </c>
      <c r="G1879" s="1" t="s">
        <v>3</v>
      </c>
      <c r="H1879" s="1">
        <v>553244</v>
      </c>
      <c r="I1879" t="s">
        <v>292</v>
      </c>
      <c r="J1879" s="110">
        <v>44126324</v>
      </c>
      <c r="K1879" s="4">
        <v>95455473</v>
      </c>
      <c r="L1879" s="4">
        <v>61.35</v>
      </c>
    </row>
    <row r="1880" spans="2:12" x14ac:dyDescent="0.2">
      <c r="B1880" s="749">
        <v>42623</v>
      </c>
      <c r="C1880" s="1" t="s">
        <v>644</v>
      </c>
      <c r="E1880" t="s">
        <v>225</v>
      </c>
      <c r="F1880" t="s">
        <v>305</v>
      </c>
      <c r="G1880" s="1" t="s">
        <v>3</v>
      </c>
      <c r="H1880" s="1">
        <v>552518</v>
      </c>
      <c r="I1880" t="s">
        <v>643</v>
      </c>
      <c r="J1880" s="110">
        <v>50779669</v>
      </c>
      <c r="K1880" s="4">
        <v>95366985</v>
      </c>
      <c r="L1880" s="4">
        <v>64</v>
      </c>
    </row>
    <row r="1881" spans="2:12" x14ac:dyDescent="0.2">
      <c r="B1881" s="749">
        <v>42623</v>
      </c>
      <c r="C1881" s="1" t="s">
        <v>644</v>
      </c>
      <c r="E1881" t="s">
        <v>225</v>
      </c>
      <c r="F1881" t="s">
        <v>305</v>
      </c>
      <c r="G1881" s="1" t="s">
        <v>3</v>
      </c>
      <c r="H1881" s="1">
        <v>552518</v>
      </c>
      <c r="I1881" t="s">
        <v>643</v>
      </c>
      <c r="J1881" s="110">
        <v>50779669</v>
      </c>
      <c r="K1881" s="4">
        <v>95359733</v>
      </c>
      <c r="L1881" s="4">
        <v>69.05</v>
      </c>
    </row>
    <row r="1882" spans="2:12" x14ac:dyDescent="0.2">
      <c r="B1882" s="749">
        <v>42623</v>
      </c>
      <c r="C1882" s="1" t="s">
        <v>818</v>
      </c>
      <c r="E1882" t="s">
        <v>225</v>
      </c>
      <c r="F1882" t="s">
        <v>305</v>
      </c>
      <c r="G1882" s="1" t="s">
        <v>3</v>
      </c>
      <c r="H1882" s="1">
        <v>553036</v>
      </c>
      <c r="I1882" t="s">
        <v>292</v>
      </c>
      <c r="J1882" s="110">
        <v>50764836</v>
      </c>
      <c r="K1882" s="4">
        <v>95346565</v>
      </c>
      <c r="L1882" s="4">
        <v>69.25</v>
      </c>
    </row>
    <row r="1883" spans="2:12" x14ac:dyDescent="0.2">
      <c r="B1883" s="749">
        <v>42623</v>
      </c>
      <c r="C1883" s="1" t="s">
        <v>818</v>
      </c>
      <c r="E1883" t="s">
        <v>225</v>
      </c>
      <c r="F1883" t="s">
        <v>305</v>
      </c>
      <c r="G1883" s="1" t="s">
        <v>3</v>
      </c>
      <c r="H1883" s="1">
        <v>553036</v>
      </c>
      <c r="I1883" t="s">
        <v>292</v>
      </c>
      <c r="J1883" s="110">
        <v>50764836</v>
      </c>
      <c r="K1883" s="4">
        <v>95760203</v>
      </c>
      <c r="L1883" s="4">
        <v>69.7</v>
      </c>
    </row>
    <row r="1884" spans="2:12" x14ac:dyDescent="0.2">
      <c r="B1884" s="749">
        <v>42623</v>
      </c>
      <c r="C1884" s="1" t="s">
        <v>818</v>
      </c>
      <c r="E1884" t="s">
        <v>225</v>
      </c>
      <c r="F1884" t="s">
        <v>305</v>
      </c>
      <c r="G1884" s="1" t="s">
        <v>3</v>
      </c>
      <c r="H1884" s="1">
        <v>553036</v>
      </c>
      <c r="I1884" t="s">
        <v>292</v>
      </c>
      <c r="J1884" s="110">
        <v>50764836</v>
      </c>
      <c r="K1884" s="4">
        <v>95320313</v>
      </c>
      <c r="L1884" s="4">
        <v>64.8</v>
      </c>
    </row>
    <row r="1885" spans="2:12" x14ac:dyDescent="0.2">
      <c r="B1885" s="749">
        <v>42623</v>
      </c>
      <c r="C1885" s="1" t="s">
        <v>818</v>
      </c>
      <c r="E1885" t="s">
        <v>225</v>
      </c>
      <c r="F1885" t="s">
        <v>305</v>
      </c>
      <c r="G1885" s="1" t="s">
        <v>3</v>
      </c>
      <c r="H1885" s="1">
        <v>553036</v>
      </c>
      <c r="I1885" t="s">
        <v>292</v>
      </c>
      <c r="J1885" s="110">
        <v>50764836</v>
      </c>
      <c r="K1885" s="4">
        <v>95353835</v>
      </c>
      <c r="L1885" s="4">
        <v>69.75</v>
      </c>
    </row>
    <row r="1886" spans="2:12" x14ac:dyDescent="0.2">
      <c r="B1886" s="749">
        <v>42623</v>
      </c>
      <c r="C1886" s="1" t="s">
        <v>818</v>
      </c>
      <c r="E1886" t="s">
        <v>225</v>
      </c>
      <c r="F1886" t="s">
        <v>305</v>
      </c>
      <c r="G1886" s="1" t="s">
        <v>3</v>
      </c>
      <c r="H1886" s="1">
        <v>553036</v>
      </c>
      <c r="I1886" t="s">
        <v>292</v>
      </c>
      <c r="J1886" s="110">
        <v>50764836</v>
      </c>
      <c r="K1886" s="4">
        <v>95651048</v>
      </c>
      <c r="L1886" s="4">
        <v>69.400000000000006</v>
      </c>
    </row>
    <row r="1887" spans="2:12" x14ac:dyDescent="0.2">
      <c r="B1887" s="749">
        <v>42623</v>
      </c>
      <c r="C1887" s="1" t="s">
        <v>644</v>
      </c>
      <c r="E1887" t="s">
        <v>225</v>
      </c>
      <c r="F1887" t="s">
        <v>305</v>
      </c>
      <c r="G1887" s="1" t="s">
        <v>3</v>
      </c>
      <c r="H1887" s="1">
        <v>552518</v>
      </c>
      <c r="I1887" t="s">
        <v>643</v>
      </c>
      <c r="J1887" s="110">
        <v>47819826</v>
      </c>
      <c r="K1887" s="4">
        <v>95186854</v>
      </c>
      <c r="L1887" s="4">
        <v>70.099999999999994</v>
      </c>
    </row>
    <row r="1888" spans="2:12" x14ac:dyDescent="0.2">
      <c r="B1888" s="749">
        <v>42623</v>
      </c>
      <c r="C1888" s="1" t="s">
        <v>644</v>
      </c>
      <c r="E1888" t="s">
        <v>225</v>
      </c>
      <c r="F1888" t="s">
        <v>305</v>
      </c>
      <c r="G1888" s="1" t="s">
        <v>3</v>
      </c>
      <c r="H1888" s="1">
        <v>552518</v>
      </c>
      <c r="I1888" t="s">
        <v>643</v>
      </c>
      <c r="J1888" s="110">
        <v>47819826</v>
      </c>
      <c r="K1888" s="4">
        <v>95191938</v>
      </c>
      <c r="L1888" s="4">
        <v>69.75</v>
      </c>
    </row>
    <row r="1889" spans="2:12" x14ac:dyDescent="0.2">
      <c r="B1889" s="749">
        <v>42623</v>
      </c>
      <c r="C1889" s="1" t="s">
        <v>644</v>
      </c>
      <c r="E1889" t="s">
        <v>225</v>
      </c>
      <c r="F1889" t="s">
        <v>305</v>
      </c>
      <c r="G1889" s="1" t="s">
        <v>3</v>
      </c>
      <c r="H1889" s="1">
        <v>552518</v>
      </c>
      <c r="I1889" t="s">
        <v>643</v>
      </c>
      <c r="J1889" s="110">
        <v>47819826</v>
      </c>
      <c r="K1889" s="4">
        <v>95153243</v>
      </c>
      <c r="L1889" s="4">
        <v>68.5</v>
      </c>
    </row>
    <row r="1890" spans="2:12" x14ac:dyDescent="0.2">
      <c r="B1890" s="749">
        <v>42623</v>
      </c>
      <c r="C1890" s="1" t="s">
        <v>644</v>
      </c>
      <c r="E1890" t="s">
        <v>225</v>
      </c>
      <c r="F1890" t="s">
        <v>305</v>
      </c>
      <c r="G1890" s="1" t="s">
        <v>3</v>
      </c>
      <c r="H1890" s="1">
        <v>552518</v>
      </c>
      <c r="I1890" t="s">
        <v>643</v>
      </c>
      <c r="J1890" s="110">
        <v>47819826</v>
      </c>
      <c r="K1890" s="4">
        <v>95092540</v>
      </c>
      <c r="L1890" s="4">
        <v>69.150000000000006</v>
      </c>
    </row>
    <row r="1891" spans="2:12" x14ac:dyDescent="0.2">
      <c r="B1891" s="749">
        <v>42623</v>
      </c>
      <c r="C1891" s="1" t="s">
        <v>886</v>
      </c>
      <c r="E1891" t="s">
        <v>225</v>
      </c>
      <c r="F1891" t="s">
        <v>305</v>
      </c>
      <c r="G1891" s="1" t="s">
        <v>3</v>
      </c>
      <c r="H1891" s="1">
        <v>553593</v>
      </c>
      <c r="I1891" t="s">
        <v>292</v>
      </c>
      <c r="J1891" s="110">
        <v>40566978</v>
      </c>
      <c r="K1891" s="4">
        <v>95758454</v>
      </c>
      <c r="L1891" s="4">
        <v>68.3</v>
      </c>
    </row>
    <row r="1892" spans="2:12" x14ac:dyDescent="0.2">
      <c r="B1892" s="749">
        <v>42623</v>
      </c>
      <c r="C1892" s="1" t="s">
        <v>701</v>
      </c>
      <c r="E1892" t="s">
        <v>225</v>
      </c>
      <c r="F1892" t="s">
        <v>305</v>
      </c>
      <c r="G1892" s="1" t="s">
        <v>3</v>
      </c>
      <c r="H1892" s="1">
        <v>552928</v>
      </c>
      <c r="I1892" t="s">
        <v>643</v>
      </c>
      <c r="J1892" s="110">
        <v>32110165</v>
      </c>
      <c r="K1892" s="4">
        <v>95531679</v>
      </c>
      <c r="L1892" s="4">
        <v>66.95</v>
      </c>
    </row>
    <row r="1893" spans="2:12" x14ac:dyDescent="0.2">
      <c r="B1893" s="749">
        <v>42623</v>
      </c>
      <c r="C1893" s="1" t="s">
        <v>701</v>
      </c>
      <c r="E1893" t="s">
        <v>225</v>
      </c>
      <c r="F1893" t="s">
        <v>305</v>
      </c>
      <c r="G1893" s="1" t="s">
        <v>3</v>
      </c>
      <c r="H1893" s="1">
        <v>552928</v>
      </c>
      <c r="I1893" t="s">
        <v>643</v>
      </c>
      <c r="J1893" s="110">
        <v>32110165</v>
      </c>
      <c r="K1893" s="4">
        <v>95395075</v>
      </c>
      <c r="L1893" s="4">
        <v>67.150000000000006</v>
      </c>
    </row>
    <row r="1894" spans="2:12" x14ac:dyDescent="0.2">
      <c r="B1894" s="749">
        <v>42624</v>
      </c>
      <c r="C1894" s="1" t="s">
        <v>888</v>
      </c>
      <c r="E1894" t="s">
        <v>225</v>
      </c>
      <c r="F1894" t="s">
        <v>305</v>
      </c>
      <c r="G1894" s="1" t="s">
        <v>3</v>
      </c>
      <c r="H1894" s="1">
        <v>553902</v>
      </c>
      <c r="I1894" t="s">
        <v>643</v>
      </c>
      <c r="J1894" s="110">
        <v>271071</v>
      </c>
      <c r="K1894" s="4" t="s">
        <v>915</v>
      </c>
      <c r="L1894" s="4">
        <v>24.34</v>
      </c>
    </row>
    <row r="1895" spans="2:12" x14ac:dyDescent="0.2">
      <c r="B1895" s="749">
        <v>42624</v>
      </c>
      <c r="C1895" s="1" t="s">
        <v>644</v>
      </c>
      <c r="E1895" t="s">
        <v>225</v>
      </c>
      <c r="F1895" t="s">
        <v>305</v>
      </c>
      <c r="G1895" s="1" t="s">
        <v>3</v>
      </c>
      <c r="H1895" s="1">
        <v>552518</v>
      </c>
      <c r="I1895" t="s">
        <v>643</v>
      </c>
      <c r="J1895" s="110">
        <v>47864236</v>
      </c>
      <c r="K1895" s="4">
        <v>95130563</v>
      </c>
      <c r="L1895" s="4">
        <v>67.05</v>
      </c>
    </row>
    <row r="1896" spans="2:12" x14ac:dyDescent="0.2">
      <c r="B1896" s="749">
        <v>42624</v>
      </c>
      <c r="C1896" s="1" t="s">
        <v>644</v>
      </c>
      <c r="E1896" t="s">
        <v>225</v>
      </c>
      <c r="F1896" t="s">
        <v>305</v>
      </c>
      <c r="G1896" s="1" t="s">
        <v>3</v>
      </c>
      <c r="H1896" s="1">
        <v>552518</v>
      </c>
      <c r="I1896" t="s">
        <v>643</v>
      </c>
      <c r="J1896" s="110">
        <v>47864236</v>
      </c>
      <c r="K1896" s="4">
        <v>95095683</v>
      </c>
      <c r="L1896" s="4">
        <v>69.849999999999994</v>
      </c>
    </row>
    <row r="1897" spans="2:12" x14ac:dyDescent="0.2">
      <c r="B1897" s="749">
        <v>42624</v>
      </c>
      <c r="C1897" s="1" t="s">
        <v>644</v>
      </c>
      <c r="E1897" t="s">
        <v>225</v>
      </c>
      <c r="F1897" t="s">
        <v>305</v>
      </c>
      <c r="G1897" s="1" t="s">
        <v>3</v>
      </c>
      <c r="H1897" s="1">
        <v>552518</v>
      </c>
      <c r="I1897" t="s">
        <v>643</v>
      </c>
      <c r="J1897" s="110">
        <v>47864236</v>
      </c>
      <c r="K1897" s="4">
        <v>95092763</v>
      </c>
      <c r="L1897" s="4">
        <v>69</v>
      </c>
    </row>
    <row r="1898" spans="2:12" x14ac:dyDescent="0.2">
      <c r="B1898" s="749">
        <v>42624</v>
      </c>
      <c r="C1898" s="1" t="s">
        <v>888</v>
      </c>
      <c r="E1898" t="s">
        <v>225</v>
      </c>
      <c r="F1898" t="s">
        <v>305</v>
      </c>
      <c r="G1898" s="1" t="s">
        <v>3</v>
      </c>
      <c r="H1898" s="1">
        <v>553902</v>
      </c>
      <c r="I1898" t="s">
        <v>643</v>
      </c>
      <c r="J1898" s="110">
        <v>47819412</v>
      </c>
      <c r="K1898" s="4">
        <v>95796454</v>
      </c>
      <c r="L1898" s="4">
        <v>68.7</v>
      </c>
    </row>
    <row r="1899" spans="2:12" x14ac:dyDescent="0.2">
      <c r="B1899" s="749">
        <v>42624</v>
      </c>
      <c r="C1899" s="1" t="s">
        <v>888</v>
      </c>
      <c r="E1899" t="s">
        <v>225</v>
      </c>
      <c r="F1899" t="s">
        <v>305</v>
      </c>
      <c r="G1899" s="1" t="s">
        <v>3</v>
      </c>
      <c r="H1899" s="1">
        <v>553902</v>
      </c>
      <c r="I1899" t="s">
        <v>643</v>
      </c>
      <c r="J1899" s="110">
        <v>47819412</v>
      </c>
      <c r="K1899" s="4">
        <v>95647236</v>
      </c>
      <c r="L1899" s="4">
        <v>68.05</v>
      </c>
    </row>
    <row r="1900" spans="2:12" x14ac:dyDescent="0.2">
      <c r="B1900" s="749">
        <v>42624</v>
      </c>
      <c r="C1900" s="1" t="s">
        <v>888</v>
      </c>
      <c r="E1900" t="s">
        <v>225</v>
      </c>
      <c r="F1900" t="s">
        <v>305</v>
      </c>
      <c r="G1900" s="1" t="s">
        <v>3</v>
      </c>
      <c r="H1900" s="1">
        <v>553902</v>
      </c>
      <c r="I1900" t="s">
        <v>643</v>
      </c>
      <c r="J1900" s="110">
        <v>47819412</v>
      </c>
      <c r="K1900" s="4">
        <v>95369237</v>
      </c>
      <c r="L1900" s="4">
        <v>68.650000000000006</v>
      </c>
    </row>
    <row r="1901" spans="2:12" x14ac:dyDescent="0.2">
      <c r="B1901" s="749">
        <v>42624</v>
      </c>
      <c r="C1901" s="1" t="s">
        <v>888</v>
      </c>
      <c r="E1901" t="s">
        <v>225</v>
      </c>
      <c r="F1901" t="s">
        <v>305</v>
      </c>
      <c r="G1901" s="1" t="s">
        <v>3</v>
      </c>
      <c r="H1901" s="1">
        <v>553902</v>
      </c>
      <c r="I1901" t="s">
        <v>643</v>
      </c>
      <c r="J1901" s="110">
        <v>47819412</v>
      </c>
      <c r="K1901" s="4">
        <v>95800330</v>
      </c>
      <c r="L1901" s="4">
        <v>67.45</v>
      </c>
    </row>
    <row r="1902" spans="2:12" x14ac:dyDescent="0.2">
      <c r="B1902" s="749">
        <v>42625</v>
      </c>
      <c r="C1902" s="1" t="s">
        <v>888</v>
      </c>
      <c r="E1902" t="s">
        <v>225</v>
      </c>
      <c r="F1902" t="s">
        <v>305</v>
      </c>
      <c r="G1902" s="1" t="s">
        <v>3</v>
      </c>
      <c r="H1902" s="1">
        <v>553902</v>
      </c>
      <c r="I1902" t="s">
        <v>292</v>
      </c>
      <c r="J1902" s="110">
        <v>267705</v>
      </c>
      <c r="K1902" s="4" t="s">
        <v>893</v>
      </c>
      <c r="L1902" s="4">
        <v>24.88</v>
      </c>
    </row>
    <row r="1903" spans="2:12" x14ac:dyDescent="0.2">
      <c r="B1903" s="749">
        <v>42625</v>
      </c>
      <c r="C1903" s="1" t="s">
        <v>935</v>
      </c>
      <c r="E1903" t="s">
        <v>225</v>
      </c>
      <c r="F1903" t="s">
        <v>305</v>
      </c>
      <c r="G1903" s="1" t="s">
        <v>3</v>
      </c>
      <c r="H1903" s="1">
        <v>553665</v>
      </c>
      <c r="I1903" t="s">
        <v>643</v>
      </c>
      <c r="J1903" s="110">
        <v>50815778</v>
      </c>
      <c r="K1903" s="4">
        <v>95525200</v>
      </c>
      <c r="L1903" s="4">
        <v>69.45</v>
      </c>
    </row>
    <row r="1904" spans="2:12" x14ac:dyDescent="0.2">
      <c r="B1904" s="749">
        <v>42625</v>
      </c>
      <c r="C1904" s="1" t="s">
        <v>935</v>
      </c>
      <c r="E1904" t="s">
        <v>225</v>
      </c>
      <c r="F1904" t="s">
        <v>305</v>
      </c>
      <c r="G1904" s="1" t="s">
        <v>3</v>
      </c>
      <c r="H1904" s="1">
        <v>553665</v>
      </c>
      <c r="I1904" t="s">
        <v>643</v>
      </c>
      <c r="J1904" s="110">
        <v>50815778</v>
      </c>
      <c r="K1904" s="4">
        <v>95681235</v>
      </c>
      <c r="L1904" s="4">
        <v>69.95</v>
      </c>
    </row>
    <row r="1905" spans="2:12" x14ac:dyDescent="0.2">
      <c r="B1905" s="749">
        <v>42625</v>
      </c>
      <c r="C1905" s="1" t="s">
        <v>935</v>
      </c>
      <c r="E1905" t="s">
        <v>225</v>
      </c>
      <c r="F1905" t="s">
        <v>305</v>
      </c>
      <c r="G1905" s="1" t="s">
        <v>3</v>
      </c>
      <c r="H1905" s="1">
        <v>553665</v>
      </c>
      <c r="I1905" t="s">
        <v>643</v>
      </c>
      <c r="J1905" s="110">
        <v>50815778</v>
      </c>
      <c r="K1905" s="4">
        <v>95369849</v>
      </c>
      <c r="L1905" s="4">
        <v>69.45</v>
      </c>
    </row>
    <row r="1906" spans="2:12" x14ac:dyDescent="0.2">
      <c r="B1906" s="749">
        <v>42625</v>
      </c>
      <c r="C1906" s="1" t="s">
        <v>935</v>
      </c>
      <c r="E1906" t="s">
        <v>225</v>
      </c>
      <c r="F1906" t="s">
        <v>305</v>
      </c>
      <c r="G1906" s="1" t="s">
        <v>3</v>
      </c>
      <c r="H1906" s="1">
        <v>553665</v>
      </c>
      <c r="I1906" t="s">
        <v>643</v>
      </c>
      <c r="J1906" s="110">
        <v>50815778</v>
      </c>
      <c r="K1906" s="4">
        <v>95617668</v>
      </c>
      <c r="L1906" s="4">
        <v>69.45</v>
      </c>
    </row>
    <row r="1907" spans="2:12" x14ac:dyDescent="0.2">
      <c r="B1907" s="749">
        <v>42625</v>
      </c>
      <c r="C1907" s="1" t="s">
        <v>644</v>
      </c>
      <c r="E1907" t="s">
        <v>225</v>
      </c>
      <c r="F1907" t="s">
        <v>305</v>
      </c>
      <c r="G1907" s="1" t="s">
        <v>3</v>
      </c>
      <c r="H1907" s="1">
        <v>552518</v>
      </c>
      <c r="I1907" t="s">
        <v>292</v>
      </c>
      <c r="J1907" s="110">
        <v>40646275</v>
      </c>
      <c r="K1907" s="4">
        <v>95353975</v>
      </c>
      <c r="L1907" s="4">
        <v>67.5</v>
      </c>
    </row>
    <row r="1908" spans="2:12" x14ac:dyDescent="0.2">
      <c r="B1908" s="749">
        <v>42625</v>
      </c>
      <c r="C1908" s="1" t="s">
        <v>644</v>
      </c>
      <c r="E1908" t="s">
        <v>225</v>
      </c>
      <c r="F1908" t="s">
        <v>305</v>
      </c>
      <c r="G1908" s="1" t="s">
        <v>3</v>
      </c>
      <c r="H1908" s="1">
        <v>552518</v>
      </c>
      <c r="I1908" t="s">
        <v>292</v>
      </c>
      <c r="J1908" s="110">
        <v>40646275</v>
      </c>
      <c r="K1908" s="4">
        <v>95453221</v>
      </c>
      <c r="L1908" s="4">
        <v>67.05</v>
      </c>
    </row>
    <row r="1909" spans="2:12" x14ac:dyDescent="0.2">
      <c r="B1909" s="749">
        <v>42625</v>
      </c>
      <c r="C1909" s="1" t="s">
        <v>644</v>
      </c>
      <c r="E1909" t="s">
        <v>225</v>
      </c>
      <c r="F1909" t="s">
        <v>305</v>
      </c>
      <c r="G1909" s="1" t="s">
        <v>3</v>
      </c>
      <c r="H1909" s="1">
        <v>552518</v>
      </c>
      <c r="I1909" t="s">
        <v>292</v>
      </c>
      <c r="J1909" s="110">
        <v>40646275</v>
      </c>
      <c r="K1909" s="4">
        <v>95649067</v>
      </c>
      <c r="L1909" s="4">
        <v>65.95</v>
      </c>
    </row>
    <row r="1910" spans="2:12" x14ac:dyDescent="0.2">
      <c r="B1910" s="749">
        <v>42625</v>
      </c>
      <c r="C1910" s="1" t="s">
        <v>644</v>
      </c>
      <c r="E1910" t="s">
        <v>225</v>
      </c>
      <c r="F1910" t="s">
        <v>305</v>
      </c>
      <c r="G1910" s="1" t="s">
        <v>3</v>
      </c>
      <c r="H1910" s="1">
        <v>552518</v>
      </c>
      <c r="I1910" t="s">
        <v>292</v>
      </c>
      <c r="J1910" s="110">
        <v>40646275</v>
      </c>
      <c r="K1910" s="4">
        <v>95679353</v>
      </c>
      <c r="L1910" s="4">
        <v>67.5</v>
      </c>
    </row>
    <row r="1911" spans="2:12" x14ac:dyDescent="0.2">
      <c r="B1911" s="749">
        <v>42622</v>
      </c>
      <c r="C1911" s="1" t="s">
        <v>868</v>
      </c>
      <c r="E1911" t="s">
        <v>225</v>
      </c>
      <c r="F1911" t="s">
        <v>305</v>
      </c>
      <c r="G1911" s="1" t="s">
        <v>3</v>
      </c>
      <c r="H1911" s="1">
        <v>554029</v>
      </c>
      <c r="I1911" t="s">
        <v>910</v>
      </c>
      <c r="J1911" s="110">
        <v>15779</v>
      </c>
      <c r="K1911" s="4" t="s">
        <v>556</v>
      </c>
      <c r="L1911" s="4">
        <v>23.94</v>
      </c>
    </row>
    <row r="1912" spans="2:12" x14ac:dyDescent="0.2">
      <c r="B1912" s="749">
        <v>42622</v>
      </c>
      <c r="C1912" s="1" t="s">
        <v>868</v>
      </c>
      <c r="E1912" t="s">
        <v>225</v>
      </c>
      <c r="F1912" t="s">
        <v>305</v>
      </c>
      <c r="G1912" s="1" t="s">
        <v>3</v>
      </c>
      <c r="H1912" s="1">
        <v>554029</v>
      </c>
      <c r="I1912" t="s">
        <v>910</v>
      </c>
      <c r="J1912" s="110">
        <v>36190</v>
      </c>
      <c r="K1912" s="4" t="s">
        <v>916</v>
      </c>
      <c r="L1912" s="4">
        <v>25.5</v>
      </c>
    </row>
    <row r="1913" spans="2:12" x14ac:dyDescent="0.2">
      <c r="B1913" s="749">
        <v>42622</v>
      </c>
      <c r="C1913" s="1" t="s">
        <v>868</v>
      </c>
      <c r="E1913" t="s">
        <v>225</v>
      </c>
      <c r="F1913" t="s">
        <v>305</v>
      </c>
      <c r="G1913" s="1" t="s">
        <v>3</v>
      </c>
      <c r="H1913" s="1">
        <v>554029</v>
      </c>
      <c r="I1913" t="s">
        <v>910</v>
      </c>
      <c r="J1913" s="110">
        <v>36189</v>
      </c>
      <c r="K1913" s="4" t="s">
        <v>917</v>
      </c>
      <c r="L1913" s="4">
        <v>25.78</v>
      </c>
    </row>
    <row r="1914" spans="2:12" x14ac:dyDescent="0.2">
      <c r="B1914" s="749">
        <v>42622</v>
      </c>
      <c r="C1914" s="1" t="s">
        <v>868</v>
      </c>
      <c r="E1914" t="s">
        <v>225</v>
      </c>
      <c r="F1914" t="s">
        <v>305</v>
      </c>
      <c r="G1914" s="1" t="s">
        <v>3</v>
      </c>
      <c r="H1914" s="1">
        <v>554029</v>
      </c>
      <c r="I1914" t="s">
        <v>910</v>
      </c>
      <c r="J1914" s="110">
        <v>44137354</v>
      </c>
      <c r="K1914" s="4">
        <v>95526364</v>
      </c>
      <c r="L1914" s="4">
        <v>67.650000000000006</v>
      </c>
    </row>
    <row r="1915" spans="2:12" x14ac:dyDescent="0.2">
      <c r="B1915" s="749">
        <v>42622</v>
      </c>
      <c r="C1915" s="1" t="s">
        <v>868</v>
      </c>
      <c r="E1915" t="s">
        <v>225</v>
      </c>
      <c r="F1915" t="s">
        <v>305</v>
      </c>
      <c r="G1915" s="1" t="s">
        <v>3</v>
      </c>
      <c r="H1915" s="1">
        <v>554029</v>
      </c>
      <c r="I1915" t="s">
        <v>910</v>
      </c>
      <c r="J1915" s="110">
        <v>44137354</v>
      </c>
      <c r="K1915" s="4">
        <v>95692158</v>
      </c>
      <c r="L1915" s="4">
        <v>67.3</v>
      </c>
    </row>
    <row r="1916" spans="2:12" x14ac:dyDescent="0.2">
      <c r="B1916" s="749">
        <v>42622</v>
      </c>
      <c r="C1916" s="1" t="s">
        <v>868</v>
      </c>
      <c r="E1916" t="s">
        <v>225</v>
      </c>
      <c r="F1916" t="s">
        <v>305</v>
      </c>
      <c r="G1916" s="1" t="s">
        <v>3</v>
      </c>
      <c r="H1916" s="1">
        <v>554029</v>
      </c>
      <c r="I1916" t="s">
        <v>910</v>
      </c>
      <c r="J1916" s="110">
        <v>44137354</v>
      </c>
      <c r="K1916" s="4">
        <v>95759015</v>
      </c>
      <c r="L1916" s="4">
        <v>67.099999999999994</v>
      </c>
    </row>
    <row r="1917" spans="2:12" x14ac:dyDescent="0.2">
      <c r="B1917" s="749">
        <v>42622</v>
      </c>
      <c r="C1917" s="1" t="s">
        <v>868</v>
      </c>
      <c r="E1917" t="s">
        <v>225</v>
      </c>
      <c r="F1917" t="s">
        <v>305</v>
      </c>
      <c r="G1917" s="1" t="s">
        <v>3</v>
      </c>
      <c r="H1917" s="1">
        <v>554029</v>
      </c>
      <c r="I1917" t="s">
        <v>910</v>
      </c>
      <c r="J1917" s="110">
        <v>44137354</v>
      </c>
      <c r="K1917" s="4">
        <v>95335212</v>
      </c>
      <c r="L1917" s="4">
        <v>62.95</v>
      </c>
    </row>
    <row r="1918" spans="2:12" x14ac:dyDescent="0.2">
      <c r="B1918" s="749">
        <v>42622</v>
      </c>
      <c r="C1918" s="1" t="s">
        <v>868</v>
      </c>
      <c r="E1918" t="s">
        <v>225</v>
      </c>
      <c r="F1918" t="s">
        <v>305</v>
      </c>
      <c r="G1918" s="1" t="s">
        <v>3</v>
      </c>
      <c r="H1918" s="1">
        <v>554029</v>
      </c>
      <c r="I1918" t="s">
        <v>910</v>
      </c>
      <c r="J1918" s="110">
        <v>44137354</v>
      </c>
      <c r="K1918" s="4">
        <v>95448783</v>
      </c>
      <c r="L1918" s="4">
        <v>68.599999999999994</v>
      </c>
    </row>
    <row r="1919" spans="2:12" x14ac:dyDescent="0.2">
      <c r="B1919" s="749">
        <v>42622</v>
      </c>
      <c r="C1919" s="1" t="s">
        <v>868</v>
      </c>
      <c r="E1919" t="s">
        <v>225</v>
      </c>
      <c r="F1919" t="s">
        <v>305</v>
      </c>
      <c r="G1919" s="1" t="s">
        <v>3</v>
      </c>
      <c r="H1919" s="1">
        <v>554029</v>
      </c>
      <c r="I1919" t="s">
        <v>910</v>
      </c>
      <c r="J1919" s="110">
        <v>36178</v>
      </c>
      <c r="K1919" s="4" t="s">
        <v>918</v>
      </c>
      <c r="L1919" s="4">
        <v>24.02</v>
      </c>
    </row>
    <row r="1920" spans="2:12" x14ac:dyDescent="0.2">
      <c r="B1920" s="749">
        <v>42622</v>
      </c>
      <c r="C1920" s="1" t="s">
        <v>868</v>
      </c>
      <c r="E1920" t="s">
        <v>225</v>
      </c>
      <c r="F1920" t="s">
        <v>305</v>
      </c>
      <c r="G1920" s="1" t="s">
        <v>3</v>
      </c>
      <c r="H1920" s="1">
        <v>554029</v>
      </c>
      <c r="I1920" t="s">
        <v>910</v>
      </c>
      <c r="J1920" s="110">
        <v>36179</v>
      </c>
      <c r="K1920" s="4" t="s">
        <v>919</v>
      </c>
      <c r="L1920" s="4">
        <v>22.92</v>
      </c>
    </row>
    <row r="1921" spans="2:12" x14ac:dyDescent="0.2">
      <c r="B1921" s="749">
        <v>42622</v>
      </c>
      <c r="C1921" s="1" t="s">
        <v>868</v>
      </c>
      <c r="E1921" t="s">
        <v>225</v>
      </c>
      <c r="F1921" t="s">
        <v>305</v>
      </c>
      <c r="G1921" s="1" t="s">
        <v>3</v>
      </c>
      <c r="H1921" s="1">
        <v>554029</v>
      </c>
      <c r="I1921" t="s">
        <v>910</v>
      </c>
      <c r="J1921" s="110">
        <v>270996</v>
      </c>
      <c r="K1921" s="4" t="s">
        <v>920</v>
      </c>
      <c r="L1921" s="4">
        <v>25.16</v>
      </c>
    </row>
    <row r="1922" spans="2:12" x14ac:dyDescent="0.2">
      <c r="B1922" s="749">
        <v>42622</v>
      </c>
      <c r="C1922" s="1" t="s">
        <v>868</v>
      </c>
      <c r="E1922" t="s">
        <v>225</v>
      </c>
      <c r="F1922" t="s">
        <v>305</v>
      </c>
      <c r="G1922" s="1" t="s">
        <v>3</v>
      </c>
      <c r="H1922" s="1">
        <v>554029</v>
      </c>
      <c r="I1922" t="s">
        <v>910</v>
      </c>
      <c r="J1922" s="110">
        <v>350245</v>
      </c>
      <c r="K1922" s="4" t="s">
        <v>865</v>
      </c>
      <c r="L1922" s="4">
        <v>21.4</v>
      </c>
    </row>
    <row r="1923" spans="2:12" x14ac:dyDescent="0.2">
      <c r="B1923" s="749">
        <v>42622</v>
      </c>
      <c r="C1923" s="1" t="s">
        <v>868</v>
      </c>
      <c r="E1923" t="s">
        <v>225</v>
      </c>
      <c r="F1923" t="s">
        <v>305</v>
      </c>
      <c r="G1923" s="1" t="s">
        <v>3</v>
      </c>
      <c r="H1923" s="1">
        <v>554029</v>
      </c>
      <c r="I1923" t="s">
        <v>910</v>
      </c>
      <c r="J1923" s="110">
        <v>350250</v>
      </c>
      <c r="K1923" s="4" t="s">
        <v>864</v>
      </c>
      <c r="L1923" s="4">
        <v>25.3</v>
      </c>
    </row>
    <row r="1924" spans="2:12" x14ac:dyDescent="0.2">
      <c r="B1924" s="749">
        <v>42623</v>
      </c>
      <c r="C1924" s="1" t="s">
        <v>868</v>
      </c>
      <c r="E1924" t="s">
        <v>225</v>
      </c>
      <c r="F1924" t="s">
        <v>305</v>
      </c>
      <c r="G1924" s="1" t="s">
        <v>3</v>
      </c>
      <c r="H1924" s="1">
        <v>554029</v>
      </c>
      <c r="I1924" t="s">
        <v>910</v>
      </c>
      <c r="J1924" s="110">
        <v>270993</v>
      </c>
      <c r="K1924" s="4" t="s">
        <v>921</v>
      </c>
      <c r="L1924" s="4">
        <v>23.24</v>
      </c>
    </row>
    <row r="1925" spans="2:12" x14ac:dyDescent="0.2">
      <c r="B1925" s="749">
        <v>42623</v>
      </c>
      <c r="C1925" s="1" t="s">
        <v>868</v>
      </c>
      <c r="E1925" t="s">
        <v>225</v>
      </c>
      <c r="F1925" t="s">
        <v>305</v>
      </c>
      <c r="G1925" s="1" t="s">
        <v>3</v>
      </c>
      <c r="H1925" s="1">
        <v>554029</v>
      </c>
      <c r="I1925" t="s">
        <v>910</v>
      </c>
      <c r="J1925" s="110">
        <v>270994</v>
      </c>
      <c r="K1925" s="4" t="s">
        <v>922</v>
      </c>
      <c r="L1925" s="4">
        <v>26.56</v>
      </c>
    </row>
    <row r="1926" spans="2:12" x14ac:dyDescent="0.2">
      <c r="B1926" s="749">
        <v>42623</v>
      </c>
      <c r="C1926" s="1" t="s">
        <v>868</v>
      </c>
      <c r="E1926" t="s">
        <v>225</v>
      </c>
      <c r="F1926" t="s">
        <v>305</v>
      </c>
      <c r="G1926" s="1" t="s">
        <v>3</v>
      </c>
      <c r="H1926" s="1">
        <v>554029</v>
      </c>
      <c r="I1926" t="s">
        <v>910</v>
      </c>
      <c r="J1926" s="110">
        <v>273736</v>
      </c>
      <c r="K1926" s="4" t="s">
        <v>923</v>
      </c>
      <c r="L1926" s="4">
        <v>24.74</v>
      </c>
    </row>
    <row r="1927" spans="2:12" x14ac:dyDescent="0.2">
      <c r="B1927" s="749">
        <v>42623</v>
      </c>
      <c r="C1927" s="1" t="s">
        <v>868</v>
      </c>
      <c r="E1927" t="s">
        <v>225</v>
      </c>
      <c r="F1927" t="s">
        <v>305</v>
      </c>
      <c r="G1927" s="1" t="s">
        <v>3</v>
      </c>
      <c r="H1927" s="1">
        <v>554029</v>
      </c>
      <c r="I1927" t="s">
        <v>910</v>
      </c>
      <c r="J1927" s="110">
        <v>36176</v>
      </c>
      <c r="K1927" s="4" t="s">
        <v>924</v>
      </c>
      <c r="L1927" s="4">
        <v>21.94</v>
      </c>
    </row>
    <row r="1928" spans="2:12" x14ac:dyDescent="0.2">
      <c r="B1928" s="749">
        <v>42623</v>
      </c>
      <c r="C1928" s="1" t="s">
        <v>868</v>
      </c>
      <c r="E1928" t="s">
        <v>225</v>
      </c>
      <c r="F1928" t="s">
        <v>305</v>
      </c>
      <c r="G1928" s="1" t="s">
        <v>3</v>
      </c>
      <c r="H1928" s="1">
        <v>554029</v>
      </c>
      <c r="I1928" t="s">
        <v>910</v>
      </c>
      <c r="J1928" s="110">
        <v>270991</v>
      </c>
      <c r="K1928" s="4" t="s">
        <v>916</v>
      </c>
      <c r="L1928" s="4">
        <v>26.08</v>
      </c>
    </row>
    <row r="1929" spans="2:12" x14ac:dyDescent="0.2">
      <c r="B1929" s="749">
        <v>42623</v>
      </c>
      <c r="C1929" s="1" t="s">
        <v>868</v>
      </c>
      <c r="E1929" t="s">
        <v>225</v>
      </c>
      <c r="F1929" t="s">
        <v>305</v>
      </c>
      <c r="G1929" s="1" t="s">
        <v>3</v>
      </c>
      <c r="H1929" s="1">
        <v>554029</v>
      </c>
      <c r="I1929" t="s">
        <v>910</v>
      </c>
      <c r="J1929" s="110">
        <v>270598</v>
      </c>
      <c r="K1929" s="4" t="s">
        <v>925</v>
      </c>
      <c r="L1929" s="4">
        <v>22.4</v>
      </c>
    </row>
    <row r="1930" spans="2:12" x14ac:dyDescent="0.2">
      <c r="B1930" s="749">
        <v>42623</v>
      </c>
      <c r="C1930" s="1" t="s">
        <v>868</v>
      </c>
      <c r="E1930" t="s">
        <v>225</v>
      </c>
      <c r="F1930" t="s">
        <v>305</v>
      </c>
      <c r="G1930" s="1" t="s">
        <v>3</v>
      </c>
      <c r="H1930" s="1">
        <v>554029</v>
      </c>
      <c r="I1930" t="s">
        <v>910</v>
      </c>
      <c r="J1930" s="110">
        <v>270992</v>
      </c>
      <c r="K1930" s="4" t="s">
        <v>907</v>
      </c>
      <c r="L1930" s="4">
        <v>25.3</v>
      </c>
    </row>
    <row r="1931" spans="2:12" x14ac:dyDescent="0.2">
      <c r="B1931" s="749">
        <v>42623</v>
      </c>
      <c r="C1931" s="1" t="s">
        <v>868</v>
      </c>
      <c r="E1931" t="s">
        <v>225</v>
      </c>
      <c r="F1931" t="s">
        <v>305</v>
      </c>
      <c r="G1931" s="1" t="s">
        <v>3</v>
      </c>
      <c r="H1931" s="1">
        <v>554029</v>
      </c>
      <c r="I1931" t="s">
        <v>910</v>
      </c>
      <c r="J1931" s="110">
        <v>270596</v>
      </c>
      <c r="K1931" s="4" t="s">
        <v>926</v>
      </c>
      <c r="L1931" s="4">
        <v>22.92</v>
      </c>
    </row>
    <row r="1932" spans="2:12" x14ac:dyDescent="0.2">
      <c r="B1932" s="749">
        <v>42624</v>
      </c>
      <c r="C1932" s="1" t="s">
        <v>868</v>
      </c>
      <c r="E1932" t="s">
        <v>225</v>
      </c>
      <c r="F1932" t="s">
        <v>305</v>
      </c>
      <c r="G1932" s="1" t="s">
        <v>3</v>
      </c>
      <c r="H1932" s="1">
        <v>554029</v>
      </c>
      <c r="I1932" t="s">
        <v>910</v>
      </c>
      <c r="J1932" s="110">
        <v>271013</v>
      </c>
      <c r="K1932" s="4" t="s">
        <v>864</v>
      </c>
      <c r="L1932" s="4">
        <v>25.58</v>
      </c>
    </row>
    <row r="1933" spans="2:12" x14ac:dyDescent="0.2">
      <c r="B1933" s="749">
        <v>42624</v>
      </c>
      <c r="C1933" s="1" t="s">
        <v>868</v>
      </c>
      <c r="E1933" t="s">
        <v>225</v>
      </c>
      <c r="F1933" t="s">
        <v>305</v>
      </c>
      <c r="G1933" s="1" t="s">
        <v>3</v>
      </c>
      <c r="H1933" s="1">
        <v>554029</v>
      </c>
      <c r="I1933" t="s">
        <v>910</v>
      </c>
      <c r="J1933" s="110">
        <v>270578</v>
      </c>
      <c r="K1933" s="4" t="s">
        <v>927</v>
      </c>
      <c r="L1933" s="4">
        <v>22.94</v>
      </c>
    </row>
    <row r="1934" spans="2:12" x14ac:dyDescent="0.2">
      <c r="B1934" s="749">
        <v>42624</v>
      </c>
      <c r="C1934" s="1" t="s">
        <v>868</v>
      </c>
      <c r="E1934" t="s">
        <v>225</v>
      </c>
      <c r="F1934" t="s">
        <v>305</v>
      </c>
      <c r="G1934" s="1" t="s">
        <v>3</v>
      </c>
      <c r="H1934" s="1">
        <v>554029</v>
      </c>
      <c r="I1934" t="s">
        <v>910</v>
      </c>
      <c r="J1934" s="110">
        <v>36193</v>
      </c>
      <c r="K1934" s="4" t="s">
        <v>928</v>
      </c>
      <c r="L1934" s="4">
        <v>24.98</v>
      </c>
    </row>
    <row r="1935" spans="2:12" x14ac:dyDescent="0.2">
      <c r="B1935" s="749">
        <v>42624</v>
      </c>
      <c r="C1935" s="1" t="s">
        <v>868</v>
      </c>
      <c r="E1935" t="s">
        <v>225</v>
      </c>
      <c r="F1935" t="s">
        <v>305</v>
      </c>
      <c r="G1935" s="1" t="s">
        <v>3</v>
      </c>
      <c r="H1935" s="1">
        <v>554029</v>
      </c>
      <c r="I1935" t="s">
        <v>910</v>
      </c>
      <c r="J1935" s="110">
        <v>36194</v>
      </c>
      <c r="K1935" s="4" t="s">
        <v>929</v>
      </c>
      <c r="L1935" s="4">
        <v>24.5</v>
      </c>
    </row>
    <row r="1936" spans="2:12" x14ac:dyDescent="0.2">
      <c r="B1936" s="749">
        <v>42625</v>
      </c>
      <c r="C1936" s="1" t="s">
        <v>868</v>
      </c>
      <c r="E1936" t="s">
        <v>225</v>
      </c>
      <c r="F1936" t="s">
        <v>305</v>
      </c>
      <c r="G1936" s="1" t="s">
        <v>3</v>
      </c>
      <c r="H1936" s="1">
        <v>554029</v>
      </c>
      <c r="I1936" t="s">
        <v>910</v>
      </c>
      <c r="J1936" s="110">
        <v>270595</v>
      </c>
      <c r="K1936" s="4" t="s">
        <v>930</v>
      </c>
      <c r="L1936" s="4">
        <v>25.66</v>
      </c>
    </row>
    <row r="1937" spans="2:12" x14ac:dyDescent="0.2">
      <c r="B1937" s="749">
        <v>42625</v>
      </c>
      <c r="C1937" s="1" t="s">
        <v>868</v>
      </c>
      <c r="E1937" t="s">
        <v>225</v>
      </c>
      <c r="F1937" t="s">
        <v>305</v>
      </c>
      <c r="G1937" s="1" t="s">
        <v>3</v>
      </c>
      <c r="H1937" s="1">
        <v>554029</v>
      </c>
      <c r="I1937" t="s">
        <v>910</v>
      </c>
      <c r="J1937" s="110">
        <v>356176</v>
      </c>
      <c r="K1937" s="4" t="s">
        <v>864</v>
      </c>
      <c r="L1937" s="4">
        <v>25</v>
      </c>
    </row>
    <row r="1938" spans="2:12" x14ac:dyDescent="0.2">
      <c r="B1938" s="749">
        <v>42625</v>
      </c>
      <c r="C1938" s="1" t="s">
        <v>868</v>
      </c>
      <c r="E1938" t="s">
        <v>225</v>
      </c>
      <c r="F1938" t="s">
        <v>305</v>
      </c>
      <c r="G1938" s="1" t="s">
        <v>3</v>
      </c>
      <c r="H1938" s="1">
        <v>554029</v>
      </c>
      <c r="I1938" t="s">
        <v>910</v>
      </c>
      <c r="J1938" s="110">
        <v>270593</v>
      </c>
      <c r="K1938" s="4" t="s">
        <v>931</v>
      </c>
      <c r="L1938" s="4">
        <v>25.02</v>
      </c>
    </row>
    <row r="1939" spans="2:12" x14ac:dyDescent="0.2">
      <c r="B1939" s="749">
        <v>42625</v>
      </c>
      <c r="C1939" s="1" t="s">
        <v>868</v>
      </c>
      <c r="E1939" t="s">
        <v>225</v>
      </c>
      <c r="F1939" t="s">
        <v>305</v>
      </c>
      <c r="G1939" s="1" t="s">
        <v>3</v>
      </c>
      <c r="H1939" s="1">
        <v>554029</v>
      </c>
      <c r="I1939" t="s">
        <v>910</v>
      </c>
      <c r="J1939" s="110">
        <v>270590</v>
      </c>
      <c r="K1939" s="4" t="s">
        <v>932</v>
      </c>
      <c r="L1939" s="4">
        <v>24.54</v>
      </c>
    </row>
    <row r="1940" spans="2:12" x14ac:dyDescent="0.2">
      <c r="B1940" s="749">
        <v>42625</v>
      </c>
      <c r="C1940" s="1" t="s">
        <v>868</v>
      </c>
      <c r="E1940" t="s">
        <v>225</v>
      </c>
      <c r="F1940" t="s">
        <v>305</v>
      </c>
      <c r="G1940" s="1" t="s">
        <v>3</v>
      </c>
      <c r="H1940" s="1">
        <v>554029</v>
      </c>
      <c r="I1940" t="s">
        <v>910</v>
      </c>
      <c r="J1940" s="110">
        <v>270591</v>
      </c>
      <c r="K1940" s="4" t="s">
        <v>933</v>
      </c>
      <c r="L1940" s="4">
        <v>25.88</v>
      </c>
    </row>
    <row r="1941" spans="2:12" x14ac:dyDescent="0.2">
      <c r="B1941" s="749">
        <v>42623</v>
      </c>
      <c r="C1941" s="1" t="s">
        <v>704</v>
      </c>
      <c r="E1941" t="s">
        <v>225</v>
      </c>
      <c r="F1941" t="s">
        <v>305</v>
      </c>
      <c r="G1941" s="1" t="s">
        <v>3</v>
      </c>
      <c r="H1941" s="1">
        <v>553610</v>
      </c>
      <c r="I1941" t="s">
        <v>887</v>
      </c>
      <c r="J1941" s="110">
        <v>40511610</v>
      </c>
      <c r="K1941" s="4">
        <v>58500216</v>
      </c>
      <c r="L1941" s="4">
        <v>59.45</v>
      </c>
    </row>
    <row r="1942" spans="2:12" x14ac:dyDescent="0.2">
      <c r="B1942" s="749">
        <v>42623</v>
      </c>
      <c r="C1942" s="1" t="s">
        <v>704</v>
      </c>
      <c r="E1942" t="s">
        <v>225</v>
      </c>
      <c r="F1942" t="s">
        <v>305</v>
      </c>
      <c r="G1942" s="1" t="s">
        <v>3</v>
      </c>
      <c r="H1942" s="1">
        <v>553610</v>
      </c>
      <c r="I1942" t="s">
        <v>887</v>
      </c>
      <c r="J1942" s="110">
        <v>40511610</v>
      </c>
      <c r="K1942" s="4">
        <v>58523069</v>
      </c>
      <c r="L1942" s="4">
        <v>60.15</v>
      </c>
    </row>
    <row r="1943" spans="2:12" x14ac:dyDescent="0.2">
      <c r="B1943" s="749">
        <v>42623</v>
      </c>
      <c r="C1943" s="1" t="s">
        <v>704</v>
      </c>
      <c r="E1943" t="s">
        <v>225</v>
      </c>
      <c r="F1943" t="s">
        <v>305</v>
      </c>
      <c r="G1943" s="1" t="s">
        <v>3</v>
      </c>
      <c r="H1943" s="1">
        <v>553610</v>
      </c>
      <c r="I1943" t="s">
        <v>887</v>
      </c>
      <c r="J1943" s="110">
        <v>40511610</v>
      </c>
      <c r="K1943" s="4">
        <v>53235552</v>
      </c>
      <c r="L1943" s="4">
        <v>60.65</v>
      </c>
    </row>
    <row r="1944" spans="2:12" x14ac:dyDescent="0.2">
      <c r="B1944" s="749">
        <v>42623</v>
      </c>
      <c r="C1944" s="1" t="s">
        <v>704</v>
      </c>
      <c r="E1944" t="s">
        <v>225</v>
      </c>
      <c r="F1944" t="s">
        <v>305</v>
      </c>
      <c r="G1944" s="1" t="s">
        <v>3</v>
      </c>
      <c r="H1944" s="1">
        <v>553610</v>
      </c>
      <c r="I1944" t="s">
        <v>887</v>
      </c>
      <c r="J1944" s="110">
        <v>40511610</v>
      </c>
      <c r="K1944" s="4">
        <v>58556788</v>
      </c>
      <c r="L1944" s="4">
        <v>60.7</v>
      </c>
    </row>
    <row r="1945" spans="2:12" x14ac:dyDescent="0.2">
      <c r="B1945" s="749">
        <v>42623</v>
      </c>
      <c r="C1945" s="1" t="s">
        <v>704</v>
      </c>
      <c r="E1945" t="s">
        <v>225</v>
      </c>
      <c r="F1945" t="s">
        <v>305</v>
      </c>
      <c r="G1945" s="1" t="s">
        <v>3</v>
      </c>
      <c r="H1945" s="1">
        <v>553610</v>
      </c>
      <c r="I1945" t="s">
        <v>887</v>
      </c>
      <c r="J1945" s="110">
        <v>40511610</v>
      </c>
      <c r="K1945" s="4">
        <v>58544875</v>
      </c>
      <c r="L1945" s="4">
        <v>61.2</v>
      </c>
    </row>
    <row r="1946" spans="2:12" x14ac:dyDescent="0.2">
      <c r="B1946" s="749">
        <v>42623</v>
      </c>
      <c r="C1946" s="1" t="s">
        <v>704</v>
      </c>
      <c r="E1946" t="s">
        <v>225</v>
      </c>
      <c r="F1946" t="s">
        <v>305</v>
      </c>
      <c r="G1946" s="1" t="s">
        <v>3</v>
      </c>
      <c r="H1946" s="1">
        <v>553610</v>
      </c>
      <c r="I1946" t="s">
        <v>887</v>
      </c>
      <c r="J1946" s="110">
        <v>40511610</v>
      </c>
      <c r="K1946" s="4">
        <v>58534116</v>
      </c>
      <c r="L1946" s="4">
        <v>58.6</v>
      </c>
    </row>
    <row r="1947" spans="2:12" x14ac:dyDescent="0.2">
      <c r="B1947" s="749">
        <v>42623</v>
      </c>
      <c r="C1947" s="1" t="s">
        <v>704</v>
      </c>
      <c r="E1947" t="s">
        <v>225</v>
      </c>
      <c r="F1947" t="s">
        <v>305</v>
      </c>
      <c r="G1947" s="1" t="s">
        <v>3</v>
      </c>
      <c r="H1947" s="1">
        <v>553610</v>
      </c>
      <c r="I1947" t="s">
        <v>887</v>
      </c>
      <c r="J1947" s="110">
        <v>40518797</v>
      </c>
      <c r="K1947" s="4">
        <v>95697827</v>
      </c>
      <c r="L1947" s="4">
        <v>60.85</v>
      </c>
    </row>
    <row r="1948" spans="2:12" x14ac:dyDescent="0.2">
      <c r="B1948" s="749">
        <v>42623</v>
      </c>
      <c r="C1948" s="1" t="s">
        <v>704</v>
      </c>
      <c r="E1948" t="s">
        <v>225</v>
      </c>
      <c r="F1948" t="s">
        <v>305</v>
      </c>
      <c r="G1948" s="1" t="s">
        <v>3</v>
      </c>
      <c r="H1948" s="1">
        <v>553610</v>
      </c>
      <c r="I1948" t="s">
        <v>887</v>
      </c>
      <c r="J1948" s="110">
        <v>40511610</v>
      </c>
      <c r="K1948" s="4">
        <v>58547977</v>
      </c>
      <c r="L1948" s="4">
        <v>60.7</v>
      </c>
    </row>
    <row r="1949" spans="2:12" x14ac:dyDescent="0.2">
      <c r="B1949" s="749">
        <v>42623</v>
      </c>
      <c r="C1949" s="1" t="s">
        <v>704</v>
      </c>
      <c r="E1949" t="s">
        <v>225</v>
      </c>
      <c r="F1949" t="s">
        <v>305</v>
      </c>
      <c r="G1949" s="1" t="s">
        <v>3</v>
      </c>
      <c r="H1949" s="1">
        <v>553610</v>
      </c>
      <c r="I1949" t="s">
        <v>887</v>
      </c>
      <c r="J1949" s="110">
        <v>40518797</v>
      </c>
      <c r="K1949" s="4">
        <v>95831129</v>
      </c>
      <c r="L1949" s="4">
        <v>60.95</v>
      </c>
    </row>
    <row r="1950" spans="2:12" x14ac:dyDescent="0.2">
      <c r="B1950" s="749">
        <v>42623</v>
      </c>
      <c r="C1950" s="1" t="s">
        <v>704</v>
      </c>
      <c r="E1950" t="s">
        <v>225</v>
      </c>
      <c r="F1950" t="s">
        <v>305</v>
      </c>
      <c r="G1950" s="1" t="s">
        <v>3</v>
      </c>
      <c r="H1950" s="1">
        <v>553610</v>
      </c>
      <c r="I1950" t="s">
        <v>887</v>
      </c>
      <c r="J1950" s="110">
        <v>40525305</v>
      </c>
      <c r="K1950" s="4">
        <v>95912788</v>
      </c>
      <c r="L1950" s="4">
        <v>60.8</v>
      </c>
    </row>
    <row r="1951" spans="2:12" x14ac:dyDescent="0.2">
      <c r="B1951" s="749">
        <v>42623</v>
      </c>
      <c r="C1951" s="1" t="s">
        <v>704</v>
      </c>
      <c r="E1951" t="s">
        <v>225</v>
      </c>
      <c r="F1951" t="s">
        <v>305</v>
      </c>
      <c r="G1951" s="1" t="s">
        <v>3</v>
      </c>
      <c r="H1951" s="1">
        <v>553610</v>
      </c>
      <c r="I1951" t="s">
        <v>887</v>
      </c>
      <c r="J1951" s="110">
        <v>40488470</v>
      </c>
      <c r="K1951" s="4">
        <v>95391520</v>
      </c>
      <c r="L1951" s="4">
        <v>57.3</v>
      </c>
    </row>
    <row r="1952" spans="2:12" x14ac:dyDescent="0.2">
      <c r="B1952" s="749">
        <v>42623</v>
      </c>
      <c r="C1952" s="1" t="s">
        <v>704</v>
      </c>
      <c r="E1952" t="s">
        <v>225</v>
      </c>
      <c r="F1952" t="s">
        <v>305</v>
      </c>
      <c r="G1952" s="1" t="s">
        <v>3</v>
      </c>
      <c r="H1952" s="1">
        <v>553610</v>
      </c>
      <c r="I1952" t="s">
        <v>887</v>
      </c>
      <c r="J1952" s="110">
        <v>40488470</v>
      </c>
      <c r="K1952" s="4">
        <v>95636361</v>
      </c>
      <c r="L1952" s="4">
        <v>57.6</v>
      </c>
    </row>
    <row r="1953" spans="2:12" x14ac:dyDescent="0.2">
      <c r="B1953" s="749">
        <v>42623</v>
      </c>
      <c r="C1953" s="1" t="s">
        <v>704</v>
      </c>
      <c r="E1953" t="s">
        <v>225</v>
      </c>
      <c r="F1953" t="s">
        <v>305</v>
      </c>
      <c r="G1953" s="1" t="s">
        <v>3</v>
      </c>
      <c r="H1953" s="1">
        <v>553610</v>
      </c>
      <c r="I1953" t="s">
        <v>887</v>
      </c>
      <c r="J1953" s="110">
        <v>40495129</v>
      </c>
      <c r="K1953" s="4">
        <v>95828703</v>
      </c>
      <c r="L1953" s="4">
        <v>57.05</v>
      </c>
    </row>
    <row r="1954" spans="2:12" x14ac:dyDescent="0.2">
      <c r="B1954" s="749">
        <v>42623</v>
      </c>
      <c r="C1954" s="1" t="s">
        <v>704</v>
      </c>
      <c r="E1954" t="s">
        <v>225</v>
      </c>
      <c r="F1954" t="s">
        <v>305</v>
      </c>
      <c r="G1954" s="1" t="s">
        <v>3</v>
      </c>
      <c r="H1954" s="1">
        <v>553610</v>
      </c>
      <c r="I1954" t="s">
        <v>887</v>
      </c>
      <c r="J1954" s="110">
        <v>40495129</v>
      </c>
      <c r="K1954" s="4">
        <v>95644449</v>
      </c>
      <c r="L1954" s="4">
        <v>57.25</v>
      </c>
    </row>
    <row r="1955" spans="2:12" x14ac:dyDescent="0.2">
      <c r="B1955" s="749">
        <v>42623</v>
      </c>
      <c r="C1955" s="1" t="s">
        <v>704</v>
      </c>
      <c r="E1955" t="s">
        <v>225</v>
      </c>
      <c r="F1955" t="s">
        <v>305</v>
      </c>
      <c r="G1955" s="1" t="s">
        <v>3</v>
      </c>
      <c r="H1955" s="1">
        <v>553610</v>
      </c>
      <c r="I1955" t="s">
        <v>887</v>
      </c>
      <c r="J1955" s="110">
        <v>40511628</v>
      </c>
      <c r="K1955" s="4">
        <v>95150462</v>
      </c>
      <c r="L1955" s="4">
        <v>62.85</v>
      </c>
    </row>
    <row r="1956" spans="2:12" x14ac:dyDescent="0.2">
      <c r="B1956" s="749">
        <v>42623</v>
      </c>
      <c r="C1956" s="1" t="s">
        <v>704</v>
      </c>
      <c r="E1956" t="s">
        <v>225</v>
      </c>
      <c r="F1956" t="s">
        <v>305</v>
      </c>
      <c r="G1956" s="1" t="s">
        <v>3</v>
      </c>
      <c r="H1956" s="1">
        <v>553610</v>
      </c>
      <c r="I1956" t="s">
        <v>887</v>
      </c>
      <c r="J1956" s="110">
        <v>40511636</v>
      </c>
      <c r="K1956" s="4">
        <v>95362562</v>
      </c>
      <c r="L1956" s="4">
        <v>64.05</v>
      </c>
    </row>
    <row r="1957" spans="2:12" x14ac:dyDescent="0.2">
      <c r="B1957" s="749">
        <v>42623</v>
      </c>
      <c r="C1957" s="1" t="s">
        <v>704</v>
      </c>
      <c r="E1957" t="s">
        <v>225</v>
      </c>
      <c r="F1957" t="s">
        <v>305</v>
      </c>
      <c r="G1957" s="1" t="s">
        <v>3</v>
      </c>
      <c r="H1957" s="1">
        <v>553610</v>
      </c>
      <c r="I1957" t="s">
        <v>887</v>
      </c>
      <c r="J1957" s="110">
        <v>40511644</v>
      </c>
      <c r="K1957" s="4">
        <v>95375440</v>
      </c>
      <c r="L1957" s="4">
        <v>64.45</v>
      </c>
    </row>
    <row r="1958" spans="2:12" x14ac:dyDescent="0.2">
      <c r="B1958" s="749">
        <v>42623</v>
      </c>
      <c r="C1958" s="1" t="s">
        <v>704</v>
      </c>
      <c r="E1958" t="s">
        <v>225</v>
      </c>
      <c r="F1958" t="s">
        <v>305</v>
      </c>
      <c r="G1958" s="1" t="s">
        <v>3</v>
      </c>
      <c r="H1958" s="1">
        <v>553610</v>
      </c>
      <c r="I1958" t="s">
        <v>887</v>
      </c>
      <c r="J1958" s="110">
        <v>40445447</v>
      </c>
      <c r="K1958" s="4">
        <v>95621157</v>
      </c>
      <c r="L1958" s="4">
        <v>57.9</v>
      </c>
    </row>
    <row r="1959" spans="2:12" x14ac:dyDescent="0.2">
      <c r="B1959" s="749">
        <v>42623</v>
      </c>
      <c r="C1959" s="1" t="s">
        <v>704</v>
      </c>
      <c r="E1959" t="s">
        <v>225</v>
      </c>
      <c r="F1959" t="s">
        <v>305</v>
      </c>
      <c r="G1959" s="1" t="s">
        <v>3</v>
      </c>
      <c r="H1959" s="1">
        <v>553610</v>
      </c>
      <c r="I1959" t="s">
        <v>887</v>
      </c>
      <c r="J1959" s="110">
        <v>40525305</v>
      </c>
      <c r="K1959" s="4">
        <v>95830576</v>
      </c>
      <c r="L1959" s="4">
        <v>61.25</v>
      </c>
    </row>
    <row r="1960" spans="2:12" x14ac:dyDescent="0.2">
      <c r="B1960" s="749">
        <v>42623</v>
      </c>
      <c r="C1960" s="1" t="s">
        <v>704</v>
      </c>
      <c r="E1960" t="s">
        <v>225</v>
      </c>
      <c r="F1960" t="s">
        <v>305</v>
      </c>
      <c r="G1960" s="1" t="s">
        <v>3</v>
      </c>
      <c r="H1960" s="1">
        <v>553610</v>
      </c>
      <c r="I1960" t="s">
        <v>887</v>
      </c>
      <c r="J1960" s="110">
        <v>40525305</v>
      </c>
      <c r="K1960" s="4">
        <v>95616215</v>
      </c>
      <c r="L1960" s="4">
        <v>60.85</v>
      </c>
    </row>
    <row r="1961" spans="2:12" x14ac:dyDescent="0.2">
      <c r="B1961" s="749">
        <v>42623</v>
      </c>
      <c r="C1961" s="1" t="s">
        <v>704</v>
      </c>
      <c r="E1961" t="s">
        <v>225</v>
      </c>
      <c r="F1961" t="s">
        <v>305</v>
      </c>
      <c r="G1961" s="1" t="s">
        <v>3</v>
      </c>
      <c r="H1961" s="1">
        <v>553610</v>
      </c>
      <c r="I1961" t="s">
        <v>887</v>
      </c>
      <c r="J1961" s="110">
        <v>40525305</v>
      </c>
      <c r="K1961" s="4">
        <v>95614616</v>
      </c>
      <c r="L1961" s="4">
        <v>60.8</v>
      </c>
    </row>
    <row r="1962" spans="2:12" x14ac:dyDescent="0.2">
      <c r="B1962" s="749">
        <v>42623</v>
      </c>
      <c r="C1962" s="1" t="s">
        <v>704</v>
      </c>
      <c r="E1962" t="s">
        <v>225</v>
      </c>
      <c r="F1962" t="s">
        <v>305</v>
      </c>
      <c r="G1962" s="1" t="s">
        <v>3</v>
      </c>
      <c r="H1962" s="1">
        <v>553610</v>
      </c>
      <c r="I1962" t="s">
        <v>887</v>
      </c>
      <c r="J1962" s="110">
        <v>40526014</v>
      </c>
      <c r="K1962" s="4">
        <v>95651543</v>
      </c>
      <c r="L1962" s="4">
        <v>60.85</v>
      </c>
    </row>
    <row r="1963" spans="2:12" x14ac:dyDescent="0.2">
      <c r="B1963" s="749">
        <v>42623</v>
      </c>
      <c r="C1963" s="1" t="s">
        <v>704</v>
      </c>
      <c r="E1963" t="s">
        <v>225</v>
      </c>
      <c r="F1963" t="s">
        <v>305</v>
      </c>
      <c r="G1963" s="1" t="s">
        <v>3</v>
      </c>
      <c r="H1963" s="1">
        <v>553610</v>
      </c>
      <c r="I1963" t="s">
        <v>887</v>
      </c>
      <c r="J1963" s="110">
        <v>40488470</v>
      </c>
      <c r="K1963" s="4">
        <v>95493151</v>
      </c>
      <c r="L1963" s="4">
        <v>57.35</v>
      </c>
    </row>
    <row r="1964" spans="2:12" x14ac:dyDescent="0.2">
      <c r="B1964" s="749">
        <v>42623</v>
      </c>
      <c r="C1964" s="1" t="s">
        <v>704</v>
      </c>
      <c r="E1964" t="s">
        <v>225</v>
      </c>
      <c r="F1964" t="s">
        <v>305</v>
      </c>
      <c r="G1964" s="1" t="s">
        <v>3</v>
      </c>
      <c r="H1964" s="1">
        <v>553610</v>
      </c>
      <c r="I1964" t="s">
        <v>887</v>
      </c>
      <c r="J1964" s="110">
        <v>40488470</v>
      </c>
      <c r="K1964" s="4">
        <v>95352670</v>
      </c>
      <c r="L1964" s="4">
        <v>57.55</v>
      </c>
    </row>
    <row r="1965" spans="2:12" x14ac:dyDescent="0.2">
      <c r="B1965" s="749">
        <v>42623</v>
      </c>
      <c r="C1965" s="1" t="s">
        <v>622</v>
      </c>
      <c r="E1965" t="s">
        <v>225</v>
      </c>
      <c r="F1965" t="s">
        <v>305</v>
      </c>
      <c r="G1965" s="1" t="s">
        <v>3</v>
      </c>
      <c r="H1965" s="1">
        <v>552973</v>
      </c>
      <c r="I1965" t="s">
        <v>887</v>
      </c>
      <c r="J1965" s="110">
        <v>40568677</v>
      </c>
      <c r="K1965" s="4">
        <v>95018768</v>
      </c>
      <c r="L1965" s="4">
        <v>57.25</v>
      </c>
    </row>
    <row r="1966" spans="2:12" x14ac:dyDescent="0.2">
      <c r="B1966" s="749">
        <v>42623</v>
      </c>
      <c r="C1966" s="1" t="s">
        <v>622</v>
      </c>
      <c r="E1966" t="s">
        <v>225</v>
      </c>
      <c r="F1966" t="s">
        <v>305</v>
      </c>
      <c r="G1966" s="1" t="s">
        <v>3</v>
      </c>
      <c r="H1966" s="1">
        <v>552973</v>
      </c>
      <c r="I1966" t="s">
        <v>887</v>
      </c>
      <c r="J1966" s="110">
        <v>40568677</v>
      </c>
      <c r="K1966" s="4">
        <v>95366530</v>
      </c>
      <c r="L1966" s="4">
        <v>58.2</v>
      </c>
    </row>
    <row r="1967" spans="2:12" x14ac:dyDescent="0.2">
      <c r="B1967" s="749">
        <v>42623</v>
      </c>
      <c r="C1967" s="1" t="s">
        <v>622</v>
      </c>
      <c r="E1967" t="s">
        <v>225</v>
      </c>
      <c r="F1967" t="s">
        <v>305</v>
      </c>
      <c r="G1967" s="1" t="s">
        <v>3</v>
      </c>
      <c r="H1967" s="1">
        <v>552973</v>
      </c>
      <c r="I1967" t="s">
        <v>887</v>
      </c>
      <c r="J1967" s="110">
        <v>40568677</v>
      </c>
      <c r="K1967" s="4">
        <v>95377834</v>
      </c>
      <c r="L1967" s="4">
        <v>57</v>
      </c>
    </row>
    <row r="1968" spans="2:12" x14ac:dyDescent="0.2">
      <c r="B1968" s="749">
        <v>42623</v>
      </c>
      <c r="C1968" s="1" t="s">
        <v>622</v>
      </c>
      <c r="E1968" t="s">
        <v>225</v>
      </c>
      <c r="F1968" t="s">
        <v>305</v>
      </c>
      <c r="G1968" s="1" t="s">
        <v>3</v>
      </c>
      <c r="H1968" s="1">
        <v>552973</v>
      </c>
      <c r="I1968" t="s">
        <v>887</v>
      </c>
      <c r="J1968" s="110">
        <v>40568677</v>
      </c>
      <c r="K1968" s="4">
        <v>95385514</v>
      </c>
      <c r="L1968" s="4">
        <v>57.2</v>
      </c>
    </row>
    <row r="1969" spans="2:12" x14ac:dyDescent="0.2">
      <c r="B1969" s="749">
        <v>42623</v>
      </c>
      <c r="C1969" s="1" t="s">
        <v>622</v>
      </c>
      <c r="E1969" t="s">
        <v>225</v>
      </c>
      <c r="F1969" t="s">
        <v>305</v>
      </c>
      <c r="G1969" s="1" t="s">
        <v>3</v>
      </c>
      <c r="H1969" s="1">
        <v>552973</v>
      </c>
      <c r="I1969" t="s">
        <v>887</v>
      </c>
      <c r="J1969" s="110">
        <v>40569501</v>
      </c>
      <c r="K1969" s="4">
        <v>95644381</v>
      </c>
      <c r="L1969" s="4">
        <v>56.05</v>
      </c>
    </row>
    <row r="1970" spans="2:12" x14ac:dyDescent="0.2">
      <c r="B1970" s="749">
        <v>42622</v>
      </c>
      <c r="C1970" s="1" t="s">
        <v>936</v>
      </c>
      <c r="E1970" t="s">
        <v>225</v>
      </c>
      <c r="F1970" t="s">
        <v>305</v>
      </c>
      <c r="G1970" s="1" t="s">
        <v>3</v>
      </c>
      <c r="H1970" s="1">
        <v>552629</v>
      </c>
      <c r="I1970" t="s">
        <v>467</v>
      </c>
      <c r="J1970" s="110">
        <v>271012</v>
      </c>
      <c r="K1970" s="4" t="s">
        <v>912</v>
      </c>
      <c r="L1970" s="4">
        <v>22.32</v>
      </c>
    </row>
    <row r="1971" spans="2:12" x14ac:dyDescent="0.2">
      <c r="B1971" s="749">
        <v>42622</v>
      </c>
      <c r="C1971" s="1" t="s">
        <v>767</v>
      </c>
      <c r="E1971" t="s">
        <v>225</v>
      </c>
      <c r="F1971" t="s">
        <v>305</v>
      </c>
      <c r="G1971" s="1" t="s">
        <v>3</v>
      </c>
      <c r="H1971" s="1">
        <v>551438</v>
      </c>
      <c r="I1971" t="s">
        <v>467</v>
      </c>
      <c r="J1971" s="110">
        <v>44118941</v>
      </c>
      <c r="K1971" s="4">
        <v>95525762</v>
      </c>
      <c r="L1971" s="4">
        <v>67</v>
      </c>
    </row>
    <row r="1972" spans="2:12" x14ac:dyDescent="0.2">
      <c r="B1972" s="749">
        <v>42622</v>
      </c>
      <c r="C1972" s="1" t="s">
        <v>767</v>
      </c>
      <c r="E1972" t="s">
        <v>225</v>
      </c>
      <c r="F1972" t="s">
        <v>305</v>
      </c>
      <c r="G1972" s="1" t="s">
        <v>3</v>
      </c>
      <c r="H1972" s="1">
        <v>551438</v>
      </c>
      <c r="I1972" t="s">
        <v>467</v>
      </c>
      <c r="J1972" s="110">
        <v>44118941</v>
      </c>
      <c r="K1972" s="4">
        <v>95830543</v>
      </c>
      <c r="L1972" s="4">
        <v>65.5</v>
      </c>
    </row>
    <row r="1973" spans="2:12" x14ac:dyDescent="0.2">
      <c r="B1973" s="749">
        <v>42622</v>
      </c>
      <c r="C1973" s="1" t="s">
        <v>767</v>
      </c>
      <c r="E1973" t="s">
        <v>225</v>
      </c>
      <c r="F1973" t="s">
        <v>305</v>
      </c>
      <c r="G1973" s="1" t="s">
        <v>3</v>
      </c>
      <c r="H1973" s="1">
        <v>551438</v>
      </c>
      <c r="I1973" t="s">
        <v>467</v>
      </c>
      <c r="J1973" s="110">
        <v>44118941</v>
      </c>
      <c r="K1973" s="4">
        <v>95538781</v>
      </c>
      <c r="L1973" s="4">
        <v>65.45</v>
      </c>
    </row>
    <row r="1974" spans="2:12" x14ac:dyDescent="0.2">
      <c r="B1974" s="749">
        <v>42622</v>
      </c>
      <c r="C1974" s="1" t="s">
        <v>767</v>
      </c>
      <c r="E1974" t="s">
        <v>225</v>
      </c>
      <c r="F1974" t="s">
        <v>305</v>
      </c>
      <c r="G1974" s="1" t="s">
        <v>3</v>
      </c>
      <c r="H1974" s="1">
        <v>551438</v>
      </c>
      <c r="I1974" t="s">
        <v>467</v>
      </c>
      <c r="J1974" s="110">
        <v>44118941</v>
      </c>
      <c r="K1974" s="4">
        <v>95829040</v>
      </c>
      <c r="L1974" s="4">
        <v>64.349999999999994</v>
      </c>
    </row>
    <row r="1975" spans="2:12" x14ac:dyDescent="0.2">
      <c r="B1975" s="749">
        <v>42622</v>
      </c>
      <c r="C1975" s="1" t="s">
        <v>767</v>
      </c>
      <c r="E1975" t="s">
        <v>225</v>
      </c>
      <c r="F1975" t="s">
        <v>305</v>
      </c>
      <c r="G1975" s="1" t="s">
        <v>3</v>
      </c>
      <c r="H1975" s="1">
        <v>551438</v>
      </c>
      <c r="I1975" t="s">
        <v>467</v>
      </c>
      <c r="J1975" s="110">
        <v>44118941</v>
      </c>
      <c r="K1975" s="4">
        <v>95271441</v>
      </c>
      <c r="L1975" s="4">
        <v>69.150000000000006</v>
      </c>
    </row>
    <row r="1976" spans="2:12" x14ac:dyDescent="0.2">
      <c r="B1976" s="749">
        <v>42622</v>
      </c>
      <c r="C1976" s="1" t="s">
        <v>767</v>
      </c>
      <c r="E1976" t="s">
        <v>225</v>
      </c>
      <c r="F1976" t="s">
        <v>305</v>
      </c>
      <c r="G1976" s="1" t="s">
        <v>3</v>
      </c>
      <c r="H1976" s="1">
        <v>551438</v>
      </c>
      <c r="I1976" t="s">
        <v>467</v>
      </c>
      <c r="J1976" s="110">
        <v>44124923</v>
      </c>
      <c r="K1976" s="4">
        <v>95541363</v>
      </c>
      <c r="L1976" s="4">
        <v>64.95</v>
      </c>
    </row>
    <row r="1977" spans="2:12" x14ac:dyDescent="0.2">
      <c r="B1977" s="749">
        <v>42622</v>
      </c>
      <c r="C1977" s="1" t="s">
        <v>767</v>
      </c>
      <c r="E1977" t="s">
        <v>225</v>
      </c>
      <c r="F1977" t="s">
        <v>305</v>
      </c>
      <c r="G1977" s="1" t="s">
        <v>3</v>
      </c>
      <c r="H1977" s="1">
        <v>551438</v>
      </c>
      <c r="I1977" t="s">
        <v>467</v>
      </c>
      <c r="J1977" s="110">
        <v>44124923</v>
      </c>
      <c r="K1977" s="4">
        <v>95543930</v>
      </c>
      <c r="L1977" s="4">
        <v>65.849999999999994</v>
      </c>
    </row>
    <row r="1978" spans="2:12" x14ac:dyDescent="0.2">
      <c r="B1978" s="749">
        <v>42622</v>
      </c>
      <c r="C1978" s="1" t="s">
        <v>767</v>
      </c>
      <c r="E1978" t="s">
        <v>225</v>
      </c>
      <c r="F1978" t="s">
        <v>305</v>
      </c>
      <c r="G1978" s="1" t="s">
        <v>3</v>
      </c>
      <c r="H1978" s="1">
        <v>551438</v>
      </c>
      <c r="I1978" t="s">
        <v>467</v>
      </c>
      <c r="J1978" s="110">
        <v>44124923</v>
      </c>
      <c r="K1978" s="4">
        <v>95369526</v>
      </c>
      <c r="L1978" s="4">
        <v>65.3</v>
      </c>
    </row>
    <row r="1979" spans="2:12" x14ac:dyDescent="0.2">
      <c r="B1979" s="749">
        <v>42622</v>
      </c>
      <c r="C1979" s="1" t="s">
        <v>767</v>
      </c>
      <c r="E1979" t="s">
        <v>225</v>
      </c>
      <c r="F1979" t="s">
        <v>305</v>
      </c>
      <c r="G1979" s="1" t="s">
        <v>3</v>
      </c>
      <c r="H1979" s="1">
        <v>551438</v>
      </c>
      <c r="I1979" t="s">
        <v>467</v>
      </c>
      <c r="J1979" s="110">
        <v>44124923</v>
      </c>
      <c r="K1979" s="4">
        <v>95348462</v>
      </c>
      <c r="L1979" s="4">
        <v>66.55</v>
      </c>
    </row>
    <row r="1980" spans="2:12" x14ac:dyDescent="0.2">
      <c r="B1980" s="749">
        <v>42622</v>
      </c>
      <c r="C1980" s="1" t="s">
        <v>767</v>
      </c>
      <c r="E1980" t="s">
        <v>225</v>
      </c>
      <c r="F1980" t="s">
        <v>305</v>
      </c>
      <c r="G1980" s="1" t="s">
        <v>3</v>
      </c>
      <c r="H1980" s="1">
        <v>551438</v>
      </c>
      <c r="I1980" t="s">
        <v>467</v>
      </c>
      <c r="J1980" s="110">
        <v>44124923</v>
      </c>
      <c r="K1980" s="4">
        <v>95388724</v>
      </c>
      <c r="L1980" s="4">
        <v>65.45</v>
      </c>
    </row>
    <row r="1981" spans="2:12" x14ac:dyDescent="0.2">
      <c r="B1981" s="749">
        <v>42622</v>
      </c>
      <c r="C1981" s="1" t="s">
        <v>712</v>
      </c>
      <c r="E1981" t="s">
        <v>225</v>
      </c>
      <c r="F1981" t="s">
        <v>305</v>
      </c>
      <c r="G1981" s="1" t="s">
        <v>3</v>
      </c>
      <c r="H1981" s="1">
        <v>553450</v>
      </c>
      <c r="I1981" t="s">
        <v>467</v>
      </c>
      <c r="J1981" s="110">
        <v>40594640</v>
      </c>
      <c r="K1981" s="4">
        <v>95615282</v>
      </c>
      <c r="L1981" s="4">
        <v>67.2</v>
      </c>
    </row>
    <row r="1982" spans="2:12" x14ac:dyDescent="0.2">
      <c r="B1982" s="749">
        <v>42622</v>
      </c>
      <c r="C1982" s="1" t="s">
        <v>712</v>
      </c>
      <c r="E1982" t="s">
        <v>225</v>
      </c>
      <c r="F1982" t="s">
        <v>305</v>
      </c>
      <c r="G1982" s="1" t="s">
        <v>3</v>
      </c>
      <c r="H1982" s="1">
        <v>553450</v>
      </c>
      <c r="I1982" t="s">
        <v>467</v>
      </c>
      <c r="J1982" s="110">
        <v>40594640</v>
      </c>
      <c r="K1982" s="4">
        <v>95352555</v>
      </c>
      <c r="L1982" s="4">
        <v>66.849999999999994</v>
      </c>
    </row>
    <row r="1983" spans="2:12" x14ac:dyDescent="0.2">
      <c r="B1983" s="749">
        <v>42622</v>
      </c>
      <c r="C1983" s="1" t="s">
        <v>712</v>
      </c>
      <c r="E1983" t="s">
        <v>225</v>
      </c>
      <c r="F1983" t="s">
        <v>305</v>
      </c>
      <c r="G1983" s="1" t="s">
        <v>3</v>
      </c>
      <c r="H1983" s="1">
        <v>553450</v>
      </c>
      <c r="I1983" t="s">
        <v>467</v>
      </c>
      <c r="J1983" s="110">
        <v>40594640</v>
      </c>
      <c r="K1983" s="4">
        <v>95544110</v>
      </c>
      <c r="L1983" s="4">
        <v>69.95</v>
      </c>
    </row>
    <row r="1984" spans="2:12" x14ac:dyDescent="0.2">
      <c r="B1984" s="749">
        <v>42622</v>
      </c>
      <c r="C1984" s="1" t="s">
        <v>934</v>
      </c>
      <c r="E1984" t="s">
        <v>225</v>
      </c>
      <c r="F1984" t="s">
        <v>305</v>
      </c>
      <c r="G1984" s="1" t="s">
        <v>3</v>
      </c>
      <c r="H1984" s="1">
        <v>553902</v>
      </c>
      <c r="I1984" t="s">
        <v>467</v>
      </c>
      <c r="J1984" s="110">
        <v>271068</v>
      </c>
      <c r="K1984" s="4" t="s">
        <v>894</v>
      </c>
      <c r="L1984" s="4">
        <v>21.96</v>
      </c>
    </row>
    <row r="1985" spans="2:12" x14ac:dyDescent="0.2">
      <c r="B1985" s="749">
        <v>42623</v>
      </c>
      <c r="C1985" s="1" t="s">
        <v>712</v>
      </c>
      <c r="E1985" t="s">
        <v>225</v>
      </c>
      <c r="F1985" t="s">
        <v>305</v>
      </c>
      <c r="G1985" s="1" t="s">
        <v>3</v>
      </c>
      <c r="H1985" s="1">
        <v>553450</v>
      </c>
      <c r="I1985" t="s">
        <v>467</v>
      </c>
      <c r="J1985" s="110">
        <v>40594640</v>
      </c>
      <c r="K1985" s="4">
        <v>95695441</v>
      </c>
      <c r="L1985" s="4">
        <v>68.3</v>
      </c>
    </row>
    <row r="1986" spans="2:12" x14ac:dyDescent="0.2">
      <c r="B1986" s="749">
        <v>42623</v>
      </c>
      <c r="C1986" s="1" t="s">
        <v>712</v>
      </c>
      <c r="E1986" t="s">
        <v>225</v>
      </c>
      <c r="F1986" t="s">
        <v>305</v>
      </c>
      <c r="G1986" s="1" t="s">
        <v>3</v>
      </c>
      <c r="H1986" s="1">
        <v>553450</v>
      </c>
      <c r="I1986" t="s">
        <v>467</v>
      </c>
      <c r="J1986" s="110">
        <v>40594640</v>
      </c>
      <c r="K1986" s="4">
        <v>95020202</v>
      </c>
      <c r="L1986" s="4">
        <v>67.8</v>
      </c>
    </row>
    <row r="1987" spans="2:12" x14ac:dyDescent="0.2">
      <c r="B1987" s="749">
        <v>42623</v>
      </c>
      <c r="C1987" s="1" t="s">
        <v>712</v>
      </c>
      <c r="E1987" t="s">
        <v>225</v>
      </c>
      <c r="F1987" t="s">
        <v>305</v>
      </c>
      <c r="G1987" s="1" t="s">
        <v>3</v>
      </c>
      <c r="H1987" s="1">
        <v>553450</v>
      </c>
      <c r="I1987" t="s">
        <v>467</v>
      </c>
      <c r="J1987" s="110">
        <v>40594640</v>
      </c>
      <c r="K1987" s="4">
        <v>95794434</v>
      </c>
      <c r="L1987" s="4">
        <v>66.95</v>
      </c>
    </row>
    <row r="1988" spans="2:12" x14ac:dyDescent="0.2">
      <c r="B1988" s="749">
        <v>42623</v>
      </c>
      <c r="C1988" s="1" t="s">
        <v>712</v>
      </c>
      <c r="E1988" t="s">
        <v>225</v>
      </c>
      <c r="F1988" t="s">
        <v>305</v>
      </c>
      <c r="G1988" s="1" t="s">
        <v>3</v>
      </c>
      <c r="H1988" s="1">
        <v>553450</v>
      </c>
      <c r="I1988" t="s">
        <v>467</v>
      </c>
      <c r="J1988" s="110">
        <v>40594640</v>
      </c>
      <c r="K1988" s="4">
        <v>95680260</v>
      </c>
      <c r="L1988" s="4">
        <v>68.75</v>
      </c>
    </row>
    <row r="1989" spans="2:12" x14ac:dyDescent="0.2">
      <c r="B1989" s="749">
        <v>42623</v>
      </c>
      <c r="C1989" s="1" t="s">
        <v>712</v>
      </c>
      <c r="E1989" t="s">
        <v>225</v>
      </c>
      <c r="F1989" t="s">
        <v>305</v>
      </c>
      <c r="G1989" s="1" t="s">
        <v>3</v>
      </c>
      <c r="H1989" s="1">
        <v>553450</v>
      </c>
      <c r="I1989" t="s">
        <v>467</v>
      </c>
      <c r="J1989" s="110">
        <v>40594640</v>
      </c>
      <c r="K1989" s="4">
        <v>95655387</v>
      </c>
      <c r="L1989" s="4">
        <v>68</v>
      </c>
    </row>
    <row r="1990" spans="2:12" x14ac:dyDescent="0.2">
      <c r="B1990" s="749">
        <v>42623</v>
      </c>
      <c r="C1990" s="1" t="s">
        <v>712</v>
      </c>
      <c r="E1990" t="s">
        <v>225</v>
      </c>
      <c r="F1990" t="s">
        <v>305</v>
      </c>
      <c r="G1990" s="1" t="s">
        <v>3</v>
      </c>
      <c r="H1990" s="1">
        <v>553450</v>
      </c>
      <c r="I1990" t="s">
        <v>467</v>
      </c>
      <c r="J1990" s="110">
        <v>40594640</v>
      </c>
      <c r="K1990" s="4">
        <v>95613303</v>
      </c>
      <c r="L1990" s="4">
        <v>68.25</v>
      </c>
    </row>
    <row r="1991" spans="2:12" x14ac:dyDescent="0.2">
      <c r="B1991" s="749">
        <v>42623</v>
      </c>
      <c r="C1991" s="1" t="s">
        <v>712</v>
      </c>
      <c r="E1991" t="s">
        <v>225</v>
      </c>
      <c r="F1991" t="s">
        <v>305</v>
      </c>
      <c r="G1991" s="1" t="s">
        <v>3</v>
      </c>
      <c r="H1991" s="1">
        <v>553450</v>
      </c>
      <c r="I1991" t="s">
        <v>467</v>
      </c>
      <c r="J1991" s="110">
        <v>40594640</v>
      </c>
      <c r="K1991" s="4">
        <v>95173589</v>
      </c>
      <c r="L1991" s="4">
        <v>69.05</v>
      </c>
    </row>
    <row r="1992" spans="2:12" x14ac:dyDescent="0.2">
      <c r="B1992" s="749">
        <v>42623</v>
      </c>
      <c r="C1992" s="1" t="s">
        <v>712</v>
      </c>
      <c r="E1992" t="s">
        <v>225</v>
      </c>
      <c r="F1992" t="s">
        <v>305</v>
      </c>
      <c r="G1992" s="1" t="s">
        <v>3</v>
      </c>
      <c r="H1992" s="1">
        <v>553450</v>
      </c>
      <c r="I1992" t="s">
        <v>467</v>
      </c>
      <c r="J1992" s="110">
        <v>40594640</v>
      </c>
      <c r="K1992" s="4">
        <v>95650529</v>
      </c>
      <c r="L1992" s="4">
        <v>66.2</v>
      </c>
    </row>
    <row r="1993" spans="2:12" x14ac:dyDescent="0.2">
      <c r="B1993" s="749">
        <v>42623</v>
      </c>
      <c r="C1993" s="1" t="s">
        <v>712</v>
      </c>
      <c r="E1993" t="s">
        <v>225</v>
      </c>
      <c r="F1993" t="s">
        <v>305</v>
      </c>
      <c r="G1993" s="1" t="s">
        <v>3</v>
      </c>
      <c r="H1993" s="1">
        <v>553450</v>
      </c>
      <c r="I1993" t="s">
        <v>467</v>
      </c>
      <c r="J1993" s="110">
        <v>40594640</v>
      </c>
      <c r="K1993" s="4">
        <v>95449617</v>
      </c>
      <c r="L1993" s="4">
        <v>67</v>
      </c>
    </row>
    <row r="1994" spans="2:12" x14ac:dyDescent="0.2">
      <c r="B1994" s="749">
        <v>42623</v>
      </c>
      <c r="C1994" s="1" t="s">
        <v>712</v>
      </c>
      <c r="E1994" t="s">
        <v>225</v>
      </c>
      <c r="F1994" t="s">
        <v>305</v>
      </c>
      <c r="G1994" s="1" t="s">
        <v>3</v>
      </c>
      <c r="H1994" s="1">
        <v>553450</v>
      </c>
      <c r="I1994" t="s">
        <v>467</v>
      </c>
      <c r="J1994" s="110">
        <v>40622698</v>
      </c>
      <c r="K1994" s="4">
        <v>95654430</v>
      </c>
      <c r="L1994" s="4">
        <v>69.75</v>
      </c>
    </row>
    <row r="1995" spans="2:12" x14ac:dyDescent="0.2">
      <c r="B1995" s="749">
        <v>42623</v>
      </c>
      <c r="C1995" s="1" t="s">
        <v>712</v>
      </c>
      <c r="E1995" t="s">
        <v>225</v>
      </c>
      <c r="F1995" t="s">
        <v>305</v>
      </c>
      <c r="G1995" s="1" t="s">
        <v>3</v>
      </c>
      <c r="H1995" s="1">
        <v>553450</v>
      </c>
      <c r="I1995" t="s">
        <v>467</v>
      </c>
      <c r="J1995" s="110">
        <v>40623100</v>
      </c>
      <c r="K1995" s="4">
        <v>95755914</v>
      </c>
      <c r="L1995" s="4">
        <v>67.25</v>
      </c>
    </row>
    <row r="1996" spans="2:12" x14ac:dyDescent="0.2">
      <c r="B1996" s="749">
        <v>42623</v>
      </c>
      <c r="C1996" s="1" t="s">
        <v>712</v>
      </c>
      <c r="E1996" t="s">
        <v>225</v>
      </c>
      <c r="F1996" t="s">
        <v>305</v>
      </c>
      <c r="G1996" s="1" t="s">
        <v>3</v>
      </c>
      <c r="H1996" s="1">
        <v>553450</v>
      </c>
      <c r="I1996" t="s">
        <v>467</v>
      </c>
      <c r="J1996" s="110">
        <v>40623100</v>
      </c>
      <c r="K1996" s="4">
        <v>95524369</v>
      </c>
      <c r="L1996" s="4">
        <v>66.3</v>
      </c>
    </row>
    <row r="1997" spans="2:12" x14ac:dyDescent="0.2">
      <c r="B1997" s="749">
        <v>42623</v>
      </c>
      <c r="C1997" s="1" t="s">
        <v>712</v>
      </c>
      <c r="E1997" t="s">
        <v>225</v>
      </c>
      <c r="F1997" t="s">
        <v>305</v>
      </c>
      <c r="G1997" s="1" t="s">
        <v>3</v>
      </c>
      <c r="H1997" s="1">
        <v>553450</v>
      </c>
      <c r="I1997" t="s">
        <v>467</v>
      </c>
      <c r="J1997" s="110">
        <v>40623100</v>
      </c>
      <c r="K1997" s="4">
        <v>95795373</v>
      </c>
      <c r="L1997" s="4">
        <v>65.95</v>
      </c>
    </row>
    <row r="1998" spans="2:12" x14ac:dyDescent="0.2">
      <c r="B1998" s="749">
        <v>42623</v>
      </c>
      <c r="C1998" s="1" t="s">
        <v>767</v>
      </c>
      <c r="E1998" t="s">
        <v>225</v>
      </c>
      <c r="F1998" t="s">
        <v>305</v>
      </c>
      <c r="G1998" s="1" t="s">
        <v>3</v>
      </c>
      <c r="H1998" s="1">
        <v>551438</v>
      </c>
      <c r="I1998" t="s">
        <v>467</v>
      </c>
      <c r="J1998" s="110">
        <v>44147684</v>
      </c>
      <c r="K1998" s="4">
        <v>95318820</v>
      </c>
      <c r="L1998" s="4">
        <v>65.5</v>
      </c>
    </row>
    <row r="1999" spans="2:12" x14ac:dyDescent="0.2">
      <c r="B1999" s="749">
        <v>42623</v>
      </c>
      <c r="C1999" s="1" t="s">
        <v>767</v>
      </c>
      <c r="E1999" t="s">
        <v>225</v>
      </c>
      <c r="F1999" t="s">
        <v>305</v>
      </c>
      <c r="G1999" s="1" t="s">
        <v>3</v>
      </c>
      <c r="H1999" s="1">
        <v>551438</v>
      </c>
      <c r="I1999" t="s">
        <v>467</v>
      </c>
      <c r="J1999" s="110">
        <v>44147684</v>
      </c>
      <c r="K1999" s="4">
        <v>95450359</v>
      </c>
      <c r="L1999" s="4">
        <v>64.5</v>
      </c>
    </row>
    <row r="2000" spans="2:12" x14ac:dyDescent="0.2">
      <c r="B2000" s="749">
        <v>42623</v>
      </c>
      <c r="C2000" s="1" t="s">
        <v>712</v>
      </c>
      <c r="E2000" t="s">
        <v>225</v>
      </c>
      <c r="F2000" t="s">
        <v>305</v>
      </c>
      <c r="G2000" s="1" t="s">
        <v>3</v>
      </c>
      <c r="H2000" s="1">
        <v>553450</v>
      </c>
      <c r="I2000" t="s">
        <v>467</v>
      </c>
      <c r="J2000" s="110">
        <v>40623100</v>
      </c>
      <c r="K2000" s="4">
        <v>95751608</v>
      </c>
      <c r="L2000" s="4">
        <v>67.75</v>
      </c>
    </row>
    <row r="2001" spans="2:12" x14ac:dyDescent="0.2">
      <c r="B2001" s="749">
        <v>42623</v>
      </c>
      <c r="C2001" s="1" t="s">
        <v>712</v>
      </c>
      <c r="E2001" t="s">
        <v>225</v>
      </c>
      <c r="F2001" t="s">
        <v>305</v>
      </c>
      <c r="G2001" s="1" t="s">
        <v>3</v>
      </c>
      <c r="H2001" s="1">
        <v>553450</v>
      </c>
      <c r="I2001" t="s">
        <v>467</v>
      </c>
      <c r="J2001" s="110">
        <v>40623100</v>
      </c>
      <c r="K2001" s="4">
        <v>95370664</v>
      </c>
      <c r="L2001" s="4">
        <v>67.25</v>
      </c>
    </row>
    <row r="2002" spans="2:12" x14ac:dyDescent="0.2">
      <c r="B2002" s="749">
        <v>42623</v>
      </c>
      <c r="C2002" s="1" t="s">
        <v>712</v>
      </c>
      <c r="E2002" t="s">
        <v>225</v>
      </c>
      <c r="F2002" t="s">
        <v>305</v>
      </c>
      <c r="G2002" s="1" t="s">
        <v>3</v>
      </c>
      <c r="H2002" s="1">
        <v>553450</v>
      </c>
      <c r="I2002" t="s">
        <v>467</v>
      </c>
      <c r="J2002" s="110">
        <v>40623100</v>
      </c>
      <c r="K2002" s="4">
        <v>95539003</v>
      </c>
      <c r="L2002" s="4">
        <v>66.650000000000006</v>
      </c>
    </row>
    <row r="2003" spans="2:12" x14ac:dyDescent="0.2">
      <c r="B2003" s="749">
        <v>42623</v>
      </c>
      <c r="C2003" s="1" t="s">
        <v>707</v>
      </c>
      <c r="E2003" t="s">
        <v>225</v>
      </c>
      <c r="F2003" t="s">
        <v>305</v>
      </c>
      <c r="G2003" s="1" t="s">
        <v>3</v>
      </c>
      <c r="H2003" s="1">
        <v>553496</v>
      </c>
      <c r="I2003" t="s">
        <v>467</v>
      </c>
      <c r="J2003" s="110">
        <v>600634</v>
      </c>
      <c r="K2003" s="4" t="s">
        <v>913</v>
      </c>
      <c r="L2003" s="4">
        <v>25.6</v>
      </c>
    </row>
    <row r="2004" spans="2:12" x14ac:dyDescent="0.2">
      <c r="B2004" s="749">
        <v>42624</v>
      </c>
      <c r="C2004" s="1" t="s">
        <v>712</v>
      </c>
      <c r="E2004" t="s">
        <v>225</v>
      </c>
      <c r="F2004" t="s">
        <v>305</v>
      </c>
      <c r="G2004" s="1" t="s">
        <v>3</v>
      </c>
      <c r="H2004" s="1">
        <v>553450</v>
      </c>
      <c r="I2004" t="s">
        <v>467</v>
      </c>
      <c r="J2004" s="110">
        <v>40622698</v>
      </c>
      <c r="K2004" s="4">
        <v>95532628</v>
      </c>
      <c r="L2004" s="4">
        <v>68.3</v>
      </c>
    </row>
    <row r="2005" spans="2:12" x14ac:dyDescent="0.2">
      <c r="B2005" s="749">
        <v>42624</v>
      </c>
      <c r="C2005" s="1" t="s">
        <v>712</v>
      </c>
      <c r="E2005" t="s">
        <v>225</v>
      </c>
      <c r="F2005" t="s">
        <v>305</v>
      </c>
      <c r="G2005" s="1" t="s">
        <v>3</v>
      </c>
      <c r="H2005" s="1">
        <v>553450</v>
      </c>
      <c r="I2005" t="s">
        <v>467</v>
      </c>
      <c r="J2005" s="110">
        <v>40622698</v>
      </c>
      <c r="K2005" s="4">
        <v>95752481</v>
      </c>
      <c r="L2005" s="4">
        <v>67.75</v>
      </c>
    </row>
    <row r="2006" spans="2:12" x14ac:dyDescent="0.2">
      <c r="B2006" s="749">
        <v>42624</v>
      </c>
      <c r="C2006" s="1" t="s">
        <v>712</v>
      </c>
      <c r="E2006" t="s">
        <v>225</v>
      </c>
      <c r="F2006" t="s">
        <v>305</v>
      </c>
      <c r="G2006" s="1" t="s">
        <v>3</v>
      </c>
      <c r="H2006" s="1">
        <v>553450</v>
      </c>
      <c r="I2006" t="s">
        <v>467</v>
      </c>
      <c r="J2006" s="110">
        <v>40622698</v>
      </c>
      <c r="K2006" s="4">
        <v>95492526</v>
      </c>
      <c r="L2006" s="4">
        <v>69.5</v>
      </c>
    </row>
    <row r="2007" spans="2:12" x14ac:dyDescent="0.2">
      <c r="B2007" s="749">
        <v>42624</v>
      </c>
      <c r="C2007" s="1" t="s">
        <v>712</v>
      </c>
      <c r="E2007" t="s">
        <v>225</v>
      </c>
      <c r="F2007" t="s">
        <v>305</v>
      </c>
      <c r="G2007" s="1" t="s">
        <v>3</v>
      </c>
      <c r="H2007" s="1">
        <v>553450</v>
      </c>
      <c r="I2007" t="s">
        <v>467</v>
      </c>
      <c r="J2007" s="110">
        <v>40623100</v>
      </c>
      <c r="K2007" s="4">
        <v>95796132</v>
      </c>
      <c r="L2007" s="4">
        <v>67.55</v>
      </c>
    </row>
    <row r="2008" spans="2:12" x14ac:dyDescent="0.2">
      <c r="B2008" s="749">
        <v>42624</v>
      </c>
      <c r="C2008" s="1" t="s">
        <v>712</v>
      </c>
      <c r="E2008" t="s">
        <v>225</v>
      </c>
      <c r="F2008" t="s">
        <v>305</v>
      </c>
      <c r="G2008" s="1" t="s">
        <v>3</v>
      </c>
      <c r="H2008" s="1">
        <v>553450</v>
      </c>
      <c r="I2008" t="s">
        <v>467</v>
      </c>
      <c r="J2008" s="110">
        <v>40623100</v>
      </c>
      <c r="K2008" s="4">
        <v>95396453</v>
      </c>
      <c r="L2008" s="4">
        <v>63.7</v>
      </c>
    </row>
    <row r="2009" spans="2:12" x14ac:dyDescent="0.2">
      <c r="B2009" s="749">
        <v>42624</v>
      </c>
      <c r="C2009" s="1" t="s">
        <v>767</v>
      </c>
      <c r="E2009" t="s">
        <v>225</v>
      </c>
      <c r="F2009" t="s">
        <v>305</v>
      </c>
      <c r="G2009" s="1" t="s">
        <v>3</v>
      </c>
      <c r="H2009" s="1">
        <v>551438</v>
      </c>
      <c r="I2009" t="s">
        <v>467</v>
      </c>
      <c r="J2009" s="110">
        <v>44156057</v>
      </c>
      <c r="K2009" s="4">
        <v>95539359</v>
      </c>
      <c r="L2009" s="4">
        <v>66.05</v>
      </c>
    </row>
    <row r="2010" spans="2:12" x14ac:dyDescent="0.2">
      <c r="B2010" s="749">
        <v>42624</v>
      </c>
      <c r="C2010" s="1" t="s">
        <v>767</v>
      </c>
      <c r="E2010" t="s">
        <v>225</v>
      </c>
      <c r="F2010" t="s">
        <v>305</v>
      </c>
      <c r="G2010" s="1" t="s">
        <v>3</v>
      </c>
      <c r="H2010" s="1">
        <v>551438</v>
      </c>
      <c r="I2010" t="s">
        <v>467</v>
      </c>
      <c r="J2010" s="110">
        <v>44147684</v>
      </c>
      <c r="K2010" s="4">
        <v>95349056</v>
      </c>
      <c r="L2010" s="4">
        <v>67.7</v>
      </c>
    </row>
    <row r="2011" spans="2:12" x14ac:dyDescent="0.2">
      <c r="B2011" s="749">
        <v>42624</v>
      </c>
      <c r="C2011" s="1" t="s">
        <v>767</v>
      </c>
      <c r="E2011" t="s">
        <v>225</v>
      </c>
      <c r="F2011" t="s">
        <v>305</v>
      </c>
      <c r="G2011" s="1" t="s">
        <v>3</v>
      </c>
      <c r="H2011" s="1">
        <v>551438</v>
      </c>
      <c r="I2011" t="s">
        <v>467</v>
      </c>
      <c r="J2011" s="110">
        <v>44147684</v>
      </c>
      <c r="K2011" s="4">
        <v>95538450</v>
      </c>
      <c r="L2011" s="4">
        <v>67.650000000000006</v>
      </c>
    </row>
    <row r="2012" spans="2:12" x14ac:dyDescent="0.2">
      <c r="B2012" s="749">
        <v>42624</v>
      </c>
      <c r="C2012" s="1" t="s">
        <v>767</v>
      </c>
      <c r="E2012" t="s">
        <v>225</v>
      </c>
      <c r="F2012" t="s">
        <v>305</v>
      </c>
      <c r="G2012" s="1" t="s">
        <v>3</v>
      </c>
      <c r="H2012" s="1">
        <v>551438</v>
      </c>
      <c r="I2012" t="s">
        <v>467</v>
      </c>
      <c r="J2012" s="110">
        <v>44147684</v>
      </c>
      <c r="K2012" s="4">
        <v>95630208</v>
      </c>
      <c r="L2012" s="4">
        <v>68.3</v>
      </c>
    </row>
    <row r="2013" spans="2:12" x14ac:dyDescent="0.2">
      <c r="B2013" s="749">
        <v>42624</v>
      </c>
      <c r="C2013" s="1" t="s">
        <v>767</v>
      </c>
      <c r="E2013" t="s">
        <v>225</v>
      </c>
      <c r="F2013" t="s">
        <v>305</v>
      </c>
      <c r="G2013" s="1" t="s">
        <v>3</v>
      </c>
      <c r="H2013" s="1">
        <v>551438</v>
      </c>
      <c r="I2013" t="s">
        <v>467</v>
      </c>
      <c r="J2013" s="110">
        <v>44147684</v>
      </c>
      <c r="K2013" s="4">
        <v>95648861</v>
      </c>
      <c r="L2013" s="4">
        <v>66.3</v>
      </c>
    </row>
    <row r="2014" spans="2:12" x14ac:dyDescent="0.2">
      <c r="B2014" s="749">
        <v>42624</v>
      </c>
      <c r="C2014" s="1" t="s">
        <v>712</v>
      </c>
      <c r="E2014" t="s">
        <v>225</v>
      </c>
      <c r="F2014" t="s">
        <v>305</v>
      </c>
      <c r="G2014" s="1" t="s">
        <v>3</v>
      </c>
      <c r="H2014" s="1">
        <v>553450</v>
      </c>
      <c r="I2014" t="s">
        <v>467</v>
      </c>
      <c r="J2014" s="110">
        <v>40622698</v>
      </c>
      <c r="K2014" s="4">
        <v>95669131</v>
      </c>
      <c r="L2014" s="4">
        <v>64</v>
      </c>
    </row>
    <row r="2015" spans="2:12" x14ac:dyDescent="0.2">
      <c r="B2015" s="749">
        <v>42624</v>
      </c>
      <c r="C2015" s="1" t="s">
        <v>712</v>
      </c>
      <c r="E2015" t="s">
        <v>225</v>
      </c>
      <c r="F2015" t="s">
        <v>305</v>
      </c>
      <c r="G2015" s="1" t="s">
        <v>3</v>
      </c>
      <c r="H2015" s="1">
        <v>553450</v>
      </c>
      <c r="I2015" t="s">
        <v>467</v>
      </c>
      <c r="J2015" s="110">
        <v>40622698</v>
      </c>
      <c r="K2015" s="4">
        <v>95734448</v>
      </c>
      <c r="L2015" s="4">
        <v>64.05</v>
      </c>
    </row>
    <row r="2016" spans="2:12" x14ac:dyDescent="0.2">
      <c r="B2016" s="749">
        <v>42624</v>
      </c>
      <c r="C2016" s="1" t="s">
        <v>712</v>
      </c>
      <c r="E2016" t="s">
        <v>225</v>
      </c>
      <c r="F2016" t="s">
        <v>305</v>
      </c>
      <c r="G2016" s="1" t="s">
        <v>3</v>
      </c>
      <c r="H2016" s="1">
        <v>553450</v>
      </c>
      <c r="I2016" t="s">
        <v>467</v>
      </c>
      <c r="J2016" s="110">
        <v>40622698</v>
      </c>
      <c r="K2016" s="4">
        <v>95620076</v>
      </c>
      <c r="L2016" s="4">
        <v>66.05</v>
      </c>
    </row>
    <row r="2017" spans="2:12" x14ac:dyDescent="0.2">
      <c r="B2017" s="749">
        <v>42624</v>
      </c>
      <c r="C2017" s="1" t="s">
        <v>767</v>
      </c>
      <c r="E2017" t="s">
        <v>225</v>
      </c>
      <c r="F2017" t="s">
        <v>305</v>
      </c>
      <c r="G2017" s="1" t="s">
        <v>3</v>
      </c>
      <c r="H2017" s="1">
        <v>551438</v>
      </c>
      <c r="I2017" t="s">
        <v>467</v>
      </c>
      <c r="J2017" s="110">
        <v>44153153</v>
      </c>
      <c r="K2017" s="4">
        <v>95310538</v>
      </c>
      <c r="L2017" s="4">
        <v>61.45</v>
      </c>
    </row>
    <row r="2018" spans="2:12" x14ac:dyDescent="0.2">
      <c r="B2018" s="749">
        <v>42624</v>
      </c>
      <c r="C2018" s="1" t="s">
        <v>767</v>
      </c>
      <c r="E2018" t="s">
        <v>225</v>
      </c>
      <c r="F2018" t="s">
        <v>305</v>
      </c>
      <c r="G2018" s="1" t="s">
        <v>3</v>
      </c>
      <c r="H2018" s="1">
        <v>551438</v>
      </c>
      <c r="I2018" t="s">
        <v>467</v>
      </c>
      <c r="J2018" s="110">
        <v>44153153</v>
      </c>
      <c r="K2018" s="4">
        <v>95371571</v>
      </c>
      <c r="L2018" s="4">
        <v>66.8</v>
      </c>
    </row>
    <row r="2019" spans="2:12" x14ac:dyDescent="0.2">
      <c r="B2019" s="749">
        <v>42624</v>
      </c>
      <c r="C2019" s="1" t="s">
        <v>767</v>
      </c>
      <c r="E2019" t="s">
        <v>225</v>
      </c>
      <c r="F2019" t="s">
        <v>305</v>
      </c>
      <c r="G2019" s="1" t="s">
        <v>3</v>
      </c>
      <c r="H2019" s="1">
        <v>551438</v>
      </c>
      <c r="I2019" t="s">
        <v>467</v>
      </c>
      <c r="J2019" s="110">
        <v>44153153</v>
      </c>
      <c r="K2019" s="4">
        <v>95325957</v>
      </c>
      <c r="L2019" s="4">
        <v>67.25</v>
      </c>
    </row>
    <row r="2020" spans="2:12" x14ac:dyDescent="0.2">
      <c r="B2020" s="749">
        <v>42624</v>
      </c>
      <c r="C2020" s="1" t="s">
        <v>767</v>
      </c>
      <c r="E2020" t="s">
        <v>225</v>
      </c>
      <c r="F2020" t="s">
        <v>305</v>
      </c>
      <c r="G2020" s="1" t="s">
        <v>3</v>
      </c>
      <c r="H2020" s="1">
        <v>551438</v>
      </c>
      <c r="I2020" t="s">
        <v>467</v>
      </c>
      <c r="J2020" s="110">
        <v>44153153</v>
      </c>
      <c r="K2020" s="4">
        <v>95354783</v>
      </c>
      <c r="L2020" s="4">
        <v>64.25</v>
      </c>
    </row>
    <row r="2021" spans="2:12" x14ac:dyDescent="0.2">
      <c r="B2021" s="749">
        <v>42624</v>
      </c>
      <c r="C2021" s="1" t="s">
        <v>767</v>
      </c>
      <c r="E2021" t="s">
        <v>225</v>
      </c>
      <c r="F2021" t="s">
        <v>305</v>
      </c>
      <c r="G2021" s="1" t="s">
        <v>3</v>
      </c>
      <c r="H2021" s="1">
        <v>551438</v>
      </c>
      <c r="I2021" t="s">
        <v>467</v>
      </c>
      <c r="J2021" s="110">
        <v>44153153</v>
      </c>
      <c r="K2021" s="4">
        <v>95793022</v>
      </c>
      <c r="L2021" s="4">
        <v>65.95</v>
      </c>
    </row>
    <row r="2022" spans="2:12" x14ac:dyDescent="0.2">
      <c r="B2022" s="749">
        <v>42624</v>
      </c>
      <c r="C2022" s="1" t="s">
        <v>767</v>
      </c>
      <c r="E2022" t="s">
        <v>225</v>
      </c>
      <c r="F2022" t="s">
        <v>305</v>
      </c>
      <c r="G2022" s="1" t="s">
        <v>3</v>
      </c>
      <c r="H2022" s="1">
        <v>551438</v>
      </c>
      <c r="I2022" t="s">
        <v>467</v>
      </c>
      <c r="J2022" s="110">
        <v>44153153</v>
      </c>
      <c r="K2022" s="4">
        <v>95758033</v>
      </c>
      <c r="L2022" s="4">
        <v>62.55</v>
      </c>
    </row>
    <row r="2023" spans="2:12" x14ac:dyDescent="0.2">
      <c r="B2023" s="749">
        <v>42624</v>
      </c>
      <c r="C2023" s="1" t="s">
        <v>767</v>
      </c>
      <c r="E2023" t="s">
        <v>225</v>
      </c>
      <c r="F2023" t="s">
        <v>305</v>
      </c>
      <c r="G2023" s="1" t="s">
        <v>3</v>
      </c>
      <c r="H2023" s="1">
        <v>551438</v>
      </c>
      <c r="I2023" t="s">
        <v>467</v>
      </c>
      <c r="J2023" s="110">
        <v>44156057</v>
      </c>
      <c r="K2023" s="4">
        <v>95691788</v>
      </c>
      <c r="L2023" s="4">
        <v>66.150000000000006</v>
      </c>
    </row>
    <row r="2024" spans="2:12" x14ac:dyDescent="0.2">
      <c r="B2024" s="749">
        <v>42624</v>
      </c>
      <c r="C2024" s="1" t="s">
        <v>495</v>
      </c>
      <c r="E2024" t="s">
        <v>225</v>
      </c>
      <c r="F2024" t="s">
        <v>305</v>
      </c>
      <c r="G2024" s="1" t="s">
        <v>3</v>
      </c>
      <c r="H2024" s="1">
        <v>552936</v>
      </c>
      <c r="I2024" t="s">
        <v>467</v>
      </c>
      <c r="J2024" s="110">
        <v>47856513</v>
      </c>
      <c r="K2024" s="4">
        <v>95377909</v>
      </c>
      <c r="L2024" s="4">
        <v>69.55</v>
      </c>
    </row>
    <row r="2025" spans="2:12" x14ac:dyDescent="0.2">
      <c r="B2025" s="749">
        <v>42624</v>
      </c>
      <c r="C2025" s="1" t="s">
        <v>495</v>
      </c>
      <c r="E2025" t="s">
        <v>225</v>
      </c>
      <c r="F2025" t="s">
        <v>305</v>
      </c>
      <c r="G2025" s="1" t="s">
        <v>3</v>
      </c>
      <c r="H2025" s="1">
        <v>552936</v>
      </c>
      <c r="I2025" t="s">
        <v>467</v>
      </c>
      <c r="J2025" s="110">
        <v>47856513</v>
      </c>
      <c r="K2025" s="4">
        <v>95669073</v>
      </c>
      <c r="L2025" s="4">
        <v>70.2</v>
      </c>
    </row>
    <row r="2026" spans="2:12" x14ac:dyDescent="0.2">
      <c r="B2026" s="749">
        <v>42624</v>
      </c>
      <c r="C2026" s="1" t="s">
        <v>495</v>
      </c>
      <c r="E2026" t="s">
        <v>225</v>
      </c>
      <c r="F2026" t="s">
        <v>305</v>
      </c>
      <c r="G2026" s="1" t="s">
        <v>3</v>
      </c>
      <c r="H2026" s="1">
        <v>552936</v>
      </c>
      <c r="I2026" t="s">
        <v>467</v>
      </c>
      <c r="J2026" s="110">
        <v>47856513</v>
      </c>
      <c r="K2026" s="4">
        <v>95531828</v>
      </c>
      <c r="L2026" s="4">
        <v>69.400000000000006</v>
      </c>
    </row>
    <row r="2027" spans="2:12" x14ac:dyDescent="0.2">
      <c r="B2027" s="749">
        <v>42624</v>
      </c>
      <c r="C2027" s="1" t="s">
        <v>495</v>
      </c>
      <c r="E2027" t="s">
        <v>225</v>
      </c>
      <c r="F2027" t="s">
        <v>305</v>
      </c>
      <c r="G2027" s="1" t="s">
        <v>3</v>
      </c>
      <c r="H2027" s="1">
        <v>552936</v>
      </c>
      <c r="I2027" t="s">
        <v>467</v>
      </c>
      <c r="J2027" s="110">
        <v>47856513</v>
      </c>
      <c r="K2027" s="4">
        <v>95392775</v>
      </c>
      <c r="L2027" s="4">
        <v>69.75</v>
      </c>
    </row>
    <row r="2028" spans="2:12" x14ac:dyDescent="0.2">
      <c r="B2028" s="749">
        <v>42624</v>
      </c>
      <c r="C2028" s="1" t="s">
        <v>495</v>
      </c>
      <c r="E2028" t="s">
        <v>225</v>
      </c>
      <c r="F2028" t="s">
        <v>305</v>
      </c>
      <c r="G2028" s="1" t="s">
        <v>3</v>
      </c>
      <c r="H2028" s="1">
        <v>552936</v>
      </c>
      <c r="I2028" t="s">
        <v>467</v>
      </c>
      <c r="J2028" s="110">
        <v>47856513</v>
      </c>
      <c r="K2028" s="4">
        <v>95351375</v>
      </c>
      <c r="L2028" s="4">
        <v>69.55</v>
      </c>
    </row>
    <row r="2029" spans="2:12" x14ac:dyDescent="0.2">
      <c r="B2029" s="749">
        <v>42624</v>
      </c>
      <c r="C2029" s="1" t="s">
        <v>495</v>
      </c>
      <c r="E2029" t="s">
        <v>225</v>
      </c>
      <c r="F2029" t="s">
        <v>305</v>
      </c>
      <c r="G2029" s="1" t="s">
        <v>3</v>
      </c>
      <c r="H2029" s="1">
        <v>552936</v>
      </c>
      <c r="I2029" t="s">
        <v>467</v>
      </c>
      <c r="J2029" s="110">
        <v>47856513</v>
      </c>
      <c r="K2029" s="4">
        <v>95711586</v>
      </c>
      <c r="L2029" s="4">
        <v>69.150000000000006</v>
      </c>
    </row>
    <row r="2030" spans="2:12" x14ac:dyDescent="0.2">
      <c r="B2030" s="749">
        <v>42624</v>
      </c>
      <c r="C2030" s="1" t="s">
        <v>495</v>
      </c>
      <c r="E2030" t="s">
        <v>225</v>
      </c>
      <c r="F2030" t="s">
        <v>305</v>
      </c>
      <c r="G2030" s="1" t="s">
        <v>3</v>
      </c>
      <c r="H2030" s="1">
        <v>552936</v>
      </c>
      <c r="I2030" t="s">
        <v>467</v>
      </c>
      <c r="J2030" s="110">
        <v>50737600</v>
      </c>
      <c r="K2030" s="4">
        <v>95530259</v>
      </c>
      <c r="L2030" s="4">
        <v>69.95</v>
      </c>
    </row>
    <row r="2031" spans="2:12" x14ac:dyDescent="0.2">
      <c r="B2031" s="749">
        <v>42624</v>
      </c>
      <c r="C2031" s="1" t="s">
        <v>495</v>
      </c>
      <c r="E2031" t="s">
        <v>225</v>
      </c>
      <c r="F2031" t="s">
        <v>305</v>
      </c>
      <c r="G2031" s="1" t="s">
        <v>3</v>
      </c>
      <c r="H2031" s="1">
        <v>552936</v>
      </c>
      <c r="I2031" t="s">
        <v>467</v>
      </c>
      <c r="J2031" s="110">
        <v>50730415</v>
      </c>
      <c r="K2031" s="4">
        <v>95531430</v>
      </c>
      <c r="L2031" s="4">
        <v>69.7</v>
      </c>
    </row>
    <row r="2032" spans="2:12" x14ac:dyDescent="0.2">
      <c r="B2032" s="749">
        <v>42624</v>
      </c>
      <c r="C2032" s="1" t="s">
        <v>495</v>
      </c>
      <c r="E2032" t="s">
        <v>225</v>
      </c>
      <c r="F2032" t="s">
        <v>305</v>
      </c>
      <c r="G2032" s="1" t="s">
        <v>3</v>
      </c>
      <c r="H2032" s="1">
        <v>552936</v>
      </c>
      <c r="I2032" t="s">
        <v>467</v>
      </c>
      <c r="J2032" s="110">
        <v>50759273</v>
      </c>
      <c r="K2032" s="4">
        <v>95377453</v>
      </c>
      <c r="L2032" s="4">
        <v>69.75</v>
      </c>
    </row>
    <row r="2033" spans="2:12" x14ac:dyDescent="0.2">
      <c r="B2033" s="749">
        <v>42624</v>
      </c>
      <c r="C2033" s="1" t="s">
        <v>495</v>
      </c>
      <c r="E2033" t="s">
        <v>225</v>
      </c>
      <c r="F2033" t="s">
        <v>305</v>
      </c>
      <c r="G2033" s="1" t="s">
        <v>3</v>
      </c>
      <c r="H2033" s="1">
        <v>552936</v>
      </c>
      <c r="I2033" t="s">
        <v>467</v>
      </c>
      <c r="J2033" s="110">
        <v>50759273</v>
      </c>
      <c r="K2033" s="4">
        <v>95492815</v>
      </c>
      <c r="L2033" s="4">
        <v>69.95</v>
      </c>
    </row>
    <row r="2034" spans="2:12" x14ac:dyDescent="0.2">
      <c r="B2034" s="749">
        <v>42624</v>
      </c>
      <c r="C2034" s="1" t="s">
        <v>495</v>
      </c>
      <c r="E2034" t="s">
        <v>225</v>
      </c>
      <c r="F2034" t="s">
        <v>305</v>
      </c>
      <c r="G2034" s="1" t="s">
        <v>3</v>
      </c>
      <c r="H2034" s="1">
        <v>552936</v>
      </c>
      <c r="I2034" t="s">
        <v>467</v>
      </c>
      <c r="J2034" s="110">
        <v>50759273</v>
      </c>
      <c r="K2034" s="4">
        <v>95680914</v>
      </c>
      <c r="L2034" s="4">
        <v>69.75</v>
      </c>
    </row>
    <row r="2035" spans="2:12" x14ac:dyDescent="0.2">
      <c r="B2035" s="749">
        <v>42625</v>
      </c>
      <c r="C2035" s="1" t="s">
        <v>707</v>
      </c>
      <c r="E2035" t="s">
        <v>225</v>
      </c>
      <c r="F2035" t="s">
        <v>305</v>
      </c>
      <c r="G2035" s="1" t="s">
        <v>3</v>
      </c>
      <c r="H2035" s="1">
        <v>553496</v>
      </c>
      <c r="I2035" t="s">
        <v>467</v>
      </c>
      <c r="J2035" s="110">
        <v>600635</v>
      </c>
      <c r="K2035" s="4" t="s">
        <v>913</v>
      </c>
      <c r="L2035" s="4">
        <v>15.46</v>
      </c>
    </row>
    <row r="2036" spans="2:12" x14ac:dyDescent="0.2">
      <c r="B2036" s="749">
        <v>42625</v>
      </c>
      <c r="C2036" s="1" t="s">
        <v>914</v>
      </c>
      <c r="E2036" t="s">
        <v>225</v>
      </c>
      <c r="F2036" t="s">
        <v>305</v>
      </c>
      <c r="G2036" s="1" t="s">
        <v>3</v>
      </c>
      <c r="H2036" s="1">
        <v>553932</v>
      </c>
      <c r="I2036" t="s">
        <v>467</v>
      </c>
      <c r="J2036" s="110">
        <v>40542102</v>
      </c>
      <c r="K2036" s="4">
        <v>95712089</v>
      </c>
      <c r="L2036" s="4">
        <v>69.900000000000006</v>
      </c>
    </row>
    <row r="2037" spans="2:12" x14ac:dyDescent="0.2">
      <c r="B2037" s="749">
        <v>42625</v>
      </c>
      <c r="C2037" s="1" t="s">
        <v>914</v>
      </c>
      <c r="E2037" t="s">
        <v>225</v>
      </c>
      <c r="F2037" t="s">
        <v>305</v>
      </c>
      <c r="G2037" s="1" t="s">
        <v>3</v>
      </c>
      <c r="H2037" s="1">
        <v>553932</v>
      </c>
      <c r="I2037" t="s">
        <v>467</v>
      </c>
      <c r="J2037" s="110">
        <v>40542102</v>
      </c>
      <c r="K2037" s="4">
        <v>95613253</v>
      </c>
      <c r="L2037" s="4">
        <v>69.849999999999994</v>
      </c>
    </row>
    <row r="2038" spans="2:12" x14ac:dyDescent="0.2">
      <c r="B2038" s="749">
        <v>42625</v>
      </c>
      <c r="C2038" s="1" t="s">
        <v>914</v>
      </c>
      <c r="E2038" t="s">
        <v>225</v>
      </c>
      <c r="F2038" t="s">
        <v>305</v>
      </c>
      <c r="G2038" s="1" t="s">
        <v>3</v>
      </c>
      <c r="H2038" s="1">
        <v>553932</v>
      </c>
      <c r="I2038" t="s">
        <v>467</v>
      </c>
      <c r="J2038" s="110">
        <v>40542102</v>
      </c>
      <c r="K2038" s="4">
        <v>95292710</v>
      </c>
      <c r="L2038" s="4">
        <v>69.5</v>
      </c>
    </row>
    <row r="2039" spans="2:12" x14ac:dyDescent="0.2">
      <c r="B2039" s="749">
        <v>42625</v>
      </c>
      <c r="C2039" s="1" t="s">
        <v>914</v>
      </c>
      <c r="E2039" t="s">
        <v>225</v>
      </c>
      <c r="F2039" t="s">
        <v>305</v>
      </c>
      <c r="G2039" s="1" t="s">
        <v>3</v>
      </c>
      <c r="H2039" s="1">
        <v>553932</v>
      </c>
      <c r="I2039" t="s">
        <v>467</v>
      </c>
      <c r="J2039" s="110">
        <v>40543803</v>
      </c>
      <c r="K2039" s="4">
        <v>95454989</v>
      </c>
      <c r="L2039" s="4">
        <v>69.849999999999994</v>
      </c>
    </row>
    <row r="2040" spans="2:12" x14ac:dyDescent="0.2">
      <c r="B2040" s="749">
        <v>42625</v>
      </c>
      <c r="C2040" s="1" t="s">
        <v>914</v>
      </c>
      <c r="E2040" t="s">
        <v>225</v>
      </c>
      <c r="F2040" t="s">
        <v>305</v>
      </c>
      <c r="G2040" s="1" t="s">
        <v>3</v>
      </c>
      <c r="H2040" s="1">
        <v>553932</v>
      </c>
      <c r="I2040" t="s">
        <v>467</v>
      </c>
      <c r="J2040" s="110">
        <v>40543803</v>
      </c>
      <c r="K2040" s="4">
        <v>95328878</v>
      </c>
      <c r="L2040" s="4">
        <v>69.75</v>
      </c>
    </row>
    <row r="2041" spans="2:12" x14ac:dyDescent="0.2">
      <c r="B2041" s="749">
        <v>42625</v>
      </c>
      <c r="C2041" s="1" t="s">
        <v>914</v>
      </c>
      <c r="E2041" t="s">
        <v>225</v>
      </c>
      <c r="F2041" t="s">
        <v>305</v>
      </c>
      <c r="G2041" s="1" t="s">
        <v>3</v>
      </c>
      <c r="H2041" s="1">
        <v>553932</v>
      </c>
      <c r="I2041" t="s">
        <v>467</v>
      </c>
      <c r="J2041" s="110">
        <v>40543803</v>
      </c>
      <c r="K2041" s="4">
        <v>95792966</v>
      </c>
      <c r="L2041" s="4">
        <v>69.55</v>
      </c>
    </row>
    <row r="2042" spans="2:12" x14ac:dyDescent="0.2">
      <c r="B2042" s="749">
        <v>42625</v>
      </c>
      <c r="C2042" s="1" t="s">
        <v>914</v>
      </c>
      <c r="E2042" t="s">
        <v>225</v>
      </c>
      <c r="F2042" t="s">
        <v>305</v>
      </c>
      <c r="G2042" s="1" t="s">
        <v>3</v>
      </c>
      <c r="H2042" s="1">
        <v>553932</v>
      </c>
      <c r="I2042" t="s">
        <v>467</v>
      </c>
      <c r="J2042" s="110">
        <v>40543803</v>
      </c>
      <c r="K2042" s="4">
        <v>95796587</v>
      </c>
      <c r="L2042" s="4">
        <v>69.55</v>
      </c>
    </row>
    <row r="2043" spans="2:12" x14ac:dyDescent="0.2">
      <c r="B2043" s="749">
        <v>42622</v>
      </c>
      <c r="C2043" s="1" t="s">
        <v>818</v>
      </c>
      <c r="E2043" t="s">
        <v>225</v>
      </c>
      <c r="F2043" t="s">
        <v>305</v>
      </c>
      <c r="G2043" s="1" t="s">
        <v>3</v>
      </c>
      <c r="H2043" s="1">
        <v>553036</v>
      </c>
      <c r="I2043" t="s">
        <v>292</v>
      </c>
      <c r="J2043" s="110">
        <v>50733369</v>
      </c>
      <c r="K2043" s="4">
        <v>95646824</v>
      </c>
      <c r="L2043" s="4">
        <v>69.599999999999994</v>
      </c>
    </row>
    <row r="2044" spans="2:12" x14ac:dyDescent="0.2">
      <c r="B2044" s="749">
        <v>42622</v>
      </c>
      <c r="C2044" s="1" t="s">
        <v>888</v>
      </c>
      <c r="E2044" t="s">
        <v>225</v>
      </c>
      <c r="F2044" t="s">
        <v>305</v>
      </c>
      <c r="G2044" s="1" t="s">
        <v>3</v>
      </c>
      <c r="H2044" s="1">
        <v>553902</v>
      </c>
      <c r="I2044" t="s">
        <v>643</v>
      </c>
      <c r="J2044" s="110">
        <v>271064</v>
      </c>
      <c r="K2044" s="4" t="s">
        <v>893</v>
      </c>
      <c r="L2044" s="4">
        <v>24.58</v>
      </c>
    </row>
    <row r="2045" spans="2:12" x14ac:dyDescent="0.2">
      <c r="B2045" s="749">
        <v>42623</v>
      </c>
      <c r="C2045" s="1" t="s">
        <v>619</v>
      </c>
      <c r="E2045" t="s">
        <v>225</v>
      </c>
      <c r="F2045" t="s">
        <v>305</v>
      </c>
      <c r="G2045" s="1" t="s">
        <v>3</v>
      </c>
      <c r="H2045" s="1">
        <v>551127</v>
      </c>
      <c r="I2045" t="s">
        <v>292</v>
      </c>
      <c r="J2045" s="110">
        <v>50761345</v>
      </c>
      <c r="K2045" s="4">
        <v>95631479</v>
      </c>
      <c r="L2045" s="4">
        <v>69.45</v>
      </c>
    </row>
    <row r="2046" spans="2:12" x14ac:dyDescent="0.2">
      <c r="B2046" s="749">
        <v>42623</v>
      </c>
      <c r="C2046" s="1" t="s">
        <v>644</v>
      </c>
      <c r="E2046" t="s">
        <v>225</v>
      </c>
      <c r="F2046" t="s">
        <v>305</v>
      </c>
      <c r="G2046" s="1" t="s">
        <v>3</v>
      </c>
      <c r="H2046" s="1">
        <v>552518</v>
      </c>
      <c r="I2046" t="s">
        <v>643</v>
      </c>
      <c r="J2046" s="110">
        <v>50779669</v>
      </c>
      <c r="K2046" s="4">
        <v>95347829</v>
      </c>
      <c r="L2046" s="4">
        <v>64.05</v>
      </c>
    </row>
    <row r="2047" spans="2:12" x14ac:dyDescent="0.2">
      <c r="B2047" s="749">
        <v>42623</v>
      </c>
      <c r="C2047" s="1" t="s">
        <v>644</v>
      </c>
      <c r="E2047" t="s">
        <v>225</v>
      </c>
      <c r="F2047" t="s">
        <v>305</v>
      </c>
      <c r="G2047" s="1" t="s">
        <v>3</v>
      </c>
      <c r="H2047" s="1">
        <v>552518</v>
      </c>
      <c r="I2047" t="s">
        <v>643</v>
      </c>
      <c r="J2047" s="110">
        <v>50779669</v>
      </c>
      <c r="K2047" s="4">
        <v>95395570</v>
      </c>
      <c r="L2047" s="4">
        <v>68.349999999999994</v>
      </c>
    </row>
    <row r="2048" spans="2:12" x14ac:dyDescent="0.2">
      <c r="B2048" s="749">
        <v>42623</v>
      </c>
      <c r="C2048" s="1" t="s">
        <v>644</v>
      </c>
      <c r="E2048" t="s">
        <v>225</v>
      </c>
      <c r="F2048" t="s">
        <v>305</v>
      </c>
      <c r="G2048" s="1" t="s">
        <v>3</v>
      </c>
      <c r="H2048" s="1">
        <v>552518</v>
      </c>
      <c r="I2048" t="s">
        <v>643</v>
      </c>
      <c r="J2048" s="110">
        <v>50779669</v>
      </c>
      <c r="K2048" s="4">
        <v>95639969</v>
      </c>
      <c r="L2048" s="4">
        <v>69.25</v>
      </c>
    </row>
    <row r="2049" spans="2:12" x14ac:dyDescent="0.2">
      <c r="B2049" s="749">
        <v>42623</v>
      </c>
      <c r="C2049" s="1" t="s">
        <v>702</v>
      </c>
      <c r="E2049" t="s">
        <v>225</v>
      </c>
      <c r="F2049" t="s">
        <v>305</v>
      </c>
      <c r="G2049" s="1" t="s">
        <v>3</v>
      </c>
      <c r="H2049" s="1">
        <v>553244</v>
      </c>
      <c r="I2049" t="s">
        <v>292</v>
      </c>
      <c r="J2049" s="110">
        <v>44126324</v>
      </c>
      <c r="K2049" s="4">
        <v>95455473</v>
      </c>
      <c r="L2049" s="4">
        <v>61.35</v>
      </c>
    </row>
    <row r="2050" spans="2:12" x14ac:dyDescent="0.2">
      <c r="B2050" s="749">
        <v>42623</v>
      </c>
      <c r="C2050" s="1" t="s">
        <v>644</v>
      </c>
      <c r="E2050" t="s">
        <v>225</v>
      </c>
      <c r="F2050" t="s">
        <v>305</v>
      </c>
      <c r="G2050" s="1" t="s">
        <v>3</v>
      </c>
      <c r="H2050" s="1">
        <v>552518</v>
      </c>
      <c r="I2050" t="s">
        <v>643</v>
      </c>
      <c r="J2050" s="110">
        <v>50779669</v>
      </c>
      <c r="K2050" s="4">
        <v>95366985</v>
      </c>
      <c r="L2050" s="4">
        <v>64</v>
      </c>
    </row>
    <row r="2051" spans="2:12" x14ac:dyDescent="0.2">
      <c r="B2051" s="749">
        <v>42623</v>
      </c>
      <c r="C2051" s="1" t="s">
        <v>644</v>
      </c>
      <c r="E2051" t="s">
        <v>225</v>
      </c>
      <c r="F2051" t="s">
        <v>305</v>
      </c>
      <c r="G2051" s="1" t="s">
        <v>3</v>
      </c>
      <c r="H2051" s="1">
        <v>552518</v>
      </c>
      <c r="I2051" t="s">
        <v>643</v>
      </c>
      <c r="J2051" s="110">
        <v>50779669</v>
      </c>
      <c r="K2051" s="4">
        <v>95359733</v>
      </c>
      <c r="L2051" s="4">
        <v>69.05</v>
      </c>
    </row>
    <row r="2052" spans="2:12" x14ac:dyDescent="0.2">
      <c r="B2052" s="749">
        <v>42623</v>
      </c>
      <c r="C2052" s="1" t="s">
        <v>818</v>
      </c>
      <c r="E2052" t="s">
        <v>225</v>
      </c>
      <c r="F2052" t="s">
        <v>305</v>
      </c>
      <c r="G2052" s="1" t="s">
        <v>3</v>
      </c>
      <c r="H2052" s="1">
        <v>553036</v>
      </c>
      <c r="I2052" t="s">
        <v>292</v>
      </c>
      <c r="J2052" s="110">
        <v>50764836</v>
      </c>
      <c r="K2052" s="4">
        <v>95346565</v>
      </c>
      <c r="L2052" s="4">
        <v>69.25</v>
      </c>
    </row>
    <row r="2053" spans="2:12" x14ac:dyDescent="0.2">
      <c r="B2053" s="749">
        <v>42623</v>
      </c>
      <c r="C2053" s="1" t="s">
        <v>818</v>
      </c>
      <c r="E2053" t="s">
        <v>225</v>
      </c>
      <c r="F2053" t="s">
        <v>305</v>
      </c>
      <c r="G2053" s="1" t="s">
        <v>3</v>
      </c>
      <c r="H2053" s="1">
        <v>553036</v>
      </c>
      <c r="I2053" t="s">
        <v>292</v>
      </c>
      <c r="J2053" s="110">
        <v>50764836</v>
      </c>
      <c r="K2053" s="4">
        <v>95760203</v>
      </c>
      <c r="L2053" s="4">
        <v>69.7</v>
      </c>
    </row>
    <row r="2054" spans="2:12" x14ac:dyDescent="0.2">
      <c r="B2054" s="749">
        <v>42623</v>
      </c>
      <c r="C2054" s="1" t="s">
        <v>818</v>
      </c>
      <c r="E2054" t="s">
        <v>225</v>
      </c>
      <c r="F2054" t="s">
        <v>305</v>
      </c>
      <c r="G2054" s="1" t="s">
        <v>3</v>
      </c>
      <c r="H2054" s="1">
        <v>553036</v>
      </c>
      <c r="I2054" t="s">
        <v>292</v>
      </c>
      <c r="J2054" s="110">
        <v>50764836</v>
      </c>
      <c r="K2054" s="4">
        <v>95320313</v>
      </c>
      <c r="L2054" s="4">
        <v>64.8</v>
      </c>
    </row>
    <row r="2055" spans="2:12" x14ac:dyDescent="0.2">
      <c r="B2055" s="749">
        <v>42623</v>
      </c>
      <c r="C2055" s="1" t="s">
        <v>818</v>
      </c>
      <c r="E2055" t="s">
        <v>225</v>
      </c>
      <c r="F2055" t="s">
        <v>305</v>
      </c>
      <c r="G2055" s="1" t="s">
        <v>3</v>
      </c>
      <c r="H2055" s="1">
        <v>553036</v>
      </c>
      <c r="I2055" t="s">
        <v>292</v>
      </c>
      <c r="J2055" s="110">
        <v>50764836</v>
      </c>
      <c r="K2055" s="4">
        <v>95353835</v>
      </c>
      <c r="L2055" s="4">
        <v>69.75</v>
      </c>
    </row>
    <row r="2056" spans="2:12" x14ac:dyDescent="0.2">
      <c r="B2056" s="749">
        <v>42623</v>
      </c>
      <c r="C2056" s="1" t="s">
        <v>818</v>
      </c>
      <c r="E2056" t="s">
        <v>225</v>
      </c>
      <c r="F2056" t="s">
        <v>305</v>
      </c>
      <c r="G2056" s="1" t="s">
        <v>3</v>
      </c>
      <c r="H2056" s="1">
        <v>553036</v>
      </c>
      <c r="I2056" t="s">
        <v>292</v>
      </c>
      <c r="J2056" s="110">
        <v>50764836</v>
      </c>
      <c r="K2056" s="4">
        <v>95651048</v>
      </c>
      <c r="L2056" s="4">
        <v>69.400000000000006</v>
      </c>
    </row>
    <row r="2057" spans="2:12" x14ac:dyDescent="0.2">
      <c r="B2057" s="749">
        <v>42623</v>
      </c>
      <c r="C2057" s="1" t="s">
        <v>644</v>
      </c>
      <c r="E2057" t="s">
        <v>225</v>
      </c>
      <c r="F2057" t="s">
        <v>305</v>
      </c>
      <c r="G2057" s="1" t="s">
        <v>3</v>
      </c>
      <c r="H2057" s="1">
        <v>552518</v>
      </c>
      <c r="I2057" t="s">
        <v>643</v>
      </c>
      <c r="J2057" s="110">
        <v>47819826</v>
      </c>
      <c r="K2057" s="4">
        <v>95186854</v>
      </c>
      <c r="L2057" s="4">
        <v>70.099999999999994</v>
      </c>
    </row>
    <row r="2058" spans="2:12" x14ac:dyDescent="0.2">
      <c r="B2058" s="749">
        <v>42623</v>
      </c>
      <c r="C2058" s="1" t="s">
        <v>644</v>
      </c>
      <c r="E2058" t="s">
        <v>225</v>
      </c>
      <c r="F2058" t="s">
        <v>305</v>
      </c>
      <c r="G2058" s="1" t="s">
        <v>3</v>
      </c>
      <c r="H2058" s="1">
        <v>552518</v>
      </c>
      <c r="I2058" t="s">
        <v>643</v>
      </c>
      <c r="J2058" s="110">
        <v>47819826</v>
      </c>
      <c r="K2058" s="4">
        <v>95191938</v>
      </c>
      <c r="L2058" s="4">
        <v>69.75</v>
      </c>
    </row>
    <row r="2059" spans="2:12" x14ac:dyDescent="0.2">
      <c r="B2059" s="749">
        <v>42623</v>
      </c>
      <c r="C2059" s="1" t="s">
        <v>644</v>
      </c>
      <c r="E2059" t="s">
        <v>225</v>
      </c>
      <c r="F2059" t="s">
        <v>305</v>
      </c>
      <c r="G2059" s="1" t="s">
        <v>3</v>
      </c>
      <c r="H2059" s="1">
        <v>552518</v>
      </c>
      <c r="I2059" t="s">
        <v>643</v>
      </c>
      <c r="J2059" s="110">
        <v>47819826</v>
      </c>
      <c r="K2059" s="4">
        <v>95153243</v>
      </c>
      <c r="L2059" s="4">
        <v>68.5</v>
      </c>
    </row>
    <row r="2060" spans="2:12" x14ac:dyDescent="0.2">
      <c r="B2060" s="749">
        <v>42623</v>
      </c>
      <c r="C2060" s="1" t="s">
        <v>644</v>
      </c>
      <c r="E2060" t="s">
        <v>225</v>
      </c>
      <c r="F2060" t="s">
        <v>305</v>
      </c>
      <c r="G2060" s="1" t="s">
        <v>3</v>
      </c>
      <c r="H2060" s="1">
        <v>552518</v>
      </c>
      <c r="I2060" t="s">
        <v>643</v>
      </c>
      <c r="J2060" s="110">
        <v>47819826</v>
      </c>
      <c r="K2060" s="4">
        <v>95092540</v>
      </c>
      <c r="L2060" s="4">
        <v>69.150000000000006</v>
      </c>
    </row>
    <row r="2061" spans="2:12" x14ac:dyDescent="0.2">
      <c r="B2061" s="749">
        <v>42623</v>
      </c>
      <c r="C2061" s="1" t="s">
        <v>886</v>
      </c>
      <c r="E2061" t="s">
        <v>225</v>
      </c>
      <c r="F2061" t="s">
        <v>305</v>
      </c>
      <c r="G2061" s="1" t="s">
        <v>3</v>
      </c>
      <c r="H2061" s="1">
        <v>553593</v>
      </c>
      <c r="I2061" t="s">
        <v>292</v>
      </c>
      <c r="J2061" s="110">
        <v>40566978</v>
      </c>
      <c r="K2061" s="4">
        <v>95758454</v>
      </c>
      <c r="L2061" s="4">
        <v>68.3</v>
      </c>
    </row>
    <row r="2062" spans="2:12" x14ac:dyDescent="0.2">
      <c r="B2062" s="749">
        <v>42623</v>
      </c>
      <c r="C2062" s="1" t="s">
        <v>701</v>
      </c>
      <c r="E2062" t="s">
        <v>225</v>
      </c>
      <c r="F2062" t="s">
        <v>305</v>
      </c>
      <c r="G2062" s="1" t="s">
        <v>3</v>
      </c>
      <c r="H2062" s="1">
        <v>552928</v>
      </c>
      <c r="I2062" t="s">
        <v>643</v>
      </c>
      <c r="J2062" s="110">
        <v>32110165</v>
      </c>
      <c r="K2062" s="4">
        <v>95531679</v>
      </c>
      <c r="L2062" s="4">
        <v>66.95</v>
      </c>
    </row>
    <row r="2063" spans="2:12" x14ac:dyDescent="0.2">
      <c r="B2063" s="749">
        <v>42623</v>
      </c>
      <c r="C2063" s="1" t="s">
        <v>701</v>
      </c>
      <c r="E2063" t="s">
        <v>225</v>
      </c>
      <c r="F2063" t="s">
        <v>305</v>
      </c>
      <c r="G2063" s="1" t="s">
        <v>3</v>
      </c>
      <c r="H2063" s="1">
        <v>552928</v>
      </c>
      <c r="I2063" t="s">
        <v>643</v>
      </c>
      <c r="J2063" s="110">
        <v>32110165</v>
      </c>
      <c r="K2063" s="4">
        <v>95395075</v>
      </c>
      <c r="L2063" s="4">
        <v>67.150000000000006</v>
      </c>
    </row>
    <row r="2064" spans="2:12" x14ac:dyDescent="0.2">
      <c r="B2064" s="749">
        <v>42624</v>
      </c>
      <c r="C2064" s="1" t="s">
        <v>888</v>
      </c>
      <c r="E2064" t="s">
        <v>225</v>
      </c>
      <c r="F2064" t="s">
        <v>305</v>
      </c>
      <c r="G2064" s="1" t="s">
        <v>3</v>
      </c>
      <c r="H2064" s="1">
        <v>553902</v>
      </c>
      <c r="I2064" t="s">
        <v>643</v>
      </c>
      <c r="J2064" s="110">
        <v>271071</v>
      </c>
      <c r="K2064" s="4" t="s">
        <v>915</v>
      </c>
      <c r="L2064" s="4">
        <v>24.34</v>
      </c>
    </row>
    <row r="2065" spans="2:12" x14ac:dyDescent="0.2">
      <c r="B2065" s="749">
        <v>42624</v>
      </c>
      <c r="C2065" s="1" t="s">
        <v>644</v>
      </c>
      <c r="E2065" t="s">
        <v>225</v>
      </c>
      <c r="F2065" t="s">
        <v>305</v>
      </c>
      <c r="G2065" s="1" t="s">
        <v>3</v>
      </c>
      <c r="H2065" s="1">
        <v>552518</v>
      </c>
      <c r="I2065" t="s">
        <v>643</v>
      </c>
      <c r="J2065" s="110">
        <v>47864236</v>
      </c>
      <c r="K2065" s="4">
        <v>95130563</v>
      </c>
      <c r="L2065" s="4">
        <v>67.05</v>
      </c>
    </row>
    <row r="2066" spans="2:12" x14ac:dyDescent="0.2">
      <c r="B2066" s="749">
        <v>42624</v>
      </c>
      <c r="C2066" s="1" t="s">
        <v>644</v>
      </c>
      <c r="E2066" t="s">
        <v>225</v>
      </c>
      <c r="F2066" t="s">
        <v>305</v>
      </c>
      <c r="G2066" s="1" t="s">
        <v>3</v>
      </c>
      <c r="H2066" s="1">
        <v>552518</v>
      </c>
      <c r="I2066" t="s">
        <v>643</v>
      </c>
      <c r="J2066" s="110">
        <v>47864236</v>
      </c>
      <c r="K2066" s="4">
        <v>95095683</v>
      </c>
      <c r="L2066" s="4">
        <v>69.849999999999994</v>
      </c>
    </row>
    <row r="2067" spans="2:12" x14ac:dyDescent="0.2">
      <c r="B2067" s="749">
        <v>42624</v>
      </c>
      <c r="C2067" s="1" t="s">
        <v>644</v>
      </c>
      <c r="E2067" t="s">
        <v>225</v>
      </c>
      <c r="F2067" t="s">
        <v>305</v>
      </c>
      <c r="G2067" s="1" t="s">
        <v>3</v>
      </c>
      <c r="H2067" s="1">
        <v>552518</v>
      </c>
      <c r="I2067" t="s">
        <v>643</v>
      </c>
      <c r="J2067" s="110">
        <v>47864236</v>
      </c>
      <c r="K2067" s="4">
        <v>95092763</v>
      </c>
      <c r="L2067" s="4">
        <v>69</v>
      </c>
    </row>
    <row r="2068" spans="2:12" x14ac:dyDescent="0.2">
      <c r="B2068" s="749">
        <v>42624</v>
      </c>
      <c r="C2068" s="1" t="s">
        <v>888</v>
      </c>
      <c r="E2068" t="s">
        <v>225</v>
      </c>
      <c r="F2068" t="s">
        <v>305</v>
      </c>
      <c r="G2068" s="1" t="s">
        <v>3</v>
      </c>
      <c r="H2068" s="1">
        <v>553902</v>
      </c>
      <c r="I2068" t="s">
        <v>643</v>
      </c>
      <c r="J2068" s="110">
        <v>47819412</v>
      </c>
      <c r="K2068" s="4">
        <v>95796454</v>
      </c>
      <c r="L2068" s="4">
        <v>68.7</v>
      </c>
    </row>
    <row r="2069" spans="2:12" x14ac:dyDescent="0.2">
      <c r="B2069" s="749">
        <v>42624</v>
      </c>
      <c r="C2069" s="1" t="s">
        <v>888</v>
      </c>
      <c r="E2069" t="s">
        <v>225</v>
      </c>
      <c r="F2069" t="s">
        <v>305</v>
      </c>
      <c r="G2069" s="1" t="s">
        <v>3</v>
      </c>
      <c r="H2069" s="1">
        <v>553902</v>
      </c>
      <c r="I2069" t="s">
        <v>643</v>
      </c>
      <c r="J2069" s="110">
        <v>47819412</v>
      </c>
      <c r="K2069" s="4">
        <v>95647236</v>
      </c>
      <c r="L2069" s="4">
        <v>68.05</v>
      </c>
    </row>
    <row r="2070" spans="2:12" x14ac:dyDescent="0.2">
      <c r="B2070" s="749">
        <v>42624</v>
      </c>
      <c r="C2070" s="1" t="s">
        <v>888</v>
      </c>
      <c r="E2070" t="s">
        <v>225</v>
      </c>
      <c r="F2070" t="s">
        <v>305</v>
      </c>
      <c r="G2070" s="1" t="s">
        <v>3</v>
      </c>
      <c r="H2070" s="1">
        <v>553902</v>
      </c>
      <c r="I2070" t="s">
        <v>643</v>
      </c>
      <c r="J2070" s="110">
        <v>47819412</v>
      </c>
      <c r="K2070" s="4">
        <v>95369237</v>
      </c>
      <c r="L2070" s="4">
        <v>68.650000000000006</v>
      </c>
    </row>
    <row r="2071" spans="2:12" x14ac:dyDescent="0.2">
      <c r="B2071" s="749">
        <v>42624</v>
      </c>
      <c r="C2071" s="1" t="s">
        <v>888</v>
      </c>
      <c r="E2071" t="s">
        <v>225</v>
      </c>
      <c r="F2071" t="s">
        <v>305</v>
      </c>
      <c r="G2071" s="1" t="s">
        <v>3</v>
      </c>
      <c r="H2071" s="1">
        <v>553902</v>
      </c>
      <c r="I2071" t="s">
        <v>643</v>
      </c>
      <c r="J2071" s="110">
        <v>47819412</v>
      </c>
      <c r="K2071" s="4">
        <v>95800330</v>
      </c>
      <c r="L2071" s="4">
        <v>67.45</v>
      </c>
    </row>
    <row r="2072" spans="2:12" x14ac:dyDescent="0.2">
      <c r="B2072" s="749">
        <v>42625</v>
      </c>
      <c r="C2072" s="1" t="s">
        <v>888</v>
      </c>
      <c r="E2072" t="s">
        <v>225</v>
      </c>
      <c r="F2072" t="s">
        <v>305</v>
      </c>
      <c r="G2072" s="1" t="s">
        <v>3</v>
      </c>
      <c r="H2072" s="1">
        <v>553902</v>
      </c>
      <c r="I2072" t="s">
        <v>292</v>
      </c>
      <c r="J2072" s="110">
        <v>267705</v>
      </c>
      <c r="K2072" s="4" t="s">
        <v>893</v>
      </c>
      <c r="L2072" s="4">
        <v>24.88</v>
      </c>
    </row>
    <row r="2073" spans="2:12" x14ac:dyDescent="0.2">
      <c r="B2073" s="749">
        <v>42625</v>
      </c>
      <c r="C2073" s="1" t="s">
        <v>935</v>
      </c>
      <c r="E2073" t="s">
        <v>225</v>
      </c>
      <c r="F2073" t="s">
        <v>305</v>
      </c>
      <c r="G2073" s="1" t="s">
        <v>3</v>
      </c>
      <c r="H2073" s="1">
        <v>553665</v>
      </c>
      <c r="I2073" t="s">
        <v>643</v>
      </c>
      <c r="J2073" s="110">
        <v>50815778</v>
      </c>
      <c r="K2073" s="4">
        <v>95525200</v>
      </c>
      <c r="L2073" s="4">
        <v>69.45</v>
      </c>
    </row>
    <row r="2074" spans="2:12" x14ac:dyDescent="0.2">
      <c r="B2074" s="749">
        <v>42625</v>
      </c>
      <c r="C2074" s="1" t="s">
        <v>935</v>
      </c>
      <c r="E2074" t="s">
        <v>225</v>
      </c>
      <c r="F2074" t="s">
        <v>305</v>
      </c>
      <c r="G2074" s="1" t="s">
        <v>3</v>
      </c>
      <c r="H2074" s="1">
        <v>553665</v>
      </c>
      <c r="I2074" t="s">
        <v>643</v>
      </c>
      <c r="J2074" s="110">
        <v>50815778</v>
      </c>
      <c r="K2074" s="4">
        <v>95681235</v>
      </c>
      <c r="L2074" s="4">
        <v>69.95</v>
      </c>
    </row>
    <row r="2075" spans="2:12" x14ac:dyDescent="0.2">
      <c r="B2075" s="749">
        <v>42625</v>
      </c>
      <c r="C2075" s="1" t="s">
        <v>935</v>
      </c>
      <c r="E2075" t="s">
        <v>225</v>
      </c>
      <c r="F2075" t="s">
        <v>305</v>
      </c>
      <c r="G2075" s="1" t="s">
        <v>3</v>
      </c>
      <c r="H2075" s="1">
        <v>553665</v>
      </c>
      <c r="I2075" t="s">
        <v>643</v>
      </c>
      <c r="J2075" s="110">
        <v>50815778</v>
      </c>
      <c r="K2075" s="4">
        <v>95369849</v>
      </c>
      <c r="L2075" s="4">
        <v>69.45</v>
      </c>
    </row>
    <row r="2076" spans="2:12" x14ac:dyDescent="0.2">
      <c r="B2076" s="749">
        <v>42625</v>
      </c>
      <c r="C2076" s="1" t="s">
        <v>935</v>
      </c>
      <c r="E2076" t="s">
        <v>225</v>
      </c>
      <c r="F2076" t="s">
        <v>305</v>
      </c>
      <c r="G2076" s="1" t="s">
        <v>3</v>
      </c>
      <c r="H2076" s="1">
        <v>553665</v>
      </c>
      <c r="I2076" t="s">
        <v>643</v>
      </c>
      <c r="J2076" s="110">
        <v>50815778</v>
      </c>
      <c r="K2076" s="4">
        <v>95617668</v>
      </c>
      <c r="L2076" s="4">
        <v>69.45</v>
      </c>
    </row>
    <row r="2077" spans="2:12" x14ac:dyDescent="0.2">
      <c r="B2077" s="749">
        <v>42625</v>
      </c>
      <c r="C2077" s="1" t="s">
        <v>644</v>
      </c>
      <c r="E2077" t="s">
        <v>225</v>
      </c>
      <c r="F2077" t="s">
        <v>305</v>
      </c>
      <c r="G2077" s="1" t="s">
        <v>3</v>
      </c>
      <c r="H2077" s="1">
        <v>552518</v>
      </c>
      <c r="I2077" t="s">
        <v>292</v>
      </c>
      <c r="J2077" s="110">
        <v>40646275</v>
      </c>
      <c r="K2077" s="4">
        <v>95353975</v>
      </c>
      <c r="L2077" s="4">
        <v>67.5</v>
      </c>
    </row>
    <row r="2078" spans="2:12" x14ac:dyDescent="0.2">
      <c r="B2078" s="749">
        <v>42625</v>
      </c>
      <c r="C2078" s="1" t="s">
        <v>644</v>
      </c>
      <c r="E2078" t="s">
        <v>225</v>
      </c>
      <c r="F2078" t="s">
        <v>305</v>
      </c>
      <c r="G2078" s="1" t="s">
        <v>3</v>
      </c>
      <c r="H2078" s="1">
        <v>552518</v>
      </c>
      <c r="I2078" t="s">
        <v>292</v>
      </c>
      <c r="J2078" s="110">
        <v>40646275</v>
      </c>
      <c r="K2078" s="4">
        <v>95453221</v>
      </c>
      <c r="L2078" s="4">
        <v>67.05</v>
      </c>
    </row>
    <row r="2079" spans="2:12" x14ac:dyDescent="0.2">
      <c r="B2079" s="749">
        <v>42625</v>
      </c>
      <c r="C2079" s="1" t="s">
        <v>644</v>
      </c>
      <c r="E2079" t="s">
        <v>225</v>
      </c>
      <c r="F2079" t="s">
        <v>305</v>
      </c>
      <c r="G2079" s="1" t="s">
        <v>3</v>
      </c>
      <c r="H2079" s="1">
        <v>552518</v>
      </c>
      <c r="I2079" t="s">
        <v>292</v>
      </c>
      <c r="J2079" s="110">
        <v>40646275</v>
      </c>
      <c r="K2079" s="4">
        <v>95649067</v>
      </c>
      <c r="L2079" s="4">
        <v>65.95</v>
      </c>
    </row>
    <row r="2080" spans="2:12" x14ac:dyDescent="0.2">
      <c r="B2080" s="749">
        <v>42625</v>
      </c>
      <c r="C2080" s="1" t="s">
        <v>644</v>
      </c>
      <c r="E2080" t="s">
        <v>225</v>
      </c>
      <c r="F2080" t="s">
        <v>305</v>
      </c>
      <c r="G2080" s="1" t="s">
        <v>3</v>
      </c>
      <c r="H2080" s="1">
        <v>552518</v>
      </c>
      <c r="I2080" t="s">
        <v>292</v>
      </c>
      <c r="J2080" s="110">
        <v>40646275</v>
      </c>
      <c r="K2080" s="4">
        <v>95679353</v>
      </c>
      <c r="L2080" s="4">
        <v>67.5</v>
      </c>
    </row>
    <row r="2081" spans="2:12" x14ac:dyDescent="0.2">
      <c r="B2081" s="749">
        <v>42622</v>
      </c>
      <c r="C2081" s="1" t="s">
        <v>868</v>
      </c>
      <c r="E2081" t="s">
        <v>225</v>
      </c>
      <c r="F2081" t="s">
        <v>305</v>
      </c>
      <c r="G2081" s="1" t="s">
        <v>3</v>
      </c>
      <c r="H2081" s="1">
        <v>554029</v>
      </c>
      <c r="I2081" t="s">
        <v>910</v>
      </c>
      <c r="J2081" s="110">
        <v>15779</v>
      </c>
      <c r="K2081" s="4" t="s">
        <v>556</v>
      </c>
      <c r="L2081" s="4">
        <v>23.94</v>
      </c>
    </row>
    <row r="2082" spans="2:12" x14ac:dyDescent="0.2">
      <c r="B2082" s="749">
        <v>42622</v>
      </c>
      <c r="C2082" s="1" t="s">
        <v>868</v>
      </c>
      <c r="E2082" t="s">
        <v>225</v>
      </c>
      <c r="F2082" t="s">
        <v>305</v>
      </c>
      <c r="G2082" s="1" t="s">
        <v>3</v>
      </c>
      <c r="H2082" s="1">
        <v>554029</v>
      </c>
      <c r="I2082" t="s">
        <v>910</v>
      </c>
      <c r="J2082" s="110">
        <v>36190</v>
      </c>
      <c r="K2082" s="4" t="s">
        <v>916</v>
      </c>
      <c r="L2082" s="4">
        <v>25.5</v>
      </c>
    </row>
    <row r="2083" spans="2:12" x14ac:dyDescent="0.2">
      <c r="B2083" s="749">
        <v>42622</v>
      </c>
      <c r="C2083" s="1" t="s">
        <v>868</v>
      </c>
      <c r="E2083" t="s">
        <v>225</v>
      </c>
      <c r="F2083" t="s">
        <v>305</v>
      </c>
      <c r="G2083" s="1" t="s">
        <v>3</v>
      </c>
      <c r="H2083" s="1">
        <v>554029</v>
      </c>
      <c r="I2083" t="s">
        <v>910</v>
      </c>
      <c r="J2083" s="110">
        <v>36189</v>
      </c>
      <c r="K2083" s="4" t="s">
        <v>917</v>
      </c>
      <c r="L2083" s="4">
        <v>25.78</v>
      </c>
    </row>
    <row r="2084" spans="2:12" x14ac:dyDescent="0.2">
      <c r="B2084" s="749">
        <v>42622</v>
      </c>
      <c r="C2084" s="1" t="s">
        <v>868</v>
      </c>
      <c r="E2084" t="s">
        <v>225</v>
      </c>
      <c r="F2084" t="s">
        <v>305</v>
      </c>
      <c r="G2084" s="1" t="s">
        <v>3</v>
      </c>
      <c r="H2084" s="1">
        <v>554029</v>
      </c>
      <c r="I2084" t="s">
        <v>910</v>
      </c>
      <c r="J2084" s="110">
        <v>44137354</v>
      </c>
      <c r="K2084" s="4">
        <v>95526364</v>
      </c>
      <c r="L2084" s="4">
        <v>67.650000000000006</v>
      </c>
    </row>
    <row r="2085" spans="2:12" x14ac:dyDescent="0.2">
      <c r="B2085" s="749">
        <v>42622</v>
      </c>
      <c r="C2085" s="1" t="s">
        <v>868</v>
      </c>
      <c r="E2085" t="s">
        <v>225</v>
      </c>
      <c r="F2085" t="s">
        <v>305</v>
      </c>
      <c r="G2085" s="1" t="s">
        <v>3</v>
      </c>
      <c r="H2085" s="1">
        <v>554029</v>
      </c>
      <c r="I2085" t="s">
        <v>910</v>
      </c>
      <c r="J2085" s="110">
        <v>44137354</v>
      </c>
      <c r="K2085" s="4">
        <v>95692158</v>
      </c>
      <c r="L2085" s="4">
        <v>67.3</v>
      </c>
    </row>
    <row r="2086" spans="2:12" x14ac:dyDescent="0.2">
      <c r="B2086" s="749">
        <v>42622</v>
      </c>
      <c r="C2086" s="1" t="s">
        <v>868</v>
      </c>
      <c r="E2086" t="s">
        <v>225</v>
      </c>
      <c r="F2086" t="s">
        <v>305</v>
      </c>
      <c r="G2086" s="1" t="s">
        <v>3</v>
      </c>
      <c r="H2086" s="1">
        <v>554029</v>
      </c>
      <c r="I2086" t="s">
        <v>910</v>
      </c>
      <c r="J2086" s="110">
        <v>44137354</v>
      </c>
      <c r="K2086" s="4">
        <v>95759015</v>
      </c>
      <c r="L2086" s="4">
        <v>67.099999999999994</v>
      </c>
    </row>
    <row r="2087" spans="2:12" x14ac:dyDescent="0.2">
      <c r="B2087" s="749">
        <v>42622</v>
      </c>
      <c r="C2087" s="1" t="s">
        <v>868</v>
      </c>
      <c r="E2087" t="s">
        <v>225</v>
      </c>
      <c r="F2087" t="s">
        <v>305</v>
      </c>
      <c r="G2087" s="1" t="s">
        <v>3</v>
      </c>
      <c r="H2087" s="1">
        <v>554029</v>
      </c>
      <c r="I2087" t="s">
        <v>910</v>
      </c>
      <c r="J2087" s="110">
        <v>44137354</v>
      </c>
      <c r="K2087" s="4">
        <v>95335212</v>
      </c>
      <c r="L2087" s="4">
        <v>62.95</v>
      </c>
    </row>
    <row r="2088" spans="2:12" x14ac:dyDescent="0.2">
      <c r="B2088" s="749">
        <v>42622</v>
      </c>
      <c r="C2088" s="1" t="s">
        <v>868</v>
      </c>
      <c r="E2088" t="s">
        <v>225</v>
      </c>
      <c r="F2088" t="s">
        <v>305</v>
      </c>
      <c r="G2088" s="1" t="s">
        <v>3</v>
      </c>
      <c r="H2088" s="1">
        <v>554029</v>
      </c>
      <c r="I2088" t="s">
        <v>910</v>
      </c>
      <c r="J2088" s="110">
        <v>44137354</v>
      </c>
      <c r="K2088" s="4">
        <v>95448783</v>
      </c>
      <c r="L2088" s="4">
        <v>68.599999999999994</v>
      </c>
    </row>
    <row r="2089" spans="2:12" x14ac:dyDescent="0.2">
      <c r="B2089" s="749">
        <v>42622</v>
      </c>
      <c r="C2089" s="1" t="s">
        <v>868</v>
      </c>
      <c r="E2089" t="s">
        <v>225</v>
      </c>
      <c r="F2089" t="s">
        <v>305</v>
      </c>
      <c r="G2089" s="1" t="s">
        <v>3</v>
      </c>
      <c r="H2089" s="1">
        <v>554029</v>
      </c>
      <c r="I2089" t="s">
        <v>910</v>
      </c>
      <c r="J2089" s="110">
        <v>36178</v>
      </c>
      <c r="K2089" s="4" t="s">
        <v>918</v>
      </c>
      <c r="L2089" s="4">
        <v>24.02</v>
      </c>
    </row>
    <row r="2090" spans="2:12" x14ac:dyDescent="0.2">
      <c r="B2090" s="749">
        <v>42622</v>
      </c>
      <c r="C2090" s="1" t="s">
        <v>868</v>
      </c>
      <c r="E2090" t="s">
        <v>225</v>
      </c>
      <c r="F2090" t="s">
        <v>305</v>
      </c>
      <c r="G2090" s="1" t="s">
        <v>3</v>
      </c>
      <c r="H2090" s="1">
        <v>554029</v>
      </c>
      <c r="I2090" t="s">
        <v>910</v>
      </c>
      <c r="J2090" s="110">
        <v>36179</v>
      </c>
      <c r="K2090" s="4" t="s">
        <v>919</v>
      </c>
      <c r="L2090" s="4">
        <v>22.92</v>
      </c>
    </row>
    <row r="2091" spans="2:12" x14ac:dyDescent="0.2">
      <c r="B2091" s="749">
        <v>42622</v>
      </c>
      <c r="C2091" s="1" t="s">
        <v>868</v>
      </c>
      <c r="E2091" t="s">
        <v>225</v>
      </c>
      <c r="F2091" t="s">
        <v>305</v>
      </c>
      <c r="G2091" s="1" t="s">
        <v>3</v>
      </c>
      <c r="H2091" s="1">
        <v>554029</v>
      </c>
      <c r="I2091" t="s">
        <v>910</v>
      </c>
      <c r="J2091" s="110">
        <v>270996</v>
      </c>
      <c r="K2091" s="4" t="s">
        <v>920</v>
      </c>
      <c r="L2091" s="4">
        <v>25.16</v>
      </c>
    </row>
    <row r="2092" spans="2:12" x14ac:dyDescent="0.2">
      <c r="B2092" s="749">
        <v>42622</v>
      </c>
      <c r="C2092" s="1" t="s">
        <v>868</v>
      </c>
      <c r="E2092" t="s">
        <v>225</v>
      </c>
      <c r="F2092" t="s">
        <v>305</v>
      </c>
      <c r="G2092" s="1" t="s">
        <v>3</v>
      </c>
      <c r="H2092" s="1">
        <v>554029</v>
      </c>
      <c r="I2092" t="s">
        <v>910</v>
      </c>
      <c r="J2092" s="110">
        <v>350245</v>
      </c>
      <c r="K2092" s="4" t="s">
        <v>865</v>
      </c>
      <c r="L2092" s="4">
        <v>21.4</v>
      </c>
    </row>
    <row r="2093" spans="2:12" x14ac:dyDescent="0.2">
      <c r="B2093" s="749">
        <v>42622</v>
      </c>
      <c r="C2093" s="1" t="s">
        <v>868</v>
      </c>
      <c r="E2093" t="s">
        <v>225</v>
      </c>
      <c r="F2093" t="s">
        <v>305</v>
      </c>
      <c r="G2093" s="1" t="s">
        <v>3</v>
      </c>
      <c r="H2093" s="1">
        <v>554029</v>
      </c>
      <c r="I2093" t="s">
        <v>910</v>
      </c>
      <c r="J2093" s="110">
        <v>350250</v>
      </c>
      <c r="K2093" s="4" t="s">
        <v>864</v>
      </c>
      <c r="L2093" s="4">
        <v>25.3</v>
      </c>
    </row>
    <row r="2094" spans="2:12" x14ac:dyDescent="0.2">
      <c r="B2094" s="749">
        <v>42623</v>
      </c>
      <c r="C2094" s="1" t="s">
        <v>868</v>
      </c>
      <c r="E2094" t="s">
        <v>225</v>
      </c>
      <c r="F2094" t="s">
        <v>305</v>
      </c>
      <c r="G2094" s="1" t="s">
        <v>3</v>
      </c>
      <c r="H2094" s="1">
        <v>554029</v>
      </c>
      <c r="I2094" t="s">
        <v>910</v>
      </c>
      <c r="J2094" s="110">
        <v>270993</v>
      </c>
      <c r="K2094" s="4" t="s">
        <v>921</v>
      </c>
      <c r="L2094" s="4">
        <v>23.24</v>
      </c>
    </row>
    <row r="2095" spans="2:12" x14ac:dyDescent="0.2">
      <c r="B2095" s="749">
        <v>42623</v>
      </c>
      <c r="C2095" s="1" t="s">
        <v>868</v>
      </c>
      <c r="E2095" t="s">
        <v>225</v>
      </c>
      <c r="F2095" t="s">
        <v>305</v>
      </c>
      <c r="G2095" s="1" t="s">
        <v>3</v>
      </c>
      <c r="H2095" s="1">
        <v>554029</v>
      </c>
      <c r="I2095" t="s">
        <v>910</v>
      </c>
      <c r="J2095" s="110">
        <v>270994</v>
      </c>
      <c r="K2095" s="4" t="s">
        <v>922</v>
      </c>
      <c r="L2095" s="4">
        <v>26.56</v>
      </c>
    </row>
    <row r="2096" spans="2:12" x14ac:dyDescent="0.2">
      <c r="B2096" s="749">
        <v>42623</v>
      </c>
      <c r="C2096" s="1" t="s">
        <v>868</v>
      </c>
      <c r="E2096" t="s">
        <v>225</v>
      </c>
      <c r="F2096" t="s">
        <v>305</v>
      </c>
      <c r="G2096" s="1" t="s">
        <v>3</v>
      </c>
      <c r="H2096" s="1">
        <v>554029</v>
      </c>
      <c r="I2096" t="s">
        <v>910</v>
      </c>
      <c r="J2096" s="110">
        <v>273736</v>
      </c>
      <c r="K2096" s="4" t="s">
        <v>923</v>
      </c>
      <c r="L2096" s="4">
        <v>24.74</v>
      </c>
    </row>
    <row r="2097" spans="2:12" x14ac:dyDescent="0.2">
      <c r="B2097" s="749">
        <v>42623</v>
      </c>
      <c r="C2097" s="1" t="s">
        <v>868</v>
      </c>
      <c r="E2097" t="s">
        <v>225</v>
      </c>
      <c r="F2097" t="s">
        <v>305</v>
      </c>
      <c r="G2097" s="1" t="s">
        <v>3</v>
      </c>
      <c r="H2097" s="1">
        <v>554029</v>
      </c>
      <c r="I2097" t="s">
        <v>910</v>
      </c>
      <c r="J2097" s="110">
        <v>36176</v>
      </c>
      <c r="K2097" s="4" t="s">
        <v>924</v>
      </c>
      <c r="L2097" s="4">
        <v>21.94</v>
      </c>
    </row>
    <row r="2098" spans="2:12" x14ac:dyDescent="0.2">
      <c r="B2098" s="749">
        <v>42623</v>
      </c>
      <c r="C2098" s="1" t="s">
        <v>868</v>
      </c>
      <c r="E2098" t="s">
        <v>225</v>
      </c>
      <c r="F2098" t="s">
        <v>305</v>
      </c>
      <c r="G2098" s="1" t="s">
        <v>3</v>
      </c>
      <c r="H2098" s="1">
        <v>554029</v>
      </c>
      <c r="I2098" t="s">
        <v>910</v>
      </c>
      <c r="J2098" s="110">
        <v>270991</v>
      </c>
      <c r="K2098" s="4" t="s">
        <v>916</v>
      </c>
      <c r="L2098" s="4">
        <v>26.08</v>
      </c>
    </row>
    <row r="2099" spans="2:12" x14ac:dyDescent="0.2">
      <c r="B2099" s="749">
        <v>42623</v>
      </c>
      <c r="C2099" s="1" t="s">
        <v>868</v>
      </c>
      <c r="E2099" t="s">
        <v>225</v>
      </c>
      <c r="F2099" t="s">
        <v>305</v>
      </c>
      <c r="G2099" s="1" t="s">
        <v>3</v>
      </c>
      <c r="H2099" s="1">
        <v>554029</v>
      </c>
      <c r="I2099" t="s">
        <v>910</v>
      </c>
      <c r="J2099" s="110">
        <v>270598</v>
      </c>
      <c r="K2099" s="4" t="s">
        <v>925</v>
      </c>
      <c r="L2099" s="4">
        <v>22.4</v>
      </c>
    </row>
    <row r="2100" spans="2:12" x14ac:dyDescent="0.2">
      <c r="B2100" s="749">
        <v>42623</v>
      </c>
      <c r="C2100" s="1" t="s">
        <v>868</v>
      </c>
      <c r="E2100" t="s">
        <v>225</v>
      </c>
      <c r="F2100" t="s">
        <v>305</v>
      </c>
      <c r="G2100" s="1" t="s">
        <v>3</v>
      </c>
      <c r="H2100" s="1">
        <v>554029</v>
      </c>
      <c r="I2100" t="s">
        <v>910</v>
      </c>
      <c r="J2100" s="110">
        <v>270992</v>
      </c>
      <c r="K2100" s="4" t="s">
        <v>907</v>
      </c>
      <c r="L2100" s="4">
        <v>25.3</v>
      </c>
    </row>
    <row r="2101" spans="2:12" x14ac:dyDescent="0.2">
      <c r="B2101" s="749">
        <v>42623</v>
      </c>
      <c r="C2101" s="1" t="s">
        <v>868</v>
      </c>
      <c r="E2101" t="s">
        <v>225</v>
      </c>
      <c r="F2101" t="s">
        <v>305</v>
      </c>
      <c r="G2101" s="1" t="s">
        <v>3</v>
      </c>
      <c r="H2101" s="1">
        <v>554029</v>
      </c>
      <c r="I2101" t="s">
        <v>910</v>
      </c>
      <c r="J2101" s="110">
        <v>270596</v>
      </c>
      <c r="K2101" s="4" t="s">
        <v>926</v>
      </c>
      <c r="L2101" s="4">
        <v>22.92</v>
      </c>
    </row>
    <row r="2102" spans="2:12" x14ac:dyDescent="0.2">
      <c r="B2102" s="749">
        <v>42624</v>
      </c>
      <c r="C2102" s="1" t="s">
        <v>868</v>
      </c>
      <c r="E2102" t="s">
        <v>225</v>
      </c>
      <c r="F2102" t="s">
        <v>305</v>
      </c>
      <c r="G2102" s="1" t="s">
        <v>3</v>
      </c>
      <c r="H2102" s="1">
        <v>554029</v>
      </c>
      <c r="I2102" t="s">
        <v>910</v>
      </c>
      <c r="J2102" s="110">
        <v>271013</v>
      </c>
      <c r="K2102" s="4" t="s">
        <v>864</v>
      </c>
      <c r="L2102" s="4">
        <v>25.58</v>
      </c>
    </row>
    <row r="2103" spans="2:12" x14ac:dyDescent="0.2">
      <c r="B2103" s="749">
        <v>42624</v>
      </c>
      <c r="C2103" s="1" t="s">
        <v>868</v>
      </c>
      <c r="E2103" t="s">
        <v>225</v>
      </c>
      <c r="F2103" t="s">
        <v>305</v>
      </c>
      <c r="G2103" s="1" t="s">
        <v>3</v>
      </c>
      <c r="H2103" s="1">
        <v>554029</v>
      </c>
      <c r="I2103" t="s">
        <v>910</v>
      </c>
      <c r="J2103" s="110">
        <v>270578</v>
      </c>
      <c r="K2103" s="4" t="s">
        <v>927</v>
      </c>
      <c r="L2103" s="4">
        <v>22.94</v>
      </c>
    </row>
    <row r="2104" spans="2:12" x14ac:dyDescent="0.2">
      <c r="B2104" s="749">
        <v>42624</v>
      </c>
      <c r="C2104" s="1" t="s">
        <v>868</v>
      </c>
      <c r="E2104" t="s">
        <v>225</v>
      </c>
      <c r="F2104" t="s">
        <v>305</v>
      </c>
      <c r="G2104" s="1" t="s">
        <v>3</v>
      </c>
      <c r="H2104" s="1">
        <v>554029</v>
      </c>
      <c r="I2104" t="s">
        <v>910</v>
      </c>
      <c r="J2104" s="110">
        <v>36193</v>
      </c>
      <c r="K2104" s="4" t="s">
        <v>928</v>
      </c>
      <c r="L2104" s="4">
        <v>24.98</v>
      </c>
    </row>
    <row r="2105" spans="2:12" x14ac:dyDescent="0.2">
      <c r="B2105" s="749">
        <v>42624</v>
      </c>
      <c r="C2105" s="1" t="s">
        <v>868</v>
      </c>
      <c r="E2105" t="s">
        <v>225</v>
      </c>
      <c r="F2105" t="s">
        <v>305</v>
      </c>
      <c r="G2105" s="1" t="s">
        <v>3</v>
      </c>
      <c r="H2105" s="1">
        <v>554029</v>
      </c>
      <c r="I2105" t="s">
        <v>910</v>
      </c>
      <c r="J2105" s="110">
        <v>36194</v>
      </c>
      <c r="K2105" s="4" t="s">
        <v>929</v>
      </c>
      <c r="L2105" s="4">
        <v>24.5</v>
      </c>
    </row>
    <row r="2106" spans="2:12" x14ac:dyDescent="0.2">
      <c r="B2106" s="749">
        <v>42625</v>
      </c>
      <c r="C2106" s="1" t="s">
        <v>868</v>
      </c>
      <c r="E2106" t="s">
        <v>225</v>
      </c>
      <c r="F2106" t="s">
        <v>305</v>
      </c>
      <c r="G2106" s="1" t="s">
        <v>3</v>
      </c>
      <c r="H2106" s="1">
        <v>554029</v>
      </c>
      <c r="I2106" t="s">
        <v>910</v>
      </c>
      <c r="J2106" s="110">
        <v>270595</v>
      </c>
      <c r="K2106" s="4" t="s">
        <v>930</v>
      </c>
      <c r="L2106" s="4">
        <v>25.66</v>
      </c>
    </row>
    <row r="2107" spans="2:12" x14ac:dyDescent="0.2">
      <c r="B2107" s="749">
        <v>42625</v>
      </c>
      <c r="C2107" s="1" t="s">
        <v>868</v>
      </c>
      <c r="E2107" t="s">
        <v>225</v>
      </c>
      <c r="F2107" t="s">
        <v>305</v>
      </c>
      <c r="G2107" s="1" t="s">
        <v>3</v>
      </c>
      <c r="H2107" s="1">
        <v>554029</v>
      </c>
      <c r="I2107" t="s">
        <v>910</v>
      </c>
      <c r="J2107" s="110">
        <v>356176</v>
      </c>
      <c r="K2107" s="4" t="s">
        <v>864</v>
      </c>
      <c r="L2107" s="4">
        <v>25</v>
      </c>
    </row>
    <row r="2108" spans="2:12" x14ac:dyDescent="0.2">
      <c r="B2108" s="749">
        <v>42625</v>
      </c>
      <c r="C2108" s="1" t="s">
        <v>868</v>
      </c>
      <c r="E2108" t="s">
        <v>225</v>
      </c>
      <c r="F2108" t="s">
        <v>305</v>
      </c>
      <c r="G2108" s="1" t="s">
        <v>3</v>
      </c>
      <c r="H2108" s="1">
        <v>554029</v>
      </c>
      <c r="I2108" t="s">
        <v>910</v>
      </c>
      <c r="J2108" s="110">
        <v>270593</v>
      </c>
      <c r="K2108" s="4" t="s">
        <v>931</v>
      </c>
      <c r="L2108" s="4">
        <v>25.02</v>
      </c>
    </row>
    <row r="2109" spans="2:12" x14ac:dyDescent="0.2">
      <c r="B2109" s="749">
        <v>42625</v>
      </c>
      <c r="C2109" s="1" t="s">
        <v>868</v>
      </c>
      <c r="E2109" t="s">
        <v>225</v>
      </c>
      <c r="F2109" t="s">
        <v>305</v>
      </c>
      <c r="G2109" s="1" t="s">
        <v>3</v>
      </c>
      <c r="H2109" s="1">
        <v>554029</v>
      </c>
      <c r="I2109" t="s">
        <v>910</v>
      </c>
      <c r="J2109" s="110">
        <v>270590</v>
      </c>
      <c r="K2109" s="4" t="s">
        <v>932</v>
      </c>
      <c r="L2109" s="4">
        <v>24.54</v>
      </c>
    </row>
    <row r="2110" spans="2:12" x14ac:dyDescent="0.2">
      <c r="B2110" s="749">
        <v>42625</v>
      </c>
      <c r="C2110" s="1" t="s">
        <v>868</v>
      </c>
      <c r="E2110" t="s">
        <v>225</v>
      </c>
      <c r="F2110" t="s">
        <v>305</v>
      </c>
      <c r="G2110" s="1" t="s">
        <v>3</v>
      </c>
      <c r="H2110" s="1">
        <v>554029</v>
      </c>
      <c r="I2110" t="s">
        <v>910</v>
      </c>
      <c r="J2110" s="110">
        <v>270591</v>
      </c>
      <c r="K2110" s="4" t="s">
        <v>933</v>
      </c>
      <c r="L2110" s="4">
        <v>25.88</v>
      </c>
    </row>
    <row r="2111" spans="2:12" x14ac:dyDescent="0.2">
      <c r="B2111" s="749">
        <v>42623</v>
      </c>
      <c r="C2111" s="1" t="s">
        <v>704</v>
      </c>
      <c r="E2111" t="s">
        <v>225</v>
      </c>
      <c r="F2111" t="s">
        <v>305</v>
      </c>
      <c r="G2111" s="1" t="s">
        <v>3</v>
      </c>
      <c r="H2111" s="1">
        <v>553610</v>
      </c>
      <c r="I2111" t="s">
        <v>887</v>
      </c>
      <c r="J2111" s="110">
        <v>40511610</v>
      </c>
      <c r="K2111" s="4">
        <v>58500216</v>
      </c>
      <c r="L2111" s="4">
        <v>59.45</v>
      </c>
    </row>
    <row r="2112" spans="2:12" x14ac:dyDescent="0.2">
      <c r="B2112" s="749">
        <v>42623</v>
      </c>
      <c r="C2112" s="1" t="s">
        <v>704</v>
      </c>
      <c r="E2112" t="s">
        <v>225</v>
      </c>
      <c r="F2112" t="s">
        <v>305</v>
      </c>
      <c r="G2112" s="1" t="s">
        <v>3</v>
      </c>
      <c r="H2112" s="1">
        <v>553610</v>
      </c>
      <c r="I2112" t="s">
        <v>887</v>
      </c>
      <c r="J2112" s="110">
        <v>40511610</v>
      </c>
      <c r="K2112" s="4">
        <v>58523069</v>
      </c>
      <c r="L2112" s="4">
        <v>60.15</v>
      </c>
    </row>
    <row r="2113" spans="2:12" x14ac:dyDescent="0.2">
      <c r="B2113" s="749">
        <v>42623</v>
      </c>
      <c r="C2113" s="1" t="s">
        <v>704</v>
      </c>
      <c r="E2113" t="s">
        <v>225</v>
      </c>
      <c r="F2113" t="s">
        <v>305</v>
      </c>
      <c r="G2113" s="1" t="s">
        <v>3</v>
      </c>
      <c r="H2113" s="1">
        <v>553610</v>
      </c>
      <c r="I2113" t="s">
        <v>887</v>
      </c>
      <c r="J2113" s="110">
        <v>40511610</v>
      </c>
      <c r="K2113" s="4">
        <v>53235552</v>
      </c>
      <c r="L2113" s="4">
        <v>60.65</v>
      </c>
    </row>
    <row r="2114" spans="2:12" x14ac:dyDescent="0.2">
      <c r="B2114" s="749">
        <v>42623</v>
      </c>
      <c r="C2114" s="1" t="s">
        <v>704</v>
      </c>
      <c r="E2114" t="s">
        <v>225</v>
      </c>
      <c r="F2114" t="s">
        <v>305</v>
      </c>
      <c r="G2114" s="1" t="s">
        <v>3</v>
      </c>
      <c r="H2114" s="1">
        <v>553610</v>
      </c>
      <c r="I2114" t="s">
        <v>887</v>
      </c>
      <c r="J2114" s="110">
        <v>40511610</v>
      </c>
      <c r="K2114" s="4">
        <v>58556788</v>
      </c>
      <c r="L2114" s="4">
        <v>60.7</v>
      </c>
    </row>
    <row r="2115" spans="2:12" x14ac:dyDescent="0.2">
      <c r="B2115" s="749">
        <v>42623</v>
      </c>
      <c r="C2115" s="1" t="s">
        <v>704</v>
      </c>
      <c r="E2115" t="s">
        <v>225</v>
      </c>
      <c r="F2115" t="s">
        <v>305</v>
      </c>
      <c r="G2115" s="1" t="s">
        <v>3</v>
      </c>
      <c r="H2115" s="1">
        <v>553610</v>
      </c>
      <c r="I2115" t="s">
        <v>887</v>
      </c>
      <c r="J2115" s="110">
        <v>40511610</v>
      </c>
      <c r="K2115" s="4">
        <v>58544875</v>
      </c>
      <c r="L2115" s="4">
        <v>61.2</v>
      </c>
    </row>
    <row r="2116" spans="2:12" x14ac:dyDescent="0.2">
      <c r="B2116" s="749">
        <v>42623</v>
      </c>
      <c r="C2116" s="1" t="s">
        <v>704</v>
      </c>
      <c r="E2116" t="s">
        <v>225</v>
      </c>
      <c r="F2116" t="s">
        <v>305</v>
      </c>
      <c r="G2116" s="1" t="s">
        <v>3</v>
      </c>
      <c r="H2116" s="1">
        <v>553610</v>
      </c>
      <c r="I2116" t="s">
        <v>887</v>
      </c>
      <c r="J2116" s="110">
        <v>40511610</v>
      </c>
      <c r="K2116" s="4">
        <v>58534116</v>
      </c>
      <c r="L2116" s="4">
        <v>58.6</v>
      </c>
    </row>
    <row r="2117" spans="2:12" x14ac:dyDescent="0.2">
      <c r="B2117" s="749">
        <v>42623</v>
      </c>
      <c r="C2117" s="1" t="s">
        <v>704</v>
      </c>
      <c r="E2117" t="s">
        <v>225</v>
      </c>
      <c r="F2117" t="s">
        <v>305</v>
      </c>
      <c r="G2117" s="1" t="s">
        <v>3</v>
      </c>
      <c r="H2117" s="1">
        <v>553610</v>
      </c>
      <c r="I2117" t="s">
        <v>887</v>
      </c>
      <c r="J2117" s="110">
        <v>40518797</v>
      </c>
      <c r="K2117" s="4">
        <v>95697827</v>
      </c>
      <c r="L2117" s="4">
        <v>60.85</v>
      </c>
    </row>
    <row r="2118" spans="2:12" x14ac:dyDescent="0.2">
      <c r="B2118" s="749">
        <v>42623</v>
      </c>
      <c r="C2118" s="1" t="s">
        <v>704</v>
      </c>
      <c r="E2118" t="s">
        <v>225</v>
      </c>
      <c r="F2118" t="s">
        <v>305</v>
      </c>
      <c r="G2118" s="1" t="s">
        <v>3</v>
      </c>
      <c r="H2118" s="1">
        <v>553610</v>
      </c>
      <c r="I2118" t="s">
        <v>887</v>
      </c>
      <c r="J2118" s="110">
        <v>40511610</v>
      </c>
      <c r="K2118" s="4">
        <v>58547977</v>
      </c>
      <c r="L2118" s="4">
        <v>60.7</v>
      </c>
    </row>
    <row r="2119" spans="2:12" x14ac:dyDescent="0.2">
      <c r="B2119" s="749">
        <v>42623</v>
      </c>
      <c r="C2119" s="1" t="s">
        <v>704</v>
      </c>
      <c r="E2119" t="s">
        <v>225</v>
      </c>
      <c r="F2119" t="s">
        <v>305</v>
      </c>
      <c r="G2119" s="1" t="s">
        <v>3</v>
      </c>
      <c r="H2119" s="1">
        <v>553610</v>
      </c>
      <c r="I2119" t="s">
        <v>887</v>
      </c>
      <c r="J2119" s="110">
        <v>40518797</v>
      </c>
      <c r="K2119" s="4">
        <v>95831129</v>
      </c>
      <c r="L2119" s="4">
        <v>60.95</v>
      </c>
    </row>
    <row r="2120" spans="2:12" x14ac:dyDescent="0.2">
      <c r="B2120" s="749">
        <v>42623</v>
      </c>
      <c r="C2120" s="1" t="s">
        <v>704</v>
      </c>
      <c r="E2120" t="s">
        <v>225</v>
      </c>
      <c r="F2120" t="s">
        <v>305</v>
      </c>
      <c r="G2120" s="1" t="s">
        <v>3</v>
      </c>
      <c r="H2120" s="1">
        <v>553610</v>
      </c>
      <c r="I2120" t="s">
        <v>887</v>
      </c>
      <c r="J2120" s="110">
        <v>40525305</v>
      </c>
      <c r="K2120" s="4">
        <v>95912788</v>
      </c>
      <c r="L2120" s="4">
        <v>60.8</v>
      </c>
    </row>
    <row r="2121" spans="2:12" x14ac:dyDescent="0.2">
      <c r="B2121" s="749">
        <v>42623</v>
      </c>
      <c r="C2121" s="1" t="s">
        <v>704</v>
      </c>
      <c r="E2121" t="s">
        <v>225</v>
      </c>
      <c r="F2121" t="s">
        <v>305</v>
      </c>
      <c r="G2121" s="1" t="s">
        <v>3</v>
      </c>
      <c r="H2121" s="1">
        <v>553610</v>
      </c>
      <c r="I2121" t="s">
        <v>887</v>
      </c>
      <c r="J2121" s="110">
        <v>40488470</v>
      </c>
      <c r="K2121" s="4">
        <v>95391520</v>
      </c>
      <c r="L2121" s="4">
        <v>57.3</v>
      </c>
    </row>
    <row r="2122" spans="2:12" x14ac:dyDescent="0.2">
      <c r="B2122" s="749">
        <v>42623</v>
      </c>
      <c r="C2122" s="1" t="s">
        <v>704</v>
      </c>
      <c r="E2122" t="s">
        <v>225</v>
      </c>
      <c r="F2122" t="s">
        <v>305</v>
      </c>
      <c r="G2122" s="1" t="s">
        <v>3</v>
      </c>
      <c r="H2122" s="1">
        <v>553610</v>
      </c>
      <c r="I2122" t="s">
        <v>887</v>
      </c>
      <c r="J2122" s="110">
        <v>40488470</v>
      </c>
      <c r="K2122" s="4">
        <v>95636361</v>
      </c>
      <c r="L2122" s="4">
        <v>57.6</v>
      </c>
    </row>
    <row r="2123" spans="2:12" x14ac:dyDescent="0.2">
      <c r="B2123" s="749">
        <v>42623</v>
      </c>
      <c r="C2123" s="1" t="s">
        <v>704</v>
      </c>
      <c r="E2123" t="s">
        <v>225</v>
      </c>
      <c r="F2123" t="s">
        <v>305</v>
      </c>
      <c r="G2123" s="1" t="s">
        <v>3</v>
      </c>
      <c r="H2123" s="1">
        <v>553610</v>
      </c>
      <c r="I2123" t="s">
        <v>887</v>
      </c>
      <c r="J2123" s="110">
        <v>40495129</v>
      </c>
      <c r="K2123" s="4">
        <v>95828703</v>
      </c>
      <c r="L2123" s="4">
        <v>57.05</v>
      </c>
    </row>
    <row r="2124" spans="2:12" x14ac:dyDescent="0.2">
      <c r="B2124" s="749">
        <v>42623</v>
      </c>
      <c r="C2124" s="1" t="s">
        <v>704</v>
      </c>
      <c r="E2124" t="s">
        <v>225</v>
      </c>
      <c r="F2124" t="s">
        <v>305</v>
      </c>
      <c r="G2124" s="1" t="s">
        <v>3</v>
      </c>
      <c r="H2124" s="1">
        <v>553610</v>
      </c>
      <c r="I2124" t="s">
        <v>887</v>
      </c>
      <c r="J2124" s="110">
        <v>40495129</v>
      </c>
      <c r="K2124" s="4">
        <v>95644449</v>
      </c>
      <c r="L2124" s="4">
        <v>57.25</v>
      </c>
    </row>
    <row r="2125" spans="2:12" x14ac:dyDescent="0.2">
      <c r="B2125" s="749">
        <v>42623</v>
      </c>
      <c r="C2125" s="1" t="s">
        <v>704</v>
      </c>
      <c r="E2125" t="s">
        <v>225</v>
      </c>
      <c r="F2125" t="s">
        <v>305</v>
      </c>
      <c r="G2125" s="1" t="s">
        <v>3</v>
      </c>
      <c r="H2125" s="1">
        <v>553610</v>
      </c>
      <c r="I2125" t="s">
        <v>887</v>
      </c>
      <c r="J2125" s="110">
        <v>40511628</v>
      </c>
      <c r="K2125" s="4">
        <v>95150462</v>
      </c>
      <c r="L2125" s="4">
        <v>62.85</v>
      </c>
    </row>
    <row r="2126" spans="2:12" x14ac:dyDescent="0.2">
      <c r="B2126" s="749">
        <v>42623</v>
      </c>
      <c r="C2126" s="1" t="s">
        <v>704</v>
      </c>
      <c r="E2126" t="s">
        <v>225</v>
      </c>
      <c r="F2126" t="s">
        <v>305</v>
      </c>
      <c r="G2126" s="1" t="s">
        <v>3</v>
      </c>
      <c r="H2126" s="1">
        <v>553610</v>
      </c>
      <c r="I2126" t="s">
        <v>887</v>
      </c>
      <c r="J2126" s="110">
        <v>40511636</v>
      </c>
      <c r="K2126" s="4">
        <v>95362562</v>
      </c>
      <c r="L2126" s="4">
        <v>64.05</v>
      </c>
    </row>
    <row r="2127" spans="2:12" x14ac:dyDescent="0.2">
      <c r="B2127" s="749">
        <v>42623</v>
      </c>
      <c r="C2127" s="1" t="s">
        <v>704</v>
      </c>
      <c r="E2127" t="s">
        <v>225</v>
      </c>
      <c r="F2127" t="s">
        <v>305</v>
      </c>
      <c r="G2127" s="1" t="s">
        <v>3</v>
      </c>
      <c r="H2127" s="1">
        <v>553610</v>
      </c>
      <c r="I2127" t="s">
        <v>887</v>
      </c>
      <c r="J2127" s="110">
        <v>40511644</v>
      </c>
      <c r="K2127" s="4">
        <v>95375440</v>
      </c>
      <c r="L2127" s="4">
        <v>64.45</v>
      </c>
    </row>
    <row r="2128" spans="2:12" x14ac:dyDescent="0.2">
      <c r="B2128" s="749">
        <v>42623</v>
      </c>
      <c r="C2128" s="1" t="s">
        <v>704</v>
      </c>
      <c r="E2128" t="s">
        <v>225</v>
      </c>
      <c r="F2128" t="s">
        <v>305</v>
      </c>
      <c r="G2128" s="1" t="s">
        <v>3</v>
      </c>
      <c r="H2128" s="1">
        <v>553610</v>
      </c>
      <c r="I2128" t="s">
        <v>887</v>
      </c>
      <c r="J2128" s="110">
        <v>40445447</v>
      </c>
      <c r="K2128" s="4">
        <v>95621157</v>
      </c>
      <c r="L2128" s="4">
        <v>57.9</v>
      </c>
    </row>
    <row r="2129" spans="2:12" x14ac:dyDescent="0.2">
      <c r="B2129" s="749">
        <v>42623</v>
      </c>
      <c r="C2129" s="1" t="s">
        <v>704</v>
      </c>
      <c r="E2129" t="s">
        <v>225</v>
      </c>
      <c r="F2129" t="s">
        <v>305</v>
      </c>
      <c r="G2129" s="1" t="s">
        <v>3</v>
      </c>
      <c r="H2129" s="1">
        <v>553610</v>
      </c>
      <c r="I2129" t="s">
        <v>887</v>
      </c>
      <c r="J2129" s="110">
        <v>40525305</v>
      </c>
      <c r="K2129" s="4">
        <v>95830576</v>
      </c>
      <c r="L2129" s="4">
        <v>61.25</v>
      </c>
    </row>
    <row r="2130" spans="2:12" x14ac:dyDescent="0.2">
      <c r="B2130" s="749">
        <v>42623</v>
      </c>
      <c r="C2130" s="1" t="s">
        <v>704</v>
      </c>
      <c r="E2130" t="s">
        <v>225</v>
      </c>
      <c r="F2130" t="s">
        <v>305</v>
      </c>
      <c r="G2130" s="1" t="s">
        <v>3</v>
      </c>
      <c r="H2130" s="1">
        <v>553610</v>
      </c>
      <c r="I2130" t="s">
        <v>887</v>
      </c>
      <c r="J2130" s="110">
        <v>40525305</v>
      </c>
      <c r="K2130" s="4">
        <v>95616215</v>
      </c>
      <c r="L2130" s="4">
        <v>60.85</v>
      </c>
    </row>
    <row r="2131" spans="2:12" x14ac:dyDescent="0.2">
      <c r="B2131" s="749">
        <v>42623</v>
      </c>
      <c r="C2131" s="1" t="s">
        <v>704</v>
      </c>
      <c r="E2131" t="s">
        <v>225</v>
      </c>
      <c r="F2131" t="s">
        <v>305</v>
      </c>
      <c r="G2131" s="1" t="s">
        <v>3</v>
      </c>
      <c r="H2131" s="1">
        <v>553610</v>
      </c>
      <c r="I2131" t="s">
        <v>887</v>
      </c>
      <c r="J2131" s="110">
        <v>40525305</v>
      </c>
      <c r="K2131" s="4">
        <v>95614616</v>
      </c>
      <c r="L2131" s="4">
        <v>60.8</v>
      </c>
    </row>
    <row r="2132" spans="2:12" x14ac:dyDescent="0.2">
      <c r="B2132" s="749">
        <v>42623</v>
      </c>
      <c r="C2132" s="1" t="s">
        <v>704</v>
      </c>
      <c r="E2132" t="s">
        <v>225</v>
      </c>
      <c r="F2132" t="s">
        <v>305</v>
      </c>
      <c r="G2132" s="1" t="s">
        <v>3</v>
      </c>
      <c r="H2132" s="1">
        <v>553610</v>
      </c>
      <c r="I2132" t="s">
        <v>887</v>
      </c>
      <c r="J2132" s="110">
        <v>40526014</v>
      </c>
      <c r="K2132" s="4">
        <v>95651543</v>
      </c>
      <c r="L2132" s="4">
        <v>60.85</v>
      </c>
    </row>
    <row r="2133" spans="2:12" x14ac:dyDescent="0.2">
      <c r="B2133" s="749">
        <v>42623</v>
      </c>
      <c r="C2133" s="1" t="s">
        <v>704</v>
      </c>
      <c r="E2133" t="s">
        <v>225</v>
      </c>
      <c r="F2133" t="s">
        <v>305</v>
      </c>
      <c r="G2133" s="1" t="s">
        <v>3</v>
      </c>
      <c r="H2133" s="1">
        <v>553610</v>
      </c>
      <c r="I2133" t="s">
        <v>887</v>
      </c>
      <c r="J2133" s="110">
        <v>40488470</v>
      </c>
      <c r="K2133" s="4">
        <v>95493151</v>
      </c>
      <c r="L2133" s="4">
        <v>57.35</v>
      </c>
    </row>
    <row r="2134" spans="2:12" x14ac:dyDescent="0.2">
      <c r="B2134" s="749">
        <v>42623</v>
      </c>
      <c r="C2134" s="1" t="s">
        <v>704</v>
      </c>
      <c r="E2134" t="s">
        <v>225</v>
      </c>
      <c r="F2134" t="s">
        <v>305</v>
      </c>
      <c r="G2134" s="1" t="s">
        <v>3</v>
      </c>
      <c r="H2134" s="1">
        <v>553610</v>
      </c>
      <c r="I2134" t="s">
        <v>887</v>
      </c>
      <c r="J2134" s="110">
        <v>40488470</v>
      </c>
      <c r="K2134" s="4">
        <v>95352670</v>
      </c>
      <c r="L2134" s="4">
        <v>57.55</v>
      </c>
    </row>
    <row r="2135" spans="2:12" x14ac:dyDescent="0.2">
      <c r="B2135" s="749">
        <v>42623</v>
      </c>
      <c r="C2135" s="1" t="s">
        <v>622</v>
      </c>
      <c r="E2135" t="s">
        <v>225</v>
      </c>
      <c r="F2135" t="s">
        <v>305</v>
      </c>
      <c r="G2135" s="1" t="s">
        <v>3</v>
      </c>
      <c r="H2135" s="1">
        <v>552973</v>
      </c>
      <c r="I2135" t="s">
        <v>887</v>
      </c>
      <c r="J2135" s="110">
        <v>40568677</v>
      </c>
      <c r="K2135" s="4">
        <v>95018768</v>
      </c>
      <c r="L2135" s="4">
        <v>57.25</v>
      </c>
    </row>
    <row r="2136" spans="2:12" x14ac:dyDescent="0.2">
      <c r="B2136" s="749">
        <v>42623</v>
      </c>
      <c r="C2136" s="1" t="s">
        <v>622</v>
      </c>
      <c r="E2136" t="s">
        <v>225</v>
      </c>
      <c r="F2136" t="s">
        <v>305</v>
      </c>
      <c r="G2136" s="1" t="s">
        <v>3</v>
      </c>
      <c r="H2136" s="1">
        <v>552973</v>
      </c>
      <c r="I2136" t="s">
        <v>887</v>
      </c>
      <c r="J2136" s="110">
        <v>40568677</v>
      </c>
      <c r="K2136" s="4">
        <v>95366530</v>
      </c>
      <c r="L2136" s="4">
        <v>58.2</v>
      </c>
    </row>
    <row r="2137" spans="2:12" x14ac:dyDescent="0.2">
      <c r="B2137" s="749">
        <v>42623</v>
      </c>
      <c r="C2137" s="1" t="s">
        <v>622</v>
      </c>
      <c r="E2137" t="s">
        <v>225</v>
      </c>
      <c r="F2137" t="s">
        <v>305</v>
      </c>
      <c r="G2137" s="1" t="s">
        <v>3</v>
      </c>
      <c r="H2137" s="1">
        <v>552973</v>
      </c>
      <c r="I2137" t="s">
        <v>887</v>
      </c>
      <c r="J2137" s="110">
        <v>40568677</v>
      </c>
      <c r="K2137" s="4">
        <v>95377834</v>
      </c>
      <c r="L2137" s="4">
        <v>57</v>
      </c>
    </row>
    <row r="2138" spans="2:12" x14ac:dyDescent="0.2">
      <c r="B2138" s="749">
        <v>42623</v>
      </c>
      <c r="C2138" s="1" t="s">
        <v>622</v>
      </c>
      <c r="E2138" t="s">
        <v>225</v>
      </c>
      <c r="F2138" t="s">
        <v>305</v>
      </c>
      <c r="G2138" s="1" t="s">
        <v>3</v>
      </c>
      <c r="H2138" s="1">
        <v>552973</v>
      </c>
      <c r="I2138" t="s">
        <v>887</v>
      </c>
      <c r="J2138" s="110">
        <v>40568677</v>
      </c>
      <c r="K2138" s="4">
        <v>95385514</v>
      </c>
      <c r="L2138" s="4">
        <v>57.2</v>
      </c>
    </row>
    <row r="2139" spans="2:12" x14ac:dyDescent="0.2">
      <c r="B2139" s="749">
        <v>42623</v>
      </c>
      <c r="C2139" s="1" t="s">
        <v>622</v>
      </c>
      <c r="E2139" t="s">
        <v>225</v>
      </c>
      <c r="F2139" t="s">
        <v>305</v>
      </c>
      <c r="G2139" s="1" t="s">
        <v>3</v>
      </c>
      <c r="H2139" s="1">
        <v>552973</v>
      </c>
      <c r="I2139" t="s">
        <v>887</v>
      </c>
      <c r="J2139" s="110">
        <v>40569501</v>
      </c>
      <c r="K2139" s="4">
        <v>95644381</v>
      </c>
      <c r="L2139" s="4">
        <v>56.05</v>
      </c>
    </row>
    <row r="2140" spans="2:12" x14ac:dyDescent="0.2">
      <c r="B2140" s="749">
        <v>42622</v>
      </c>
      <c r="C2140" s="1" t="s">
        <v>936</v>
      </c>
      <c r="E2140" t="s">
        <v>225</v>
      </c>
      <c r="F2140" t="s">
        <v>305</v>
      </c>
      <c r="G2140" s="1" t="s">
        <v>3</v>
      </c>
      <c r="H2140" s="1">
        <v>552629</v>
      </c>
      <c r="I2140" t="s">
        <v>467</v>
      </c>
      <c r="J2140" s="110">
        <v>271012</v>
      </c>
      <c r="K2140" s="4" t="s">
        <v>912</v>
      </c>
      <c r="L2140" s="4">
        <v>22.32</v>
      </c>
    </row>
    <row r="2141" spans="2:12" x14ac:dyDescent="0.2">
      <c r="B2141" s="749">
        <v>42625</v>
      </c>
      <c r="C2141" s="1" t="s">
        <v>914</v>
      </c>
      <c r="E2141" t="s">
        <v>225</v>
      </c>
      <c r="F2141" t="s">
        <v>305</v>
      </c>
      <c r="G2141" s="1" t="s">
        <v>3</v>
      </c>
      <c r="H2141" s="1">
        <v>553932</v>
      </c>
      <c r="I2141" t="s">
        <v>467</v>
      </c>
      <c r="J2141" s="110">
        <v>40543803</v>
      </c>
      <c r="K2141" s="4">
        <v>95796587</v>
      </c>
      <c r="L2141" s="4">
        <v>69.55</v>
      </c>
    </row>
    <row r="2142" spans="2:12" x14ac:dyDescent="0.2">
      <c r="B2142" s="749">
        <v>42622</v>
      </c>
      <c r="C2142" s="1" t="s">
        <v>818</v>
      </c>
      <c r="E2142" t="s">
        <v>225</v>
      </c>
      <c r="F2142" t="s">
        <v>305</v>
      </c>
      <c r="G2142" s="1" t="s">
        <v>3</v>
      </c>
      <c r="H2142" s="1">
        <v>553036</v>
      </c>
      <c r="I2142" t="s">
        <v>292</v>
      </c>
      <c r="J2142" s="110">
        <v>50733369</v>
      </c>
      <c r="K2142" s="4">
        <v>95646824</v>
      </c>
      <c r="L2142" s="4">
        <v>69.599999999999994</v>
      </c>
    </row>
    <row r="2143" spans="2:12" x14ac:dyDescent="0.2">
      <c r="B2143" s="749">
        <v>42622</v>
      </c>
      <c r="C2143" s="1" t="s">
        <v>888</v>
      </c>
      <c r="E2143" t="s">
        <v>225</v>
      </c>
      <c r="F2143" t="s">
        <v>305</v>
      </c>
      <c r="G2143" s="1" t="s">
        <v>3</v>
      </c>
      <c r="H2143" s="1">
        <v>553902</v>
      </c>
      <c r="I2143" t="s">
        <v>643</v>
      </c>
      <c r="J2143" s="110">
        <v>271064</v>
      </c>
      <c r="K2143" s="4" t="s">
        <v>893</v>
      </c>
      <c r="L2143" s="4">
        <v>24.58</v>
      </c>
    </row>
    <row r="2144" spans="2:12" x14ac:dyDescent="0.2">
      <c r="B2144" s="749">
        <v>42625</v>
      </c>
      <c r="C2144" s="1" t="s">
        <v>914</v>
      </c>
      <c r="E2144" t="s">
        <v>225</v>
      </c>
      <c r="F2144" t="s">
        <v>305</v>
      </c>
      <c r="G2144" s="1" t="s">
        <v>3</v>
      </c>
      <c r="H2144" s="1">
        <v>553932</v>
      </c>
      <c r="I2144" t="s">
        <v>467</v>
      </c>
      <c r="J2144" s="110">
        <v>40543803</v>
      </c>
      <c r="K2144" s="4">
        <v>95796587</v>
      </c>
      <c r="L2144" s="4">
        <v>69.55</v>
      </c>
    </row>
    <row r="2145" spans="2:12" x14ac:dyDescent="0.2">
      <c r="B2145" s="749">
        <v>42622</v>
      </c>
      <c r="C2145" s="1" t="s">
        <v>818</v>
      </c>
      <c r="E2145" t="s">
        <v>225</v>
      </c>
      <c r="F2145" t="s">
        <v>305</v>
      </c>
      <c r="G2145" s="1" t="s">
        <v>3</v>
      </c>
      <c r="H2145" s="1">
        <v>553036</v>
      </c>
      <c r="I2145" t="s">
        <v>292</v>
      </c>
      <c r="J2145" s="110">
        <v>50733369</v>
      </c>
      <c r="K2145" s="4">
        <v>95646824</v>
      </c>
      <c r="L2145" s="4">
        <v>69.599999999999994</v>
      </c>
    </row>
    <row r="2146" spans="2:12" x14ac:dyDescent="0.2">
      <c r="B2146" s="749">
        <v>42622</v>
      </c>
      <c r="C2146" s="1" t="s">
        <v>888</v>
      </c>
      <c r="E2146" t="s">
        <v>225</v>
      </c>
      <c r="F2146" t="s">
        <v>305</v>
      </c>
      <c r="G2146" s="1" t="s">
        <v>3</v>
      </c>
      <c r="H2146" s="1">
        <v>553902</v>
      </c>
      <c r="I2146" t="s">
        <v>643</v>
      </c>
      <c r="J2146" s="110">
        <v>271064</v>
      </c>
      <c r="K2146" s="4" t="s">
        <v>893</v>
      </c>
      <c r="L2146" s="4">
        <v>24.58</v>
      </c>
    </row>
  </sheetData>
  <autoFilter ref="A10:N1631"/>
  <sortState ref="B321:P321">
    <sortCondition ref="H1"/>
  </sortState>
  <mergeCells count="3">
    <mergeCell ref="H2:I2"/>
    <mergeCell ref="J2:J3"/>
    <mergeCell ref="B6:F6"/>
  </mergeCells>
  <pageMargins left="0.7" right="0.7" top="0.75" bottom="0.75" header="0.3" footer="0.3"/>
  <pageSetup paperSize="9" scale="10" orientation="landscape" r:id="rId1"/>
  <drawing r:id="rId2"/>
  <legacyDrawing r:id="rId3"/>
  <controls>
    <mc:AlternateContent xmlns:mc="http://schemas.openxmlformats.org/markup-compatibility/2006">
      <mc:Choice Requires="x14">
        <control shapeId="49153" r:id="rId4" name="CommandButton0101">
          <controlPr defaultSize="0" autoLine="0" r:id="rId5">
            <anchor moveWithCells="1">
              <from>
                <xdr:col>4</xdr:col>
                <xdr:colOff>19050</xdr:colOff>
                <xdr:row>1</xdr:row>
                <xdr:rowOff>9525</xdr:rowOff>
              </from>
              <to>
                <xdr:col>6</xdr:col>
                <xdr:colOff>142875</xdr:colOff>
                <xdr:row>3</xdr:row>
                <xdr:rowOff>161925</xdr:rowOff>
              </to>
            </anchor>
          </controlPr>
        </control>
      </mc:Choice>
      <mc:Fallback>
        <control shapeId="49153" r:id="rId4" name="CommandButton0101"/>
      </mc:Fallback>
    </mc:AlternateContent>
    <mc:AlternateContent xmlns:mc="http://schemas.openxmlformats.org/markup-compatibility/2006">
      <mc:Choice Requires="x14">
        <control shapeId="49154" r:id="rId6" name="CommandButton0102">
          <controlPr defaultSize="0" autoLine="0" r:id="rId7">
            <anchor moveWithCells="1">
              <from>
                <xdr:col>7</xdr:col>
                <xdr:colOff>9525</xdr:colOff>
                <xdr:row>5</xdr:row>
                <xdr:rowOff>9525</xdr:rowOff>
              </from>
              <to>
                <xdr:col>9</xdr:col>
                <xdr:colOff>552450</xdr:colOff>
                <xdr:row>7</xdr:row>
                <xdr:rowOff>161925</xdr:rowOff>
              </to>
            </anchor>
          </controlPr>
        </control>
      </mc:Choice>
      <mc:Fallback>
        <control shapeId="49154" r:id="rId6" name="CommandButton010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29"/>
  <sheetViews>
    <sheetView workbookViewId="0">
      <selection activeCell="B45" sqref="B45"/>
    </sheetView>
  </sheetViews>
  <sheetFormatPr defaultRowHeight="12.75" x14ac:dyDescent="0.2"/>
  <sheetData>
    <row r="1" spans="1:55" x14ac:dyDescent="0.2">
      <c r="A1" s="81"/>
    </row>
    <row r="11" spans="1:55" x14ac:dyDescent="0.2">
      <c r="A11" t="s">
        <v>220</v>
      </c>
      <c r="B11" t="s">
        <v>221</v>
      </c>
      <c r="C11" t="s">
        <v>222</v>
      </c>
      <c r="F11" t="s">
        <v>220</v>
      </c>
      <c r="H11">
        <v>20150326</v>
      </c>
      <c r="K11" t="s">
        <v>292</v>
      </c>
      <c r="L11" t="s">
        <v>228</v>
      </c>
      <c r="M11">
        <v>23.019999999999996</v>
      </c>
      <c r="N11" t="s">
        <v>223</v>
      </c>
      <c r="O11" t="s">
        <v>3</v>
      </c>
      <c r="P11" t="s">
        <v>224</v>
      </c>
      <c r="S11">
        <v>26377</v>
      </c>
      <c r="U11" t="s">
        <v>290</v>
      </c>
      <c r="AW11" t="s">
        <v>223</v>
      </c>
      <c r="AY11" t="s">
        <v>296</v>
      </c>
      <c r="AZ11" s="83">
        <v>27</v>
      </c>
      <c r="BC11" t="s">
        <v>292</v>
      </c>
    </row>
    <row r="12" spans="1:55" x14ac:dyDescent="0.2">
      <c r="AZ12" s="82"/>
    </row>
    <row r="13" spans="1:55" x14ac:dyDescent="0.2">
      <c r="AZ13" s="83"/>
    </row>
    <row r="14" spans="1:55" x14ac:dyDescent="0.2">
      <c r="AZ14" s="83"/>
    </row>
    <row r="16" spans="1:55" x14ac:dyDescent="0.2">
      <c r="AZ16" s="83"/>
    </row>
    <row r="17" spans="52:52" x14ac:dyDescent="0.2">
      <c r="AZ17" s="83"/>
    </row>
    <row r="18" spans="52:52" x14ac:dyDescent="0.2">
      <c r="AZ18" s="83"/>
    </row>
    <row r="19" spans="52:52" x14ac:dyDescent="0.2">
      <c r="AZ19" s="83"/>
    </row>
    <row r="20" spans="52:52" x14ac:dyDescent="0.2">
      <c r="AZ20" s="83"/>
    </row>
    <row r="22" spans="52:52" x14ac:dyDescent="0.2">
      <c r="AZ22" s="83"/>
    </row>
    <row r="24" spans="52:52" x14ac:dyDescent="0.2">
      <c r="AZ24" s="82"/>
    </row>
    <row r="81" spans="52:52" x14ac:dyDescent="0.2">
      <c r="AZ81" s="82"/>
    </row>
    <row r="82" spans="52:52" x14ac:dyDescent="0.2">
      <c r="AZ82" s="82"/>
    </row>
    <row r="129" spans="52:52" x14ac:dyDescent="0.2">
      <c r="AZ129" s="8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95"/>
  <sheetViews>
    <sheetView workbookViewId="0">
      <selection activeCell="N29" sqref="N29"/>
    </sheetView>
  </sheetViews>
  <sheetFormatPr defaultRowHeight="12.75" x14ac:dyDescent="0.2"/>
  <cols>
    <col min="1" max="2" width="12.7109375" customWidth="1"/>
    <col min="3" max="22" width="5.7109375" customWidth="1"/>
  </cols>
  <sheetData>
    <row r="1" spans="2:46" ht="13.5" thickBot="1" x14ac:dyDescent="0.25">
      <c r="B1" s="57" t="s">
        <v>76</v>
      </c>
      <c r="C1" s="122" t="s">
        <v>77</v>
      </c>
      <c r="D1" s="122" t="s">
        <v>78</v>
      </c>
      <c r="E1" s="122" t="s">
        <v>79</v>
      </c>
      <c r="F1" s="122" t="s">
        <v>80</v>
      </c>
      <c r="G1" s="122" t="s">
        <v>81</v>
      </c>
      <c r="H1" s="122" t="s">
        <v>82</v>
      </c>
      <c r="I1" s="122"/>
      <c r="J1" s="122"/>
      <c r="K1" s="122"/>
      <c r="L1" s="122"/>
      <c r="M1" s="122"/>
      <c r="N1" s="122"/>
      <c r="O1" s="122"/>
      <c r="AB1" s="122"/>
      <c r="AC1" s="122"/>
      <c r="AD1" s="122"/>
      <c r="AE1" s="122"/>
      <c r="AF1" s="122"/>
      <c r="AG1" s="122"/>
      <c r="AH1" s="122"/>
      <c r="AI1" s="122"/>
      <c r="AJ1" s="122"/>
      <c r="AK1" s="122"/>
      <c r="AL1" s="122"/>
      <c r="AM1" s="122"/>
      <c r="AN1" s="122"/>
    </row>
    <row r="2" spans="2:46" ht="13.5" thickBot="1" x14ac:dyDescent="0.25">
      <c r="B2" s="52" t="s">
        <v>83</v>
      </c>
      <c r="C2" s="122" t="s">
        <v>77</v>
      </c>
      <c r="D2" s="122" t="s">
        <v>78</v>
      </c>
      <c r="E2" s="117" t="s">
        <v>84</v>
      </c>
      <c r="F2" s="122" t="s">
        <v>81</v>
      </c>
      <c r="G2" s="122" t="s">
        <v>82</v>
      </c>
      <c r="H2" s="122"/>
      <c r="I2" s="122"/>
      <c r="J2" s="122"/>
      <c r="K2" s="122"/>
      <c r="L2" s="122"/>
      <c r="M2" s="122"/>
      <c r="N2" s="122"/>
      <c r="O2" s="122"/>
      <c r="AA2" s="58"/>
      <c r="AB2" s="59" t="s">
        <v>77</v>
      </c>
      <c r="AC2" s="60" t="s">
        <v>78</v>
      </c>
      <c r="AD2" s="60" t="s">
        <v>79</v>
      </c>
      <c r="AE2" s="60" t="s">
        <v>84</v>
      </c>
      <c r="AF2" s="60" t="s">
        <v>95</v>
      </c>
      <c r="AG2" s="60" t="s">
        <v>99</v>
      </c>
      <c r="AH2" s="60" t="s">
        <v>92</v>
      </c>
      <c r="AI2" s="60" t="s">
        <v>100</v>
      </c>
      <c r="AJ2" s="60" t="s">
        <v>82</v>
      </c>
      <c r="AK2" s="60" t="s">
        <v>81</v>
      </c>
      <c r="AL2" s="60" t="s">
        <v>101</v>
      </c>
      <c r="AM2" s="60" t="s">
        <v>102</v>
      </c>
      <c r="AN2" s="60" t="s">
        <v>103</v>
      </c>
      <c r="AO2" s="60" t="s">
        <v>80</v>
      </c>
      <c r="AP2" s="61" t="s">
        <v>85</v>
      </c>
      <c r="AQ2" s="61" t="s">
        <v>86</v>
      </c>
      <c r="AR2" s="62" t="s">
        <v>90</v>
      </c>
      <c r="AS2" s="124" t="s">
        <v>105</v>
      </c>
      <c r="AT2" s="124" t="s">
        <v>106</v>
      </c>
    </row>
    <row r="3" spans="2:46" x14ac:dyDescent="0.2">
      <c r="B3" s="57" t="s">
        <v>19</v>
      </c>
      <c r="C3" s="122" t="s">
        <v>77</v>
      </c>
      <c r="D3" s="122" t="s">
        <v>78</v>
      </c>
      <c r="E3" s="122" t="s">
        <v>85</v>
      </c>
      <c r="F3" s="122" t="s">
        <v>86</v>
      </c>
      <c r="G3" s="122" t="s">
        <v>87</v>
      </c>
      <c r="H3" s="122" t="s">
        <v>88</v>
      </c>
      <c r="I3" s="122" t="s">
        <v>89</v>
      </c>
      <c r="J3" s="122"/>
      <c r="K3" s="122"/>
      <c r="L3" s="122"/>
      <c r="M3" s="122"/>
      <c r="N3" s="122"/>
      <c r="O3" s="122"/>
      <c r="AA3" s="63" t="s">
        <v>107</v>
      </c>
      <c r="AB3" s="64" t="s">
        <v>17</v>
      </c>
      <c r="AC3" s="65" t="s">
        <v>17</v>
      </c>
      <c r="AD3" s="65" t="s">
        <v>17</v>
      </c>
      <c r="AE3" s="65" t="s">
        <v>17</v>
      </c>
      <c r="AF3" s="65"/>
      <c r="AG3" s="66"/>
      <c r="AH3" s="65" t="s">
        <v>17</v>
      </c>
      <c r="AI3" s="66"/>
      <c r="AJ3" s="65"/>
      <c r="AK3" s="65"/>
      <c r="AL3" s="66"/>
      <c r="AM3" s="66"/>
      <c r="AN3" s="66"/>
      <c r="AO3" s="66"/>
      <c r="AP3" s="67"/>
      <c r="AQ3" s="67"/>
      <c r="AR3" s="68"/>
      <c r="AS3" s="1"/>
      <c r="AT3" s="1"/>
    </row>
    <row r="4" spans="2:46" x14ac:dyDescent="0.2">
      <c r="B4" s="52" t="s">
        <v>2</v>
      </c>
      <c r="C4" s="122" t="s">
        <v>77</v>
      </c>
      <c r="D4" s="122" t="s">
        <v>78</v>
      </c>
      <c r="E4" s="122" t="s">
        <v>85</v>
      </c>
      <c r="F4" s="122" t="s">
        <v>86</v>
      </c>
      <c r="G4" s="122"/>
      <c r="H4" s="122"/>
      <c r="I4" s="122"/>
      <c r="J4" s="122"/>
      <c r="K4" s="122"/>
      <c r="L4" s="122"/>
      <c r="AA4" s="69" t="s">
        <v>108</v>
      </c>
      <c r="AB4" s="70" t="s">
        <v>17</v>
      </c>
      <c r="AC4" s="71" t="s">
        <v>17</v>
      </c>
      <c r="AD4" s="71" t="s">
        <v>17</v>
      </c>
      <c r="AE4" s="71" t="s">
        <v>17</v>
      </c>
      <c r="AF4" s="71"/>
      <c r="AG4" s="72"/>
      <c r="AH4" s="72" t="s">
        <v>17</v>
      </c>
      <c r="AI4" s="72"/>
      <c r="AJ4" s="72"/>
      <c r="AK4" s="72"/>
      <c r="AL4" s="72" t="s">
        <v>17</v>
      </c>
      <c r="AM4" s="72" t="s">
        <v>17</v>
      </c>
      <c r="AN4" s="72" t="s">
        <v>17</v>
      </c>
      <c r="AO4" s="13"/>
      <c r="AP4" s="3"/>
      <c r="AQ4" s="3"/>
      <c r="AR4" s="47"/>
      <c r="AS4" s="1"/>
      <c r="AT4" s="1"/>
    </row>
    <row r="5" spans="2:46" x14ac:dyDescent="0.2">
      <c r="B5" s="52" t="s">
        <v>1</v>
      </c>
      <c r="C5" s="122" t="s">
        <v>77</v>
      </c>
      <c r="D5" s="122" t="s">
        <v>78</v>
      </c>
      <c r="E5" s="122" t="s">
        <v>85</v>
      </c>
      <c r="F5" s="122" t="s">
        <v>86</v>
      </c>
      <c r="G5" s="122" t="s">
        <v>90</v>
      </c>
      <c r="H5" s="122"/>
      <c r="I5" s="122"/>
      <c r="J5" s="122"/>
      <c r="K5" s="122"/>
      <c r="L5" s="122"/>
      <c r="AA5" s="73" t="s">
        <v>76</v>
      </c>
      <c r="AB5" s="74" t="s">
        <v>17</v>
      </c>
      <c r="AC5" s="72" t="s">
        <v>17</v>
      </c>
      <c r="AD5" s="72" t="s">
        <v>17</v>
      </c>
      <c r="AE5" s="13" t="s">
        <v>17</v>
      </c>
      <c r="AF5" s="3"/>
      <c r="AG5" s="3"/>
      <c r="AH5" s="3"/>
      <c r="AI5" s="3"/>
      <c r="AJ5" s="72"/>
      <c r="AK5" s="72"/>
      <c r="AL5" s="3"/>
      <c r="AM5" s="3"/>
      <c r="AN5" s="3"/>
      <c r="AO5" s="72"/>
      <c r="AP5" s="3"/>
      <c r="AQ5" s="3"/>
      <c r="AR5" s="47"/>
      <c r="AS5" s="1"/>
      <c r="AT5" s="1"/>
    </row>
    <row r="6" spans="2:46" x14ac:dyDescent="0.2">
      <c r="B6" s="52" t="s">
        <v>91</v>
      </c>
      <c r="C6" s="122" t="s">
        <v>77</v>
      </c>
      <c r="D6" s="122" t="s">
        <v>78</v>
      </c>
      <c r="E6" s="122" t="s">
        <v>85</v>
      </c>
      <c r="F6" s="122" t="s">
        <v>86</v>
      </c>
      <c r="G6" s="122" t="s">
        <v>90</v>
      </c>
      <c r="H6" s="122"/>
      <c r="I6" s="122"/>
      <c r="J6" s="122"/>
      <c r="K6" s="122"/>
      <c r="L6" s="122"/>
      <c r="M6" s="122"/>
      <c r="N6" s="122"/>
      <c r="O6" s="122"/>
      <c r="AA6" s="73" t="s">
        <v>83</v>
      </c>
      <c r="AB6" s="74" t="s">
        <v>17</v>
      </c>
      <c r="AC6" s="72" t="s">
        <v>17</v>
      </c>
      <c r="AD6" s="3" t="s">
        <v>109</v>
      </c>
      <c r="AE6" s="72" t="s">
        <v>17</v>
      </c>
      <c r="AF6" s="3"/>
      <c r="AG6" s="3"/>
      <c r="AH6" s="3"/>
      <c r="AI6" s="3"/>
      <c r="AJ6" s="72" t="s">
        <v>17</v>
      </c>
      <c r="AK6" s="72" t="s">
        <v>17</v>
      </c>
      <c r="AL6" s="3"/>
      <c r="AM6" s="3"/>
      <c r="AN6" s="3"/>
      <c r="AO6" s="3"/>
      <c r="AP6" s="3"/>
      <c r="AQ6" s="3"/>
      <c r="AR6" s="47"/>
      <c r="AS6" s="1"/>
      <c r="AT6" s="1"/>
    </row>
    <row r="7" spans="2:46" x14ac:dyDescent="0.2">
      <c r="B7" s="52" t="s">
        <v>41</v>
      </c>
      <c r="C7" s="122" t="s">
        <v>77</v>
      </c>
      <c r="D7" s="122" t="s">
        <v>92</v>
      </c>
      <c r="E7" s="117" t="s">
        <v>93</v>
      </c>
      <c r="F7" s="117" t="s">
        <v>89</v>
      </c>
      <c r="G7" s="122"/>
      <c r="H7" s="122"/>
      <c r="I7" s="122"/>
      <c r="J7" s="122"/>
      <c r="K7" s="122"/>
      <c r="L7" s="122"/>
      <c r="M7" s="122"/>
      <c r="N7" s="122"/>
      <c r="O7" s="122"/>
      <c r="AA7" s="73" t="s">
        <v>1</v>
      </c>
      <c r="AB7" s="74" t="s">
        <v>17</v>
      </c>
      <c r="AC7" s="72" t="s">
        <v>17</v>
      </c>
      <c r="AD7" s="3" t="s">
        <v>109</v>
      </c>
      <c r="AE7" s="3" t="s">
        <v>109</v>
      </c>
      <c r="AF7" s="3"/>
      <c r="AG7" s="3"/>
      <c r="AH7" s="3"/>
      <c r="AI7" s="3"/>
      <c r="AJ7" s="3"/>
      <c r="AK7" s="3"/>
      <c r="AL7" s="3"/>
      <c r="AM7" s="3"/>
      <c r="AN7" s="3"/>
      <c r="AO7" s="3"/>
      <c r="AP7" s="72"/>
      <c r="AQ7" s="72"/>
      <c r="AR7" s="75"/>
      <c r="AS7" s="1"/>
      <c r="AT7" s="1"/>
    </row>
    <row r="8" spans="2:46" x14ac:dyDescent="0.2">
      <c r="B8" s="52" t="s">
        <v>94</v>
      </c>
      <c r="C8" s="122" t="s">
        <v>77</v>
      </c>
      <c r="D8" s="122" t="s">
        <v>78</v>
      </c>
      <c r="E8" s="117" t="s">
        <v>79</v>
      </c>
      <c r="F8" s="117" t="s">
        <v>84</v>
      </c>
      <c r="G8" s="117" t="s">
        <v>95</v>
      </c>
      <c r="H8" s="122" t="s">
        <v>81</v>
      </c>
      <c r="I8" s="122" t="s">
        <v>92</v>
      </c>
      <c r="J8" s="122" t="s">
        <v>82</v>
      </c>
      <c r="K8" s="122"/>
      <c r="L8" s="122"/>
      <c r="M8" s="122"/>
      <c r="N8" s="122"/>
      <c r="O8" s="122"/>
      <c r="AA8" s="73" t="s">
        <v>2</v>
      </c>
      <c r="AB8" s="74" t="s">
        <v>17</v>
      </c>
      <c r="AC8" s="72" t="s">
        <v>17</v>
      </c>
      <c r="AD8" s="3"/>
      <c r="AE8" s="3" t="s">
        <v>109</v>
      </c>
      <c r="AF8" s="3"/>
      <c r="AG8" s="3"/>
      <c r="AH8" s="3"/>
      <c r="AI8" s="3"/>
      <c r="AJ8" s="3"/>
      <c r="AK8" s="3"/>
      <c r="AL8" s="3"/>
      <c r="AM8" s="3"/>
      <c r="AN8" s="3"/>
      <c r="AO8" s="3"/>
      <c r="AP8" s="72"/>
      <c r="AQ8" s="72"/>
      <c r="AR8" s="47"/>
      <c r="AS8" s="1" t="s">
        <v>17</v>
      </c>
      <c r="AT8" s="1" t="s">
        <v>17</v>
      </c>
    </row>
    <row r="9" spans="2:46" x14ac:dyDescent="0.2">
      <c r="B9" s="52" t="s">
        <v>96</v>
      </c>
      <c r="C9" s="122" t="s">
        <v>77</v>
      </c>
      <c r="D9" s="122" t="s">
        <v>78</v>
      </c>
      <c r="E9" s="117" t="s">
        <v>79</v>
      </c>
      <c r="F9" s="117" t="s">
        <v>84</v>
      </c>
      <c r="G9" s="117" t="s">
        <v>95</v>
      </c>
      <c r="H9" s="122" t="s">
        <v>81</v>
      </c>
      <c r="I9" s="122" t="s">
        <v>92</v>
      </c>
      <c r="J9" s="122" t="s">
        <v>82</v>
      </c>
      <c r="K9" s="122"/>
      <c r="L9" s="122"/>
      <c r="M9" s="122"/>
      <c r="N9" s="122"/>
      <c r="O9" s="122"/>
      <c r="AA9" s="73" t="s">
        <v>110</v>
      </c>
      <c r="AB9" s="74" t="s">
        <v>17</v>
      </c>
      <c r="AC9" s="72" t="s">
        <v>17</v>
      </c>
      <c r="AD9" s="72" t="s">
        <v>17</v>
      </c>
      <c r="AE9" s="3"/>
      <c r="AF9" s="72"/>
      <c r="AG9" s="3"/>
      <c r="AH9" s="3"/>
      <c r="AI9" s="3"/>
      <c r="AJ9" s="3"/>
      <c r="AK9" s="3"/>
      <c r="AL9" s="3"/>
      <c r="AM9" s="3"/>
      <c r="AN9" s="3"/>
      <c r="AO9" s="3"/>
      <c r="AP9" s="13"/>
      <c r="AQ9" s="13"/>
      <c r="AR9" s="47"/>
      <c r="AS9" s="1"/>
      <c r="AT9" s="1"/>
    </row>
    <row r="10" spans="2:46" x14ac:dyDescent="0.2">
      <c r="B10" s="52" t="s">
        <v>97</v>
      </c>
      <c r="C10" s="122" t="s">
        <v>77</v>
      </c>
      <c r="D10" s="122" t="s">
        <v>78</v>
      </c>
      <c r="E10" s="117" t="s">
        <v>79</v>
      </c>
      <c r="F10" s="117" t="s">
        <v>84</v>
      </c>
      <c r="G10" s="117" t="s">
        <v>95</v>
      </c>
      <c r="H10" s="122" t="s">
        <v>81</v>
      </c>
      <c r="I10" s="122" t="s">
        <v>92</v>
      </c>
      <c r="J10" s="122" t="s">
        <v>82</v>
      </c>
      <c r="K10" s="122"/>
      <c r="L10" s="122"/>
      <c r="M10" s="122"/>
      <c r="N10" s="122"/>
      <c r="O10" s="122"/>
      <c r="AA10" s="73" t="s">
        <v>111</v>
      </c>
      <c r="AB10" s="74" t="s">
        <v>17</v>
      </c>
      <c r="AC10" s="72" t="s">
        <v>17</v>
      </c>
      <c r="AD10" s="3"/>
      <c r="AE10" s="3"/>
      <c r="AF10" s="3"/>
      <c r="AG10" s="3"/>
      <c r="AH10" s="3"/>
      <c r="AI10" s="3"/>
      <c r="AJ10" s="72"/>
      <c r="AK10" s="3"/>
      <c r="AL10" s="3"/>
      <c r="AM10" s="3"/>
      <c r="AN10" s="3"/>
      <c r="AO10" s="3"/>
      <c r="AP10" s="72"/>
      <c r="AQ10" s="3"/>
      <c r="AR10" s="47"/>
      <c r="AS10" s="1"/>
      <c r="AT10" s="1"/>
    </row>
    <row r="11" spans="2:46" ht="13.5" thickBot="1" x14ac:dyDescent="0.25">
      <c r="B11" s="52" t="s">
        <v>98</v>
      </c>
      <c r="C11" s="122" t="s">
        <v>77</v>
      </c>
      <c r="D11" s="122" t="s">
        <v>78</v>
      </c>
      <c r="E11" s="117" t="s">
        <v>79</v>
      </c>
      <c r="F11" s="117" t="s">
        <v>84</v>
      </c>
      <c r="G11" s="117" t="s">
        <v>95</v>
      </c>
      <c r="H11" s="117" t="s">
        <v>99</v>
      </c>
      <c r="I11" s="122" t="s">
        <v>92</v>
      </c>
      <c r="J11" s="117" t="s">
        <v>100</v>
      </c>
      <c r="K11" s="122" t="s">
        <v>82</v>
      </c>
      <c r="L11" s="122" t="s">
        <v>81</v>
      </c>
      <c r="M11" s="122" t="s">
        <v>101</v>
      </c>
      <c r="N11" s="122" t="s">
        <v>102</v>
      </c>
      <c r="O11" s="122" t="s">
        <v>103</v>
      </c>
      <c r="AA11" s="76" t="s">
        <v>112</v>
      </c>
      <c r="AB11" s="77" t="s">
        <v>17</v>
      </c>
      <c r="AC11" s="78" t="s">
        <v>17</v>
      </c>
      <c r="AD11" s="79"/>
      <c r="AE11" s="78" t="s">
        <v>17</v>
      </c>
      <c r="AF11" s="79"/>
      <c r="AG11" s="79"/>
      <c r="AH11" s="79"/>
      <c r="AI11" s="79"/>
      <c r="AJ11" s="78"/>
      <c r="AK11" s="78"/>
      <c r="AL11" s="79"/>
      <c r="AM11" s="79"/>
      <c r="AN11" s="79"/>
      <c r="AO11" s="79"/>
      <c r="AP11" s="79"/>
      <c r="AQ11" s="79"/>
      <c r="AR11" s="80"/>
      <c r="AS11" s="1"/>
      <c r="AT11" s="1"/>
    </row>
    <row r="12" spans="2:46" x14ac:dyDescent="0.2">
      <c r="B12" s="52" t="s">
        <v>104</v>
      </c>
      <c r="C12" s="122" t="s">
        <v>77</v>
      </c>
      <c r="D12" s="122" t="s">
        <v>78</v>
      </c>
      <c r="E12" s="117" t="s">
        <v>79</v>
      </c>
      <c r="F12" s="117" t="s">
        <v>84</v>
      </c>
      <c r="G12" s="117" t="s">
        <v>95</v>
      </c>
      <c r="H12" s="117" t="s">
        <v>99</v>
      </c>
      <c r="I12" s="122" t="s">
        <v>92</v>
      </c>
      <c r="J12" s="117" t="s">
        <v>100</v>
      </c>
      <c r="K12" s="122" t="s">
        <v>82</v>
      </c>
      <c r="L12" s="122" t="s">
        <v>81</v>
      </c>
      <c r="M12" s="122" t="s">
        <v>101</v>
      </c>
      <c r="N12" s="122" t="s">
        <v>102</v>
      </c>
      <c r="O12" s="122" t="s">
        <v>103</v>
      </c>
    </row>
    <row r="13" spans="2:46" x14ac:dyDescent="0.2">
      <c r="B13" s="57" t="s">
        <v>209</v>
      </c>
      <c r="C13" s="122" t="s">
        <v>77</v>
      </c>
      <c r="D13" s="122" t="s">
        <v>78</v>
      </c>
      <c r="E13" s="122" t="s">
        <v>79</v>
      </c>
      <c r="F13" s="122" t="s">
        <v>80</v>
      </c>
      <c r="G13" s="122" t="s">
        <v>81</v>
      </c>
      <c r="H13" s="122" t="s">
        <v>82</v>
      </c>
      <c r="I13" s="122"/>
      <c r="J13" s="122"/>
      <c r="K13" s="122"/>
      <c r="L13" s="122"/>
      <c r="M13" s="122"/>
      <c r="N13" s="122"/>
      <c r="O13" s="122"/>
    </row>
    <row r="14" spans="2:46" x14ac:dyDescent="0.2">
      <c r="B14" s="52" t="s">
        <v>211</v>
      </c>
      <c r="C14" s="122" t="s">
        <v>77</v>
      </c>
      <c r="D14" s="122" t="s">
        <v>78</v>
      </c>
      <c r="E14" s="117" t="s">
        <v>84</v>
      </c>
      <c r="F14" s="122" t="s">
        <v>81</v>
      </c>
      <c r="G14" s="122" t="s">
        <v>82</v>
      </c>
      <c r="H14" s="122"/>
      <c r="I14" s="122"/>
      <c r="J14" s="122"/>
      <c r="K14" s="122"/>
      <c r="L14" s="122"/>
      <c r="M14" s="122"/>
      <c r="N14" s="122"/>
      <c r="O14" s="122"/>
    </row>
    <row r="15" spans="2:46" x14ac:dyDescent="0.2">
      <c r="B15" s="274" t="s">
        <v>19</v>
      </c>
      <c r="C15" s="122" t="s">
        <v>77</v>
      </c>
      <c r="D15" s="122" t="s">
        <v>78</v>
      </c>
      <c r="E15" s="122" t="s">
        <v>85</v>
      </c>
      <c r="F15" s="122" t="s">
        <v>86</v>
      </c>
      <c r="G15" s="122" t="s">
        <v>87</v>
      </c>
      <c r="H15" s="122" t="s">
        <v>88</v>
      </c>
      <c r="I15" s="122" t="s">
        <v>89</v>
      </c>
      <c r="J15" s="122"/>
      <c r="K15" s="122"/>
      <c r="L15" s="122"/>
      <c r="M15" s="122"/>
      <c r="N15" s="122"/>
      <c r="O15" s="122"/>
    </row>
    <row r="16" spans="2:46" x14ac:dyDescent="0.2">
      <c r="B16" s="52" t="s">
        <v>212</v>
      </c>
      <c r="C16" s="122" t="s">
        <v>77</v>
      </c>
      <c r="D16" s="122" t="s">
        <v>78</v>
      </c>
      <c r="E16" s="122" t="s">
        <v>85</v>
      </c>
      <c r="F16" s="122" t="s">
        <v>86</v>
      </c>
      <c r="G16" s="122"/>
      <c r="H16" s="122"/>
      <c r="I16" s="122"/>
      <c r="J16" s="122"/>
      <c r="K16" s="122"/>
      <c r="L16" s="122"/>
    </row>
    <row r="17" spans="2:15" x14ac:dyDescent="0.2">
      <c r="B17" s="52" t="s">
        <v>213</v>
      </c>
      <c r="C17" s="122" t="s">
        <v>77</v>
      </c>
      <c r="D17" s="122" t="s">
        <v>78</v>
      </c>
      <c r="E17" s="122" t="s">
        <v>85</v>
      </c>
      <c r="F17" s="122" t="s">
        <v>86</v>
      </c>
      <c r="G17" s="122" t="s">
        <v>90</v>
      </c>
      <c r="H17" s="122"/>
      <c r="I17" s="122"/>
      <c r="J17" s="122"/>
      <c r="K17" s="122"/>
      <c r="L17" s="122"/>
    </row>
    <row r="18" spans="2:15" x14ac:dyDescent="0.2">
      <c r="B18" s="274" t="s">
        <v>91</v>
      </c>
      <c r="C18" s="122" t="s">
        <v>77</v>
      </c>
      <c r="D18" s="122" t="s">
        <v>78</v>
      </c>
      <c r="E18" s="122" t="s">
        <v>85</v>
      </c>
      <c r="F18" s="122" t="s">
        <v>86</v>
      </c>
      <c r="G18" s="122" t="s">
        <v>90</v>
      </c>
      <c r="H18" s="122"/>
      <c r="I18" s="122"/>
      <c r="J18" s="122"/>
      <c r="K18" s="122"/>
      <c r="L18" s="122"/>
      <c r="M18" s="122"/>
      <c r="N18" s="122"/>
      <c r="O18" s="122"/>
    </row>
    <row r="19" spans="2:15" x14ac:dyDescent="0.2">
      <c r="B19" s="274" t="s">
        <v>41</v>
      </c>
      <c r="C19" s="122" t="s">
        <v>77</v>
      </c>
      <c r="D19" s="122" t="s">
        <v>92</v>
      </c>
      <c r="E19" s="117" t="s">
        <v>93</v>
      </c>
      <c r="F19" s="117" t="s">
        <v>89</v>
      </c>
      <c r="G19" s="122"/>
      <c r="H19" s="122"/>
      <c r="I19" s="122"/>
      <c r="J19" s="122"/>
      <c r="K19" s="122"/>
      <c r="L19" s="122"/>
      <c r="M19" s="122"/>
      <c r="N19" s="122"/>
      <c r="O19" s="122"/>
    </row>
    <row r="20" spans="2:15" x14ac:dyDescent="0.2">
      <c r="B20" s="52" t="s">
        <v>214</v>
      </c>
      <c r="C20" s="122" t="s">
        <v>77</v>
      </c>
      <c r="D20" s="122" t="s">
        <v>78</v>
      </c>
      <c r="E20" s="117" t="s">
        <v>79</v>
      </c>
      <c r="F20" s="117" t="s">
        <v>84</v>
      </c>
      <c r="G20" s="117" t="s">
        <v>95</v>
      </c>
      <c r="H20" s="122" t="s">
        <v>81</v>
      </c>
      <c r="I20" s="122" t="s">
        <v>92</v>
      </c>
      <c r="J20" s="122" t="s">
        <v>82</v>
      </c>
      <c r="K20" s="122"/>
      <c r="L20" s="122"/>
      <c r="M20" s="122"/>
      <c r="N20" s="122"/>
      <c r="O20" s="122"/>
    </row>
    <row r="21" spans="2:15" x14ac:dyDescent="0.2">
      <c r="B21" s="52" t="s">
        <v>215</v>
      </c>
      <c r="C21" s="122" t="s">
        <v>77</v>
      </c>
      <c r="D21" s="122" t="s">
        <v>78</v>
      </c>
      <c r="E21" s="117" t="s">
        <v>79</v>
      </c>
      <c r="F21" s="117" t="s">
        <v>84</v>
      </c>
      <c r="G21" s="117" t="s">
        <v>95</v>
      </c>
      <c r="H21" s="122" t="s">
        <v>81</v>
      </c>
      <c r="I21" s="122" t="s">
        <v>92</v>
      </c>
      <c r="J21" s="122" t="s">
        <v>82</v>
      </c>
      <c r="K21" s="122"/>
      <c r="L21" s="122"/>
      <c r="M21" s="122"/>
      <c r="N21" s="122"/>
      <c r="O21" s="122"/>
    </row>
    <row r="22" spans="2:15" x14ac:dyDescent="0.2">
      <c r="B22" s="52" t="s">
        <v>216</v>
      </c>
      <c r="C22" s="122" t="s">
        <v>77</v>
      </c>
      <c r="D22" s="122" t="s">
        <v>78</v>
      </c>
      <c r="E22" s="117" t="s">
        <v>79</v>
      </c>
      <c r="F22" s="117" t="s">
        <v>84</v>
      </c>
      <c r="G22" s="117" t="s">
        <v>95</v>
      </c>
      <c r="H22" s="122" t="s">
        <v>81</v>
      </c>
      <c r="I22" s="122" t="s">
        <v>92</v>
      </c>
      <c r="J22" s="122" t="s">
        <v>82</v>
      </c>
      <c r="K22" s="122"/>
      <c r="L22" s="122"/>
      <c r="M22" s="122"/>
      <c r="N22" s="122"/>
      <c r="O22" s="122"/>
    </row>
    <row r="23" spans="2:15" x14ac:dyDescent="0.2">
      <c r="B23" s="52" t="s">
        <v>217</v>
      </c>
      <c r="C23" s="122" t="s">
        <v>77</v>
      </c>
      <c r="D23" s="122" t="s">
        <v>78</v>
      </c>
      <c r="E23" s="117" t="s">
        <v>79</v>
      </c>
      <c r="F23" s="117" t="s">
        <v>84</v>
      </c>
      <c r="G23" s="117" t="s">
        <v>95</v>
      </c>
      <c r="H23" s="117" t="s">
        <v>99</v>
      </c>
      <c r="I23" s="122" t="s">
        <v>92</v>
      </c>
      <c r="J23" s="117" t="s">
        <v>100</v>
      </c>
      <c r="K23" s="122" t="s">
        <v>82</v>
      </c>
      <c r="L23" s="122" t="s">
        <v>81</v>
      </c>
      <c r="M23" s="122" t="s">
        <v>101</v>
      </c>
      <c r="N23" s="122" t="s">
        <v>102</v>
      </c>
      <c r="O23" s="122" t="s">
        <v>103</v>
      </c>
    </row>
    <row r="24" spans="2:15" x14ac:dyDescent="0.2">
      <c r="B24" s="52" t="s">
        <v>218</v>
      </c>
      <c r="C24" s="122" t="s">
        <v>77</v>
      </c>
      <c r="D24" s="122" t="s">
        <v>78</v>
      </c>
      <c r="E24" s="117" t="s">
        <v>79</v>
      </c>
      <c r="F24" s="117" t="s">
        <v>84</v>
      </c>
      <c r="G24" s="117" t="s">
        <v>95</v>
      </c>
      <c r="H24" s="117" t="s">
        <v>99</v>
      </c>
      <c r="I24" s="122" t="s">
        <v>92</v>
      </c>
      <c r="J24" s="117" t="s">
        <v>100</v>
      </c>
      <c r="K24" s="122" t="s">
        <v>82</v>
      </c>
      <c r="L24" s="122" t="s">
        <v>81</v>
      </c>
      <c r="M24" s="122" t="s">
        <v>101</v>
      </c>
      <c r="N24" s="122" t="s">
        <v>102</v>
      </c>
      <c r="O24" s="122" t="s">
        <v>103</v>
      </c>
    </row>
    <row r="25" spans="2:15" x14ac:dyDescent="0.2">
      <c r="B25" s="52"/>
      <c r="C25" s="122"/>
      <c r="D25" s="122"/>
      <c r="E25" s="117"/>
      <c r="F25" s="122"/>
      <c r="G25" s="122"/>
      <c r="H25" s="122"/>
    </row>
    <row r="40" spans="1:22" x14ac:dyDescent="0.2">
      <c r="A40" s="256" t="s">
        <v>206</v>
      </c>
      <c r="C40" s="876" t="s">
        <v>64</v>
      </c>
      <c r="D40" s="876"/>
      <c r="E40" s="876" t="s">
        <v>70</v>
      </c>
      <c r="F40" s="876"/>
      <c r="G40" s="876" t="s">
        <v>72</v>
      </c>
      <c r="H40" s="876"/>
      <c r="I40" s="876" t="s">
        <v>136</v>
      </c>
      <c r="J40" s="876"/>
      <c r="K40" s="876" t="s">
        <v>156</v>
      </c>
      <c r="L40" s="876"/>
      <c r="M40" s="876" t="s">
        <v>65</v>
      </c>
      <c r="N40" s="876"/>
      <c r="O40" s="876" t="s">
        <v>171</v>
      </c>
      <c r="P40" s="874"/>
      <c r="Q40" s="874" t="s">
        <v>179</v>
      </c>
      <c r="R40" s="875"/>
      <c r="S40" s="873" t="s">
        <v>260</v>
      </c>
      <c r="T40" s="873"/>
      <c r="U40" s="874" t="s">
        <v>261</v>
      </c>
      <c r="V40" s="875"/>
    </row>
    <row r="41" spans="1:22" x14ac:dyDescent="0.2">
      <c r="A41" s="333">
        <f>Report!D3</f>
        <v>26.632975999999999</v>
      </c>
      <c r="C41" s="379" t="s">
        <v>77</v>
      </c>
      <c r="D41" s="380" t="s">
        <v>78</v>
      </c>
      <c r="E41" s="379" t="s">
        <v>77</v>
      </c>
      <c r="F41" s="380" t="s">
        <v>78</v>
      </c>
      <c r="G41" s="379" t="s">
        <v>77</v>
      </c>
      <c r="H41" s="380" t="s">
        <v>78</v>
      </c>
      <c r="I41" s="379" t="s">
        <v>77</v>
      </c>
      <c r="J41" s="380" t="s">
        <v>78</v>
      </c>
      <c r="K41" s="379" t="s">
        <v>77</v>
      </c>
      <c r="L41" s="380" t="s">
        <v>78</v>
      </c>
      <c r="M41" s="379" t="s">
        <v>77</v>
      </c>
      <c r="N41" s="380" t="s">
        <v>78</v>
      </c>
      <c r="O41" s="379" t="s">
        <v>77</v>
      </c>
      <c r="P41" s="380" t="s">
        <v>78</v>
      </c>
      <c r="Q41" s="379" t="s">
        <v>77</v>
      </c>
      <c r="R41" s="380" t="s">
        <v>78</v>
      </c>
      <c r="S41" s="381" t="s">
        <v>77</v>
      </c>
      <c r="T41" s="381" t="s">
        <v>78</v>
      </c>
      <c r="U41" s="379" t="s">
        <v>77</v>
      </c>
      <c r="V41" s="380" t="s">
        <v>78</v>
      </c>
    </row>
    <row r="42" spans="1:22" x14ac:dyDescent="0.2">
      <c r="B42" s="81" t="s">
        <v>152</v>
      </c>
      <c r="C42" s="361" t="s">
        <v>144</v>
      </c>
      <c r="D42" s="362" t="s">
        <v>144</v>
      </c>
      <c r="E42" s="361" t="s">
        <v>144</v>
      </c>
      <c r="F42" s="362" t="s">
        <v>144</v>
      </c>
      <c r="G42" s="361" t="s">
        <v>144</v>
      </c>
      <c r="H42" s="362" t="s">
        <v>144</v>
      </c>
      <c r="I42" s="361" t="s">
        <v>144</v>
      </c>
      <c r="J42" s="362" t="s">
        <v>144</v>
      </c>
      <c r="K42" s="361" t="s">
        <v>144</v>
      </c>
      <c r="L42" s="362" t="s">
        <v>144</v>
      </c>
      <c r="M42" s="361" t="s">
        <v>144</v>
      </c>
      <c r="N42" s="362" t="s">
        <v>144</v>
      </c>
      <c r="O42" s="360" t="s">
        <v>144</v>
      </c>
      <c r="P42" s="363" t="s">
        <v>144</v>
      </c>
      <c r="Q42" s="360">
        <v>13.5</v>
      </c>
      <c r="R42" s="363">
        <v>2</v>
      </c>
      <c r="S42" s="364" t="s">
        <v>144</v>
      </c>
      <c r="T42" s="364" t="s">
        <v>144</v>
      </c>
      <c r="U42" s="365" t="s">
        <v>144</v>
      </c>
      <c r="V42" s="366" t="s">
        <v>144</v>
      </c>
    </row>
    <row r="43" spans="1:22" x14ac:dyDescent="0.2">
      <c r="B43" s="81" t="s">
        <v>146</v>
      </c>
      <c r="C43" s="367" t="s">
        <v>144</v>
      </c>
      <c r="D43" s="368" t="s">
        <v>144</v>
      </c>
      <c r="E43" s="367" t="s">
        <v>144</v>
      </c>
      <c r="F43" s="368" t="s">
        <v>144</v>
      </c>
      <c r="G43" s="367" t="s">
        <v>144</v>
      </c>
      <c r="H43" s="368" t="s">
        <v>144</v>
      </c>
      <c r="I43" s="367" t="s">
        <v>144</v>
      </c>
      <c r="J43" s="368" t="s">
        <v>144</v>
      </c>
      <c r="K43" s="367" t="s">
        <v>144</v>
      </c>
      <c r="L43" s="368" t="s">
        <v>144</v>
      </c>
      <c r="M43" s="367" t="s">
        <v>144</v>
      </c>
      <c r="N43" s="368" t="s">
        <v>144</v>
      </c>
      <c r="O43" s="369" t="s">
        <v>144</v>
      </c>
      <c r="P43" s="263" t="s">
        <v>144</v>
      </c>
      <c r="Q43" s="369">
        <v>20</v>
      </c>
      <c r="R43" s="263">
        <v>6</v>
      </c>
      <c r="S43" s="370" t="s">
        <v>144</v>
      </c>
      <c r="T43" s="370" t="s">
        <v>144</v>
      </c>
      <c r="U43" s="371" t="s">
        <v>144</v>
      </c>
      <c r="V43" s="372" t="s">
        <v>144</v>
      </c>
    </row>
    <row r="44" spans="1:22" x14ac:dyDescent="0.2">
      <c r="B44" s="81" t="s">
        <v>153</v>
      </c>
      <c r="C44" s="373" t="s">
        <v>144</v>
      </c>
      <c r="D44" s="374" t="s">
        <v>144</v>
      </c>
      <c r="E44" s="373" t="s">
        <v>144</v>
      </c>
      <c r="F44" s="374" t="s">
        <v>144</v>
      </c>
      <c r="G44" s="373" t="s">
        <v>144</v>
      </c>
      <c r="H44" s="374" t="s">
        <v>144</v>
      </c>
      <c r="I44" s="373" t="s">
        <v>144</v>
      </c>
      <c r="J44" s="374" t="s">
        <v>144</v>
      </c>
      <c r="K44" s="373" t="s">
        <v>144</v>
      </c>
      <c r="L44" s="374" t="s">
        <v>144</v>
      </c>
      <c r="M44" s="373" t="s">
        <v>144</v>
      </c>
      <c r="N44" s="374" t="s">
        <v>144</v>
      </c>
      <c r="O44" s="375" t="s">
        <v>144</v>
      </c>
      <c r="P44" s="267" t="s">
        <v>144</v>
      </c>
      <c r="Q44" s="375">
        <v>1</v>
      </c>
      <c r="R44" s="267">
        <v>1</v>
      </c>
      <c r="S44" s="376" t="s">
        <v>144</v>
      </c>
      <c r="T44" s="376" t="s">
        <v>144</v>
      </c>
      <c r="U44" s="377" t="s">
        <v>144</v>
      </c>
      <c r="V44" s="378" t="s">
        <v>144</v>
      </c>
    </row>
    <row r="45" spans="1:22" x14ac:dyDescent="0.2">
      <c r="A45" s="257" t="s">
        <v>203</v>
      </c>
      <c r="B45" s="258">
        <v>0</v>
      </c>
      <c r="C45" s="259"/>
      <c r="D45" s="259"/>
      <c r="E45" s="273">
        <v>14</v>
      </c>
      <c r="F45" s="273">
        <v>2</v>
      </c>
      <c r="G45" s="273">
        <v>14</v>
      </c>
      <c r="H45" s="273">
        <v>2</v>
      </c>
      <c r="I45" s="259"/>
      <c r="J45" s="259"/>
      <c r="K45" s="259"/>
      <c r="L45" s="259"/>
      <c r="M45" s="259"/>
      <c r="N45" s="259"/>
      <c r="O45" s="259"/>
      <c r="P45" s="259"/>
      <c r="Q45" s="259"/>
      <c r="R45" s="259"/>
      <c r="S45" s="273">
        <v>14</v>
      </c>
      <c r="T45" s="273">
        <v>2</v>
      </c>
      <c r="U45" s="273">
        <v>14</v>
      </c>
      <c r="V45" s="273">
        <v>2</v>
      </c>
    </row>
    <row r="46" spans="1:22" x14ac:dyDescent="0.2">
      <c r="A46" s="260" t="s">
        <v>203</v>
      </c>
      <c r="B46" s="261">
        <v>2</v>
      </c>
      <c r="C46" s="262"/>
      <c r="D46" s="262"/>
      <c r="E46" s="268">
        <v>0</v>
      </c>
      <c r="F46" s="268">
        <v>0</v>
      </c>
      <c r="G46" s="268">
        <v>0</v>
      </c>
      <c r="H46" s="268">
        <v>0</v>
      </c>
      <c r="I46" s="262"/>
      <c r="J46" s="262"/>
      <c r="K46" s="262"/>
      <c r="L46" s="262"/>
      <c r="M46" s="262"/>
      <c r="N46" s="262"/>
      <c r="O46" s="262"/>
      <c r="P46" s="262"/>
      <c r="Q46" s="262"/>
      <c r="R46" s="262"/>
      <c r="S46" s="268">
        <v>0</v>
      </c>
      <c r="T46" s="268">
        <v>0</v>
      </c>
      <c r="U46" s="268">
        <v>0</v>
      </c>
      <c r="V46" s="268">
        <v>0</v>
      </c>
    </row>
    <row r="47" spans="1:22" x14ac:dyDescent="0.2">
      <c r="A47" s="260" t="s">
        <v>203</v>
      </c>
      <c r="B47" s="261">
        <v>14</v>
      </c>
      <c r="C47" s="262"/>
      <c r="D47" s="262"/>
      <c r="E47" s="269">
        <v>0</v>
      </c>
      <c r="F47" s="268">
        <f>$A$41*1</f>
        <v>26.632975999999999</v>
      </c>
      <c r="G47" s="269">
        <v>0</v>
      </c>
      <c r="H47" s="268">
        <f>$A$41*1</f>
        <v>26.632975999999999</v>
      </c>
      <c r="I47" s="262"/>
      <c r="J47" s="262"/>
      <c r="K47" s="262"/>
      <c r="L47" s="262"/>
      <c r="M47" s="262"/>
      <c r="N47" s="262"/>
      <c r="O47" s="262"/>
      <c r="P47" s="262"/>
      <c r="Q47" s="262"/>
      <c r="R47" s="262"/>
      <c r="S47" s="269">
        <v>0</v>
      </c>
      <c r="T47" s="268">
        <f>$A$41*1</f>
        <v>26.632975999999999</v>
      </c>
      <c r="U47" s="269">
        <v>0</v>
      </c>
      <c r="V47" s="268">
        <f>$A$41*1</f>
        <v>26.632975999999999</v>
      </c>
    </row>
    <row r="48" spans="1:22" x14ac:dyDescent="0.2">
      <c r="A48" s="260" t="s">
        <v>203</v>
      </c>
      <c r="B48" s="261">
        <v>100</v>
      </c>
      <c r="C48" s="262"/>
      <c r="D48" s="262"/>
      <c r="E48" s="269">
        <f>$A$41*3</f>
        <v>79.898927999999998</v>
      </c>
      <c r="F48" s="268">
        <f>$A$41*1</f>
        <v>26.632975999999999</v>
      </c>
      <c r="G48" s="269">
        <f>$A$41*3</f>
        <v>79.898927999999998</v>
      </c>
      <c r="H48" s="268">
        <f>$A$41*1</f>
        <v>26.632975999999999</v>
      </c>
      <c r="I48" s="262"/>
      <c r="J48" s="262"/>
      <c r="K48" s="262"/>
      <c r="L48" s="262"/>
      <c r="M48" s="262"/>
      <c r="N48" s="262"/>
      <c r="O48" s="262"/>
      <c r="P48" s="262"/>
      <c r="Q48" s="262"/>
      <c r="R48" s="262"/>
      <c r="S48" s="269">
        <f>$A$41*3</f>
        <v>79.898927999999998</v>
      </c>
      <c r="T48" s="268">
        <f>$A$41*1</f>
        <v>26.632975999999999</v>
      </c>
      <c r="U48" s="269">
        <f>$A$41*3</f>
        <v>79.898927999999998</v>
      </c>
      <c r="V48" s="268">
        <f>$A$41*1</f>
        <v>26.632975999999999</v>
      </c>
    </row>
    <row r="49" spans="1:22" x14ac:dyDescent="0.2">
      <c r="A49" s="257" t="s">
        <v>142</v>
      </c>
      <c r="B49" s="258">
        <v>0</v>
      </c>
      <c r="C49" s="259"/>
      <c r="D49" s="259"/>
      <c r="E49" s="273">
        <v>14</v>
      </c>
      <c r="F49" s="273">
        <v>2</v>
      </c>
      <c r="G49" s="273">
        <v>14</v>
      </c>
      <c r="H49" s="273">
        <v>2</v>
      </c>
      <c r="I49" s="259"/>
      <c r="J49" s="259"/>
      <c r="K49" s="259"/>
      <c r="L49" s="259"/>
      <c r="M49" s="259"/>
      <c r="N49" s="259"/>
      <c r="O49" s="259"/>
      <c r="P49" s="259"/>
      <c r="Q49" s="259"/>
      <c r="R49" s="259"/>
      <c r="S49" s="273">
        <v>14</v>
      </c>
      <c r="T49" s="273">
        <v>2</v>
      </c>
      <c r="U49" s="273">
        <v>14</v>
      </c>
      <c r="V49" s="273">
        <v>2</v>
      </c>
    </row>
    <row r="50" spans="1:22" x14ac:dyDescent="0.2">
      <c r="A50" s="260" t="s">
        <v>142</v>
      </c>
      <c r="B50" s="261">
        <v>2</v>
      </c>
      <c r="C50" s="262"/>
      <c r="D50" s="262"/>
      <c r="E50" s="268">
        <v>0</v>
      </c>
      <c r="F50" s="268">
        <v>0</v>
      </c>
      <c r="G50" s="268">
        <v>0</v>
      </c>
      <c r="H50" s="268">
        <v>0</v>
      </c>
      <c r="I50" s="262"/>
      <c r="J50" s="262"/>
      <c r="K50" s="262"/>
      <c r="L50" s="262"/>
      <c r="M50" s="262"/>
      <c r="N50" s="262"/>
      <c r="O50" s="262"/>
      <c r="P50" s="262"/>
      <c r="Q50" s="262"/>
      <c r="R50" s="262"/>
      <c r="S50" s="268">
        <v>0</v>
      </c>
      <c r="T50" s="268">
        <v>0</v>
      </c>
      <c r="U50" s="268">
        <v>0</v>
      </c>
      <c r="V50" s="268">
        <v>0</v>
      </c>
    </row>
    <row r="51" spans="1:22" x14ac:dyDescent="0.2">
      <c r="A51" s="260" t="s">
        <v>142</v>
      </c>
      <c r="B51" s="261">
        <v>14</v>
      </c>
      <c r="C51" s="262"/>
      <c r="D51" s="262"/>
      <c r="E51" s="269">
        <v>0</v>
      </c>
      <c r="F51" s="268">
        <f>$A$41*1</f>
        <v>26.632975999999999</v>
      </c>
      <c r="G51" s="269">
        <v>0</v>
      </c>
      <c r="H51" s="268">
        <f>$A$41*1</f>
        <v>26.632975999999999</v>
      </c>
      <c r="I51" s="262"/>
      <c r="J51" s="262"/>
      <c r="K51" s="262"/>
      <c r="L51" s="262"/>
      <c r="M51" s="262"/>
      <c r="N51" s="262"/>
      <c r="O51" s="262"/>
      <c r="P51" s="262"/>
      <c r="Q51" s="262"/>
      <c r="R51" s="262"/>
      <c r="S51" s="269">
        <v>0</v>
      </c>
      <c r="T51" s="268">
        <f>$A$41*1</f>
        <v>26.632975999999999</v>
      </c>
      <c r="U51" s="269">
        <v>0</v>
      </c>
      <c r="V51" s="268">
        <f>$A$41*1</f>
        <v>26.632975999999999</v>
      </c>
    </row>
    <row r="52" spans="1:22" x14ac:dyDescent="0.2">
      <c r="A52" s="260" t="s">
        <v>142</v>
      </c>
      <c r="B52" s="261">
        <v>100</v>
      </c>
      <c r="C52" s="262"/>
      <c r="D52" s="262"/>
      <c r="E52" s="269">
        <f>$A$41*3</f>
        <v>79.898927999999998</v>
      </c>
      <c r="F52" s="268">
        <f>$A$41*1</f>
        <v>26.632975999999999</v>
      </c>
      <c r="G52" s="269">
        <f>$A$41*3</f>
        <v>79.898927999999998</v>
      </c>
      <c r="H52" s="268">
        <f>$A$41*1</f>
        <v>26.632975999999999</v>
      </c>
      <c r="I52" s="262"/>
      <c r="J52" s="262"/>
      <c r="K52" s="262"/>
      <c r="L52" s="262"/>
      <c r="M52" s="262"/>
      <c r="N52" s="262"/>
      <c r="O52" s="262"/>
      <c r="P52" s="262"/>
      <c r="Q52" s="262"/>
      <c r="R52" s="262"/>
      <c r="S52" s="269">
        <f>$A$41*3</f>
        <v>79.898927999999998</v>
      </c>
      <c r="T52" s="268">
        <f>$A$41*1</f>
        <v>26.632975999999999</v>
      </c>
      <c r="U52" s="269">
        <f>$A$41*3</f>
        <v>79.898927999999998</v>
      </c>
      <c r="V52" s="268">
        <f>$A$41*1</f>
        <v>26.632975999999999</v>
      </c>
    </row>
    <row r="53" spans="1:22" x14ac:dyDescent="0.2">
      <c r="A53" s="257" t="s">
        <v>143</v>
      </c>
      <c r="B53" s="258">
        <v>0</v>
      </c>
      <c r="C53" s="259"/>
      <c r="D53" s="259"/>
      <c r="E53" s="273">
        <v>14</v>
      </c>
      <c r="F53" s="273">
        <v>2</v>
      </c>
      <c r="G53" s="273">
        <v>14</v>
      </c>
      <c r="H53" s="273">
        <v>2</v>
      </c>
      <c r="I53" s="259"/>
      <c r="J53" s="259"/>
      <c r="K53" s="259"/>
      <c r="L53" s="259"/>
      <c r="M53" s="259"/>
      <c r="N53" s="259"/>
      <c r="O53" s="259"/>
      <c r="P53" s="259"/>
      <c r="Q53" s="259"/>
      <c r="R53" s="259"/>
      <c r="S53" s="273">
        <v>14</v>
      </c>
      <c r="T53" s="273">
        <v>2</v>
      </c>
      <c r="U53" s="273">
        <v>14</v>
      </c>
      <c r="V53" s="273">
        <v>2</v>
      </c>
    </row>
    <row r="54" spans="1:22" x14ac:dyDescent="0.2">
      <c r="A54" s="260" t="s">
        <v>143</v>
      </c>
      <c r="B54" s="261">
        <v>2</v>
      </c>
      <c r="C54" s="262"/>
      <c r="D54" s="262"/>
      <c r="E54" s="268">
        <v>0</v>
      </c>
      <c r="F54" s="268">
        <v>0</v>
      </c>
      <c r="G54" s="268">
        <v>0</v>
      </c>
      <c r="H54" s="268">
        <v>0</v>
      </c>
      <c r="I54" s="262"/>
      <c r="J54" s="262"/>
      <c r="K54" s="262"/>
      <c r="L54" s="262"/>
      <c r="M54" s="262"/>
      <c r="N54" s="262"/>
      <c r="O54" s="262"/>
      <c r="P54" s="262"/>
      <c r="Q54" s="262"/>
      <c r="R54" s="262"/>
      <c r="S54" s="268">
        <v>0</v>
      </c>
      <c r="T54" s="268">
        <v>0</v>
      </c>
      <c r="U54" s="268">
        <v>0</v>
      </c>
      <c r="V54" s="268">
        <v>0</v>
      </c>
    </row>
    <row r="55" spans="1:22" x14ac:dyDescent="0.2">
      <c r="A55" s="260" t="s">
        <v>143</v>
      </c>
      <c r="B55" s="261">
        <v>14</v>
      </c>
      <c r="C55" s="262"/>
      <c r="D55" s="262"/>
      <c r="E55" s="269">
        <v>0</v>
      </c>
      <c r="F55" s="268">
        <f>$A$41*1</f>
        <v>26.632975999999999</v>
      </c>
      <c r="G55" s="269">
        <v>0</v>
      </c>
      <c r="H55" s="268">
        <f>$A$41*1</f>
        <v>26.632975999999999</v>
      </c>
      <c r="I55" s="262"/>
      <c r="J55" s="262"/>
      <c r="K55" s="262"/>
      <c r="L55" s="262"/>
      <c r="M55" s="262"/>
      <c r="N55" s="262"/>
      <c r="O55" s="262"/>
      <c r="P55" s="262"/>
      <c r="Q55" s="262"/>
      <c r="R55" s="262"/>
      <c r="S55" s="269">
        <v>0</v>
      </c>
      <c r="T55" s="268">
        <f>$A$41*1</f>
        <v>26.632975999999999</v>
      </c>
      <c r="U55" s="269">
        <v>0</v>
      </c>
      <c r="V55" s="268">
        <f>$A$41*1</f>
        <v>26.632975999999999</v>
      </c>
    </row>
    <row r="56" spans="1:22" x14ac:dyDescent="0.2">
      <c r="A56" s="260" t="s">
        <v>143</v>
      </c>
      <c r="B56" s="261">
        <v>100</v>
      </c>
      <c r="C56" s="262"/>
      <c r="D56" s="262"/>
      <c r="E56" s="269">
        <f>$A$41*3</f>
        <v>79.898927999999998</v>
      </c>
      <c r="F56" s="268">
        <f>$A$41*1</f>
        <v>26.632975999999999</v>
      </c>
      <c r="G56" s="269">
        <f>$A$41*3</f>
        <v>79.898927999999998</v>
      </c>
      <c r="H56" s="268">
        <f>$A$41*1</f>
        <v>26.632975999999999</v>
      </c>
      <c r="I56" s="262"/>
      <c r="J56" s="262"/>
      <c r="K56" s="262"/>
      <c r="L56" s="262"/>
      <c r="M56" s="262"/>
      <c r="N56" s="262"/>
      <c r="O56" s="262"/>
      <c r="P56" s="262"/>
      <c r="Q56" s="262"/>
      <c r="R56" s="262"/>
      <c r="S56" s="269">
        <f>$A$41*3</f>
        <v>79.898927999999998</v>
      </c>
      <c r="T56" s="268">
        <f>$A$41*1</f>
        <v>26.632975999999999</v>
      </c>
      <c r="U56" s="269">
        <f>$A$41*3</f>
        <v>79.898927999999998</v>
      </c>
      <c r="V56" s="268">
        <f>$A$41*1</f>
        <v>26.632975999999999</v>
      </c>
    </row>
    <row r="57" spans="1:22" x14ac:dyDescent="0.2">
      <c r="A57" s="257" t="s">
        <v>145</v>
      </c>
      <c r="B57" s="258">
        <v>0</v>
      </c>
      <c r="C57" s="259"/>
      <c r="D57" s="259"/>
      <c r="E57" s="273">
        <v>14</v>
      </c>
      <c r="F57" s="273">
        <v>2</v>
      </c>
      <c r="G57" s="273">
        <v>14</v>
      </c>
      <c r="H57" s="273">
        <v>2</v>
      </c>
      <c r="I57" s="259"/>
      <c r="J57" s="259"/>
      <c r="K57" s="259"/>
      <c r="L57" s="259"/>
      <c r="M57" s="259"/>
      <c r="N57" s="259"/>
      <c r="O57" s="259"/>
      <c r="P57" s="259"/>
      <c r="Q57" s="259"/>
      <c r="R57" s="259"/>
      <c r="S57" s="273">
        <v>14</v>
      </c>
      <c r="T57" s="273">
        <v>2</v>
      </c>
      <c r="U57" s="273">
        <v>14</v>
      </c>
      <c r="V57" s="273">
        <v>2</v>
      </c>
    </row>
    <row r="58" spans="1:22" x14ac:dyDescent="0.2">
      <c r="A58" s="260" t="s">
        <v>145</v>
      </c>
      <c r="B58" s="261">
        <v>2</v>
      </c>
      <c r="C58" s="262"/>
      <c r="D58" s="262"/>
      <c r="E58" s="268">
        <v>0</v>
      </c>
      <c r="F58" s="268">
        <v>0</v>
      </c>
      <c r="G58" s="268">
        <v>0</v>
      </c>
      <c r="H58" s="268">
        <v>0</v>
      </c>
      <c r="I58" s="262"/>
      <c r="J58" s="262"/>
      <c r="K58" s="262"/>
      <c r="L58" s="262"/>
      <c r="M58" s="262"/>
      <c r="N58" s="262"/>
      <c r="O58" s="262"/>
      <c r="P58" s="262"/>
      <c r="Q58" s="262"/>
      <c r="R58" s="262"/>
      <c r="S58" s="268">
        <v>0</v>
      </c>
      <c r="T58" s="268">
        <v>0</v>
      </c>
      <c r="U58" s="268">
        <v>0</v>
      </c>
      <c r="V58" s="268">
        <v>0</v>
      </c>
    </row>
    <row r="59" spans="1:22" x14ac:dyDescent="0.2">
      <c r="A59" s="260" t="s">
        <v>145</v>
      </c>
      <c r="B59" s="261">
        <v>14</v>
      </c>
      <c r="C59" s="262"/>
      <c r="D59" s="262"/>
      <c r="E59" s="269">
        <v>0</v>
      </c>
      <c r="F59" s="268">
        <f>$A$41*1</f>
        <v>26.632975999999999</v>
      </c>
      <c r="G59" s="269">
        <v>0</v>
      </c>
      <c r="H59" s="268">
        <f>$A$41*1</f>
        <v>26.632975999999999</v>
      </c>
      <c r="I59" s="262"/>
      <c r="J59" s="262"/>
      <c r="K59" s="262"/>
      <c r="L59" s="262"/>
      <c r="M59" s="262"/>
      <c r="N59" s="262"/>
      <c r="O59" s="262"/>
      <c r="P59" s="262"/>
      <c r="Q59" s="262"/>
      <c r="R59" s="262"/>
      <c r="S59" s="269">
        <v>0</v>
      </c>
      <c r="T59" s="268">
        <f>$A$41*1</f>
        <v>26.632975999999999</v>
      </c>
      <c r="U59" s="269">
        <v>0</v>
      </c>
      <c r="V59" s="268">
        <f>$A$41*1</f>
        <v>26.632975999999999</v>
      </c>
    </row>
    <row r="60" spans="1:22" x14ac:dyDescent="0.2">
      <c r="A60" s="260" t="s">
        <v>145</v>
      </c>
      <c r="B60" s="261">
        <v>100</v>
      </c>
      <c r="C60" s="262"/>
      <c r="D60" s="262"/>
      <c r="E60" s="269">
        <f>$A$41*3</f>
        <v>79.898927999999998</v>
      </c>
      <c r="F60" s="268">
        <f>$A$41*1</f>
        <v>26.632975999999999</v>
      </c>
      <c r="G60" s="269">
        <f>$A$41*3</f>
        <v>79.898927999999998</v>
      </c>
      <c r="H60" s="268">
        <f>$A$41*1</f>
        <v>26.632975999999999</v>
      </c>
      <c r="I60" s="262"/>
      <c r="J60" s="262"/>
      <c r="K60" s="262"/>
      <c r="L60" s="262"/>
      <c r="M60" s="262"/>
      <c r="N60" s="262"/>
      <c r="O60" s="262"/>
      <c r="P60" s="262"/>
      <c r="Q60" s="262"/>
      <c r="R60" s="262"/>
      <c r="S60" s="269">
        <f>$A$41*3</f>
        <v>79.898927999999998</v>
      </c>
      <c r="T60" s="268">
        <f>$A$41*1</f>
        <v>26.632975999999999</v>
      </c>
      <c r="U60" s="269">
        <f>$A$41*3</f>
        <v>79.898927999999998</v>
      </c>
      <c r="V60" s="268">
        <f>$A$41*1</f>
        <v>26.632975999999999</v>
      </c>
    </row>
    <row r="61" spans="1:22" x14ac:dyDescent="0.2">
      <c r="A61" s="257" t="s">
        <v>67</v>
      </c>
      <c r="B61" s="258">
        <v>0</v>
      </c>
      <c r="C61" s="259"/>
      <c r="D61" s="259"/>
      <c r="E61" s="273">
        <v>14</v>
      </c>
      <c r="F61" s="273">
        <v>2</v>
      </c>
      <c r="G61" s="273">
        <v>14.5</v>
      </c>
      <c r="H61" s="273">
        <v>2</v>
      </c>
      <c r="I61" s="259"/>
      <c r="J61" s="259"/>
      <c r="K61" s="259"/>
      <c r="L61" s="259"/>
      <c r="M61" s="259"/>
      <c r="N61" s="259"/>
      <c r="O61" s="259"/>
      <c r="P61" s="259"/>
      <c r="Q61" s="259"/>
      <c r="R61" s="259"/>
      <c r="S61" s="273">
        <v>14.5</v>
      </c>
      <c r="T61" s="273">
        <v>2</v>
      </c>
      <c r="U61" s="273">
        <v>14.5</v>
      </c>
      <c r="V61" s="273">
        <v>2</v>
      </c>
    </row>
    <row r="62" spans="1:22" x14ac:dyDescent="0.2">
      <c r="A62" s="260" t="s">
        <v>67</v>
      </c>
      <c r="B62" s="261">
        <v>2</v>
      </c>
      <c r="C62" s="262"/>
      <c r="D62" s="262"/>
      <c r="E62" s="268">
        <v>0</v>
      </c>
      <c r="F62" s="268">
        <v>0</v>
      </c>
      <c r="G62" s="268">
        <v>0</v>
      </c>
      <c r="H62" s="268">
        <v>0</v>
      </c>
      <c r="I62" s="262"/>
      <c r="J62" s="262"/>
      <c r="K62" s="262"/>
      <c r="L62" s="262"/>
      <c r="M62" s="262"/>
      <c r="N62" s="262"/>
      <c r="O62" s="262"/>
      <c r="P62" s="262"/>
      <c r="Q62" s="262"/>
      <c r="R62" s="262"/>
      <c r="S62" s="268">
        <v>0</v>
      </c>
      <c r="T62" s="268">
        <v>0</v>
      </c>
      <c r="U62" s="268">
        <v>0</v>
      </c>
      <c r="V62" s="268">
        <v>0</v>
      </c>
    </row>
    <row r="63" spans="1:22" x14ac:dyDescent="0.2">
      <c r="A63" s="260" t="s">
        <v>67</v>
      </c>
      <c r="B63" s="261">
        <v>14.5</v>
      </c>
      <c r="C63" s="262"/>
      <c r="D63" s="262"/>
      <c r="E63" s="269">
        <v>0</v>
      </c>
      <c r="F63" s="268">
        <f>$A$41*1</f>
        <v>26.632975999999999</v>
      </c>
      <c r="G63" s="269">
        <v>0</v>
      </c>
      <c r="H63" s="268">
        <f>$A$41*1</f>
        <v>26.632975999999999</v>
      </c>
      <c r="I63" s="262"/>
      <c r="J63" s="262"/>
      <c r="K63" s="262"/>
      <c r="L63" s="262"/>
      <c r="M63" s="262"/>
      <c r="N63" s="262"/>
      <c r="O63" s="262"/>
      <c r="P63" s="262"/>
      <c r="Q63" s="262"/>
      <c r="R63" s="262"/>
      <c r="S63" s="269">
        <v>0</v>
      </c>
      <c r="T63" s="268">
        <f>$A$41*1</f>
        <v>26.632975999999999</v>
      </c>
      <c r="U63" s="269">
        <v>0</v>
      </c>
      <c r="V63" s="268">
        <f>$A$41*1</f>
        <v>26.632975999999999</v>
      </c>
    </row>
    <row r="64" spans="1:22" x14ac:dyDescent="0.2">
      <c r="A64" s="260" t="s">
        <v>67</v>
      </c>
      <c r="B64" s="261">
        <v>100</v>
      </c>
      <c r="C64" s="262"/>
      <c r="D64" s="262"/>
      <c r="E64" s="269">
        <f>$A$41*3</f>
        <v>79.898927999999998</v>
      </c>
      <c r="F64" s="268">
        <f>$A$41*1</f>
        <v>26.632975999999999</v>
      </c>
      <c r="G64" s="269">
        <f>$A$41*3</f>
        <v>79.898927999999998</v>
      </c>
      <c r="H64" s="268">
        <f>$A$41*1</f>
        <v>26.632975999999999</v>
      </c>
      <c r="I64" s="262"/>
      <c r="J64" s="262"/>
      <c r="K64" s="262"/>
      <c r="L64" s="262"/>
      <c r="M64" s="262"/>
      <c r="N64" s="262"/>
      <c r="O64" s="262"/>
      <c r="P64" s="262"/>
      <c r="Q64" s="262"/>
      <c r="R64" s="262"/>
      <c r="S64" s="269">
        <f>$A$41*3</f>
        <v>79.898927999999998</v>
      </c>
      <c r="T64" s="268">
        <f>$A$41*1</f>
        <v>26.632975999999999</v>
      </c>
      <c r="U64" s="269">
        <f>$A$41*3</f>
        <v>79.898927999999998</v>
      </c>
      <c r="V64" s="268">
        <f>$A$41*1</f>
        <v>26.632975999999999</v>
      </c>
    </row>
    <row r="65" spans="1:22" x14ac:dyDescent="0.2">
      <c r="A65" s="257" t="s">
        <v>204</v>
      </c>
      <c r="B65" s="258">
        <v>0</v>
      </c>
      <c r="C65" s="259"/>
      <c r="D65" s="259"/>
      <c r="E65" s="273">
        <v>14</v>
      </c>
      <c r="F65" s="273">
        <v>2</v>
      </c>
      <c r="G65" s="273">
        <v>14.5</v>
      </c>
      <c r="H65" s="273">
        <v>2</v>
      </c>
      <c r="I65" s="259"/>
      <c r="J65" s="259"/>
      <c r="K65" s="259"/>
      <c r="L65" s="259"/>
      <c r="M65" s="259"/>
      <c r="N65" s="259"/>
      <c r="O65" s="259"/>
      <c r="P65" s="259"/>
      <c r="Q65" s="259"/>
      <c r="R65" s="259"/>
      <c r="S65" s="273">
        <v>14</v>
      </c>
      <c r="T65" s="273">
        <v>2</v>
      </c>
      <c r="U65" s="273">
        <v>14.5</v>
      </c>
      <c r="V65" s="273">
        <v>2</v>
      </c>
    </row>
    <row r="66" spans="1:22" x14ac:dyDescent="0.2">
      <c r="A66" s="260" t="s">
        <v>204</v>
      </c>
      <c r="B66" s="261">
        <v>2</v>
      </c>
      <c r="C66" s="262"/>
      <c r="D66" s="262"/>
      <c r="E66" s="268">
        <v>0</v>
      </c>
      <c r="F66" s="268">
        <v>0</v>
      </c>
      <c r="G66" s="268">
        <v>0</v>
      </c>
      <c r="H66" s="268">
        <v>0</v>
      </c>
      <c r="I66" s="262"/>
      <c r="J66" s="262"/>
      <c r="K66" s="262"/>
      <c r="L66" s="262"/>
      <c r="M66" s="262"/>
      <c r="N66" s="262"/>
      <c r="O66" s="262"/>
      <c r="P66" s="262"/>
      <c r="Q66" s="262"/>
      <c r="R66" s="262"/>
      <c r="S66" s="268">
        <v>0</v>
      </c>
      <c r="T66" s="268">
        <v>0</v>
      </c>
      <c r="U66" s="268">
        <v>0</v>
      </c>
      <c r="V66" s="268">
        <v>0</v>
      </c>
    </row>
    <row r="67" spans="1:22" x14ac:dyDescent="0.2">
      <c r="A67" s="260" t="s">
        <v>204</v>
      </c>
      <c r="B67" s="533">
        <v>14.5</v>
      </c>
      <c r="C67" s="532"/>
      <c r="D67" s="262"/>
      <c r="E67" s="269">
        <v>0</v>
      </c>
      <c r="F67" s="268">
        <f>$A$41*1</f>
        <v>26.632975999999999</v>
      </c>
      <c r="G67" s="269">
        <v>0</v>
      </c>
      <c r="H67" s="268">
        <f>$A$41*1</f>
        <v>26.632975999999999</v>
      </c>
      <c r="I67" s="262"/>
      <c r="J67" s="262"/>
      <c r="K67" s="262"/>
      <c r="L67" s="262"/>
      <c r="M67" s="262"/>
      <c r="N67" s="262"/>
      <c r="O67" s="262"/>
      <c r="P67" s="262"/>
      <c r="Q67" s="262"/>
      <c r="R67" s="262"/>
      <c r="S67" s="269">
        <v>0</v>
      </c>
      <c r="T67" s="268">
        <f>$A$41*1</f>
        <v>26.632975999999999</v>
      </c>
      <c r="U67" s="269">
        <v>0</v>
      </c>
      <c r="V67" s="268">
        <f>$A$41*1</f>
        <v>26.632975999999999</v>
      </c>
    </row>
    <row r="68" spans="1:22" x14ac:dyDescent="0.2">
      <c r="A68" s="260" t="s">
        <v>204</v>
      </c>
      <c r="B68" s="261">
        <v>100</v>
      </c>
      <c r="C68" s="262"/>
      <c r="D68" s="262"/>
      <c r="E68" s="269">
        <f>$A$41*3</f>
        <v>79.898927999999998</v>
      </c>
      <c r="F68" s="268">
        <f>$A$41*1</f>
        <v>26.632975999999999</v>
      </c>
      <c r="G68" s="269">
        <f>$A$41*3</f>
        <v>79.898927999999998</v>
      </c>
      <c r="H68" s="268">
        <f>$A$41*1</f>
        <v>26.632975999999999</v>
      </c>
      <c r="I68" s="262"/>
      <c r="J68" s="262"/>
      <c r="K68" s="262"/>
      <c r="L68" s="262"/>
      <c r="M68" s="262"/>
      <c r="N68" s="262"/>
      <c r="O68" s="262"/>
      <c r="P68" s="262"/>
      <c r="Q68" s="262"/>
      <c r="R68" s="262"/>
      <c r="S68" s="269">
        <f>$A$41*3</f>
        <v>79.898927999999998</v>
      </c>
      <c r="T68" s="268">
        <f>$A$41*1</f>
        <v>26.632975999999999</v>
      </c>
      <c r="U68" s="269">
        <f>$A$41*3</f>
        <v>79.898927999999998</v>
      </c>
      <c r="V68" s="268">
        <f>$A$41*1</f>
        <v>26.632975999999999</v>
      </c>
    </row>
    <row r="69" spans="1:22" x14ac:dyDescent="0.2">
      <c r="A69" s="275" t="s">
        <v>205</v>
      </c>
      <c r="B69" s="258">
        <v>0</v>
      </c>
      <c r="C69" s="259"/>
      <c r="D69" s="259"/>
      <c r="E69" s="273">
        <v>8</v>
      </c>
      <c r="F69" s="273">
        <v>3</v>
      </c>
      <c r="G69" s="273">
        <v>8</v>
      </c>
      <c r="H69" s="273">
        <v>3</v>
      </c>
      <c r="I69" s="259"/>
      <c r="J69" s="259"/>
      <c r="K69" s="259"/>
      <c r="L69" s="259"/>
      <c r="M69" s="259"/>
      <c r="N69" s="259"/>
      <c r="O69" s="259"/>
      <c r="P69" s="259"/>
      <c r="Q69" s="259"/>
      <c r="R69" s="259"/>
      <c r="S69" s="273">
        <v>8</v>
      </c>
      <c r="T69" s="273">
        <v>3</v>
      </c>
      <c r="U69" s="273">
        <v>8</v>
      </c>
      <c r="V69" s="273">
        <v>3</v>
      </c>
    </row>
    <row r="70" spans="1:22" x14ac:dyDescent="0.2">
      <c r="A70" s="260" t="s">
        <v>205</v>
      </c>
      <c r="B70" s="261">
        <v>3</v>
      </c>
      <c r="C70" s="262"/>
      <c r="D70" s="262"/>
      <c r="E70" s="268">
        <v>0</v>
      </c>
      <c r="F70" s="268">
        <v>0</v>
      </c>
      <c r="G70" s="268">
        <v>0</v>
      </c>
      <c r="H70" s="268">
        <v>0</v>
      </c>
      <c r="I70" s="262"/>
      <c r="J70" s="262"/>
      <c r="K70" s="262"/>
      <c r="L70" s="262"/>
      <c r="M70" s="268"/>
      <c r="N70" s="268"/>
      <c r="O70" s="268"/>
      <c r="P70" s="268"/>
      <c r="Q70" s="262"/>
      <c r="R70" s="262"/>
      <c r="S70" s="268">
        <v>0</v>
      </c>
      <c r="T70" s="268">
        <v>0</v>
      </c>
      <c r="U70" s="268">
        <v>0</v>
      </c>
      <c r="V70" s="268">
        <v>0</v>
      </c>
    </row>
    <row r="71" spans="1:22" x14ac:dyDescent="0.2">
      <c r="A71" s="260" t="s">
        <v>205</v>
      </c>
      <c r="B71" s="261">
        <v>3.5</v>
      </c>
      <c r="C71" s="262"/>
      <c r="D71" s="262"/>
      <c r="E71" s="268">
        <v>0</v>
      </c>
      <c r="F71" s="268">
        <f>$A$41*0.72</f>
        <v>19.175742719999999</v>
      </c>
      <c r="G71" s="268">
        <v>0</v>
      </c>
      <c r="H71" s="268">
        <f>$A$41*0.72</f>
        <v>19.175742719999999</v>
      </c>
      <c r="I71" s="262"/>
      <c r="J71" s="262"/>
      <c r="K71" s="262"/>
      <c r="L71" s="262"/>
      <c r="M71" s="268"/>
      <c r="N71" s="268"/>
      <c r="O71" s="268"/>
      <c r="P71" s="268"/>
      <c r="Q71" s="262"/>
      <c r="R71" s="262"/>
      <c r="S71" s="268">
        <v>0</v>
      </c>
      <c r="T71" s="268">
        <f>$A$41*0.72</f>
        <v>19.175742719999999</v>
      </c>
      <c r="U71" s="268">
        <v>0</v>
      </c>
      <c r="V71" s="268">
        <f>$A$41*0.72</f>
        <v>19.175742719999999</v>
      </c>
    </row>
    <row r="72" spans="1:22" x14ac:dyDescent="0.2">
      <c r="A72" s="260" t="s">
        <v>205</v>
      </c>
      <c r="B72" s="261">
        <v>4</v>
      </c>
      <c r="C72" s="262"/>
      <c r="D72" s="262"/>
      <c r="E72" s="268">
        <v>0</v>
      </c>
      <c r="F72" s="268">
        <f>$A$41*0.81</f>
        <v>21.572710560000001</v>
      </c>
      <c r="G72" s="268">
        <v>0</v>
      </c>
      <c r="H72" s="268">
        <f>$A$41*0.81</f>
        <v>21.572710560000001</v>
      </c>
      <c r="I72" s="262"/>
      <c r="J72" s="262"/>
      <c r="K72" s="262"/>
      <c r="L72" s="262"/>
      <c r="M72" s="268"/>
      <c r="N72" s="268"/>
      <c r="O72" s="268"/>
      <c r="P72" s="268"/>
      <c r="Q72" s="262"/>
      <c r="R72" s="262"/>
      <c r="S72" s="268">
        <v>0</v>
      </c>
      <c r="T72" s="268">
        <f>$A$41*0.81</f>
        <v>21.572710560000001</v>
      </c>
      <c r="U72" s="268">
        <v>0</v>
      </c>
      <c r="V72" s="268">
        <f>$A$41*0.81</f>
        <v>21.572710560000001</v>
      </c>
    </row>
    <row r="73" spans="1:22" x14ac:dyDescent="0.2">
      <c r="A73" s="260" t="s">
        <v>205</v>
      </c>
      <c r="B73" s="261">
        <v>4.5</v>
      </c>
      <c r="C73" s="262"/>
      <c r="D73" s="262"/>
      <c r="E73" s="268">
        <v>0</v>
      </c>
      <c r="F73" s="268">
        <f>$A$41*0.9</f>
        <v>23.969678399999999</v>
      </c>
      <c r="G73" s="268">
        <v>0</v>
      </c>
      <c r="H73" s="268">
        <f>$A$41*0.9</f>
        <v>23.969678399999999</v>
      </c>
      <c r="I73" s="262"/>
      <c r="J73" s="262"/>
      <c r="K73" s="262"/>
      <c r="L73" s="262"/>
      <c r="M73" s="268"/>
      <c r="N73" s="268"/>
      <c r="O73" s="268"/>
      <c r="P73" s="268"/>
      <c r="Q73" s="262"/>
      <c r="R73" s="262"/>
      <c r="S73" s="268">
        <v>0</v>
      </c>
      <c r="T73" s="268">
        <f>$A$41*0.9</f>
        <v>23.969678399999999</v>
      </c>
      <c r="U73" s="268">
        <v>0</v>
      </c>
      <c r="V73" s="268">
        <f>$A$41*0.9</f>
        <v>23.969678399999999</v>
      </c>
    </row>
    <row r="74" spans="1:22" x14ac:dyDescent="0.2">
      <c r="A74" s="260" t="s">
        <v>205</v>
      </c>
      <c r="B74" s="261">
        <v>5</v>
      </c>
      <c r="C74" s="262"/>
      <c r="D74" s="262"/>
      <c r="E74" s="268">
        <v>0</v>
      </c>
      <c r="F74" s="268">
        <f>$A$41*0.99</f>
        <v>26.366646239999998</v>
      </c>
      <c r="G74" s="268">
        <v>0</v>
      </c>
      <c r="H74" s="268">
        <f>$A$41*0.99</f>
        <v>26.366646239999998</v>
      </c>
      <c r="I74" s="262"/>
      <c r="J74" s="262"/>
      <c r="K74" s="262"/>
      <c r="L74" s="262"/>
      <c r="M74" s="268"/>
      <c r="N74" s="268"/>
      <c r="O74" s="268"/>
      <c r="P74" s="268"/>
      <c r="Q74" s="262"/>
      <c r="R74" s="262"/>
      <c r="S74" s="268">
        <v>0</v>
      </c>
      <c r="T74" s="268">
        <f>$A$41*0.99</f>
        <v>26.366646239999998</v>
      </c>
      <c r="U74" s="268">
        <v>0</v>
      </c>
      <c r="V74" s="268">
        <f>$A$41*0.99</f>
        <v>26.366646239999998</v>
      </c>
    </row>
    <row r="75" spans="1:22" x14ac:dyDescent="0.2">
      <c r="A75" s="260" t="s">
        <v>205</v>
      </c>
      <c r="B75" s="261">
        <v>5.5</v>
      </c>
      <c r="C75" s="262"/>
      <c r="D75" s="262"/>
      <c r="E75" s="268">
        <v>0</v>
      </c>
      <c r="F75" s="268">
        <f>$A$41*1.08</f>
        <v>28.76361408</v>
      </c>
      <c r="G75" s="268">
        <v>0</v>
      </c>
      <c r="H75" s="268">
        <f>$A$41*1.08</f>
        <v>28.76361408</v>
      </c>
      <c r="I75" s="262"/>
      <c r="J75" s="262"/>
      <c r="K75" s="262"/>
      <c r="L75" s="262"/>
      <c r="M75" s="268"/>
      <c r="N75" s="268"/>
      <c r="O75" s="268"/>
      <c r="P75" s="268"/>
      <c r="Q75" s="262"/>
      <c r="R75" s="262"/>
      <c r="S75" s="268">
        <v>0</v>
      </c>
      <c r="T75" s="268">
        <f>$A$41*1.08</f>
        <v>28.76361408</v>
      </c>
      <c r="U75" s="268">
        <v>0</v>
      </c>
      <c r="V75" s="268">
        <f>$A$41*1.08</f>
        <v>28.76361408</v>
      </c>
    </row>
    <row r="76" spans="1:22" x14ac:dyDescent="0.2">
      <c r="A76" s="260" t="s">
        <v>205</v>
      </c>
      <c r="B76" s="261">
        <v>6</v>
      </c>
      <c r="C76" s="262"/>
      <c r="D76" s="262"/>
      <c r="E76" s="268">
        <v>0</v>
      </c>
      <c r="F76" s="268">
        <f>$A$41*1.16</f>
        <v>30.894252159999997</v>
      </c>
      <c r="G76" s="268">
        <v>0</v>
      </c>
      <c r="H76" s="268">
        <f>$A$41*1.16</f>
        <v>30.894252159999997</v>
      </c>
      <c r="I76" s="262"/>
      <c r="J76" s="262"/>
      <c r="K76" s="262"/>
      <c r="L76" s="262"/>
      <c r="M76" s="268"/>
      <c r="N76" s="268"/>
      <c r="O76" s="268"/>
      <c r="P76" s="268"/>
      <c r="Q76" s="262"/>
      <c r="R76" s="262"/>
      <c r="S76" s="268">
        <v>0</v>
      </c>
      <c r="T76" s="268">
        <f>$A$41*1.16</f>
        <v>30.894252159999997</v>
      </c>
      <c r="U76" s="268">
        <v>0</v>
      </c>
      <c r="V76" s="268">
        <f>$A$41*1.16</f>
        <v>30.894252159999997</v>
      </c>
    </row>
    <row r="77" spans="1:22" x14ac:dyDescent="0.2">
      <c r="A77" s="260" t="s">
        <v>205</v>
      </c>
      <c r="B77" s="261">
        <v>6.5</v>
      </c>
      <c r="C77" s="262"/>
      <c r="D77" s="262"/>
      <c r="E77" s="268">
        <v>0</v>
      </c>
      <c r="F77" s="268">
        <f>$A$41*1.24</f>
        <v>33.024890239999998</v>
      </c>
      <c r="G77" s="268">
        <v>0</v>
      </c>
      <c r="H77" s="268">
        <f>$A$41*1.24</f>
        <v>33.024890239999998</v>
      </c>
      <c r="I77" s="262"/>
      <c r="J77" s="262"/>
      <c r="K77" s="262"/>
      <c r="L77" s="262"/>
      <c r="M77" s="268"/>
      <c r="N77" s="268"/>
      <c r="O77" s="268"/>
      <c r="P77" s="268"/>
      <c r="Q77" s="262"/>
      <c r="R77" s="262"/>
      <c r="S77" s="268">
        <v>0</v>
      </c>
      <c r="T77" s="268">
        <f>$A$41*1.24</f>
        <v>33.024890239999998</v>
      </c>
      <c r="U77" s="268">
        <v>0</v>
      </c>
      <c r="V77" s="268">
        <f>$A$41*1.24</f>
        <v>33.024890239999998</v>
      </c>
    </row>
    <row r="78" spans="1:22" x14ac:dyDescent="0.2">
      <c r="A78" s="260" t="s">
        <v>205</v>
      </c>
      <c r="B78" s="261">
        <v>7</v>
      </c>
      <c r="C78" s="262"/>
      <c r="D78" s="262"/>
      <c r="E78" s="268">
        <v>0</v>
      </c>
      <c r="F78" s="268">
        <f>$A$41*1.32</f>
        <v>35.155528320000002</v>
      </c>
      <c r="G78" s="268">
        <v>0</v>
      </c>
      <c r="H78" s="268">
        <f>$A$41*1.32</f>
        <v>35.155528320000002</v>
      </c>
      <c r="I78" s="262"/>
      <c r="J78" s="262"/>
      <c r="K78" s="262"/>
      <c r="L78" s="262"/>
      <c r="M78" s="268"/>
      <c r="N78" s="268"/>
      <c r="O78" s="268"/>
      <c r="P78" s="268"/>
      <c r="Q78" s="262"/>
      <c r="R78" s="262"/>
      <c r="S78" s="268">
        <v>0</v>
      </c>
      <c r="T78" s="268">
        <f>$A$41*1.32</f>
        <v>35.155528320000002</v>
      </c>
      <c r="U78" s="268">
        <v>0</v>
      </c>
      <c r="V78" s="268">
        <f>$A$41*1.32</f>
        <v>35.155528320000002</v>
      </c>
    </row>
    <row r="79" spans="1:22" x14ac:dyDescent="0.2">
      <c r="A79" s="260" t="s">
        <v>205</v>
      </c>
      <c r="B79" s="261">
        <v>7.5</v>
      </c>
      <c r="C79" s="262"/>
      <c r="D79" s="262"/>
      <c r="E79" s="268">
        <v>0</v>
      </c>
      <c r="F79" s="268">
        <f>$A$41*1.4</f>
        <v>37.286166399999999</v>
      </c>
      <c r="G79" s="268">
        <v>0</v>
      </c>
      <c r="H79" s="268">
        <f>$A$41*1.4</f>
        <v>37.286166399999999</v>
      </c>
      <c r="I79" s="262"/>
      <c r="J79" s="262"/>
      <c r="K79" s="262"/>
      <c r="L79" s="262"/>
      <c r="M79" s="268"/>
      <c r="N79" s="268"/>
      <c r="O79" s="268"/>
      <c r="P79" s="268"/>
      <c r="Q79" s="262"/>
      <c r="R79" s="262"/>
      <c r="S79" s="268">
        <v>0</v>
      </c>
      <c r="T79" s="268">
        <f>$A$41*1.4</f>
        <v>37.286166399999999</v>
      </c>
      <c r="U79" s="268">
        <v>0</v>
      </c>
      <c r="V79" s="268">
        <f>$A$41*1.4</f>
        <v>37.286166399999999</v>
      </c>
    </row>
    <row r="80" spans="1:22" x14ac:dyDescent="0.2">
      <c r="A80" s="260" t="s">
        <v>205</v>
      </c>
      <c r="B80" s="261">
        <v>8</v>
      </c>
      <c r="C80" s="262"/>
      <c r="D80" s="262"/>
      <c r="E80" s="268">
        <v>0</v>
      </c>
      <c r="F80" s="268">
        <f>$A$41*1.48</f>
        <v>39.416804479999996</v>
      </c>
      <c r="G80" s="268">
        <v>0</v>
      </c>
      <c r="H80" s="268">
        <f>$A$41*1.48</f>
        <v>39.416804479999996</v>
      </c>
      <c r="I80" s="262"/>
      <c r="J80" s="262"/>
      <c r="K80" s="262"/>
      <c r="L80" s="262"/>
      <c r="M80" s="268"/>
      <c r="N80" s="268"/>
      <c r="O80" s="268"/>
      <c r="P80" s="268"/>
      <c r="Q80" s="262"/>
      <c r="R80" s="262"/>
      <c r="S80" s="268">
        <v>0</v>
      </c>
      <c r="T80" s="268">
        <f>$A$41*1.48</f>
        <v>39.416804479999996</v>
      </c>
      <c r="U80" s="268">
        <v>0</v>
      </c>
      <c r="V80" s="268">
        <f>$A$41*1.48</f>
        <v>39.416804479999996</v>
      </c>
    </row>
    <row r="81" spans="1:22" x14ac:dyDescent="0.2">
      <c r="A81" s="260" t="s">
        <v>205</v>
      </c>
      <c r="B81" s="261">
        <v>8.5</v>
      </c>
      <c r="C81" s="262"/>
      <c r="D81" s="262"/>
      <c r="E81" s="268">
        <v>25</v>
      </c>
      <c r="F81" s="268">
        <f>$A$41*1.56</f>
        <v>41.54744256</v>
      </c>
      <c r="G81" s="268">
        <v>24</v>
      </c>
      <c r="H81" s="268">
        <f>$A$41*1.56</f>
        <v>41.54744256</v>
      </c>
      <c r="I81" s="262"/>
      <c r="J81" s="262"/>
      <c r="K81" s="262"/>
      <c r="L81" s="262"/>
      <c r="M81" s="268"/>
      <c r="N81" s="268"/>
      <c r="O81" s="268"/>
      <c r="P81" s="268"/>
      <c r="Q81" s="262"/>
      <c r="R81" s="262"/>
      <c r="S81" s="268">
        <v>24</v>
      </c>
      <c r="T81" s="268">
        <f>$A$41*1.56</f>
        <v>41.54744256</v>
      </c>
      <c r="U81" s="268">
        <v>24</v>
      </c>
      <c r="V81" s="268">
        <f>$A$41*1.56</f>
        <v>41.54744256</v>
      </c>
    </row>
    <row r="82" spans="1:22" x14ac:dyDescent="0.2">
      <c r="A82" s="260" t="s">
        <v>205</v>
      </c>
      <c r="B82" s="261">
        <v>9</v>
      </c>
      <c r="C82" s="262"/>
      <c r="D82" s="262"/>
      <c r="E82" s="268">
        <v>25</v>
      </c>
      <c r="F82" s="268">
        <f>$A$41*1.63</f>
        <v>43.41175088</v>
      </c>
      <c r="G82" s="268">
        <v>24</v>
      </c>
      <c r="H82" s="268">
        <f>$A$41*1.63</f>
        <v>43.41175088</v>
      </c>
      <c r="I82" s="262"/>
      <c r="J82" s="262"/>
      <c r="K82" s="262"/>
      <c r="L82" s="262"/>
      <c r="M82" s="268"/>
      <c r="N82" s="268"/>
      <c r="O82" s="268"/>
      <c r="P82" s="268"/>
      <c r="Q82" s="262"/>
      <c r="R82" s="262"/>
      <c r="S82" s="268">
        <v>24</v>
      </c>
      <c r="T82" s="268">
        <f>$A$41*1.63</f>
        <v>43.41175088</v>
      </c>
      <c r="U82" s="268">
        <v>24</v>
      </c>
      <c r="V82" s="268">
        <f>$A$41*1.63</f>
        <v>43.41175088</v>
      </c>
    </row>
    <row r="83" spans="1:22" x14ac:dyDescent="0.2">
      <c r="A83" s="260" t="s">
        <v>205</v>
      </c>
      <c r="B83" s="261">
        <v>9.5</v>
      </c>
      <c r="C83" s="262"/>
      <c r="D83" s="262"/>
      <c r="E83" s="268">
        <v>25</v>
      </c>
      <c r="F83" s="268">
        <f>$A$41*1.7</f>
        <v>45.276059199999999</v>
      </c>
      <c r="G83" s="268">
        <v>24</v>
      </c>
      <c r="H83" s="268">
        <f>$A$41*1.7</f>
        <v>45.276059199999999</v>
      </c>
      <c r="I83" s="262"/>
      <c r="J83" s="262"/>
      <c r="K83" s="262"/>
      <c r="L83" s="262"/>
      <c r="M83" s="268"/>
      <c r="N83" s="268"/>
      <c r="O83" s="268"/>
      <c r="P83" s="268"/>
      <c r="Q83" s="262"/>
      <c r="R83" s="262"/>
      <c r="S83" s="268">
        <v>24</v>
      </c>
      <c r="T83" s="268">
        <f>$A$41*1.7</f>
        <v>45.276059199999999</v>
      </c>
      <c r="U83" s="268">
        <v>24</v>
      </c>
      <c r="V83" s="268">
        <f>$A$41*1.7</f>
        <v>45.276059199999999</v>
      </c>
    </row>
    <row r="84" spans="1:22" x14ac:dyDescent="0.2">
      <c r="A84" s="260" t="s">
        <v>205</v>
      </c>
      <c r="B84" s="261">
        <v>10</v>
      </c>
      <c r="C84" s="262"/>
      <c r="D84" s="262"/>
      <c r="E84" s="268">
        <v>25</v>
      </c>
      <c r="F84" s="268">
        <f>$A$41*1.77</f>
        <v>47.140367519999998</v>
      </c>
      <c r="G84" s="268">
        <v>24</v>
      </c>
      <c r="H84" s="268">
        <f>$A$41*1.77</f>
        <v>47.140367519999998</v>
      </c>
      <c r="I84" s="262"/>
      <c r="J84" s="262"/>
      <c r="K84" s="262"/>
      <c r="L84" s="262"/>
      <c r="M84" s="268"/>
      <c r="N84" s="268"/>
      <c r="O84" s="268"/>
      <c r="P84" s="268"/>
      <c r="Q84" s="262"/>
      <c r="R84" s="262"/>
      <c r="S84" s="268">
        <v>24</v>
      </c>
      <c r="T84" s="268">
        <f>$A$41*1.77</f>
        <v>47.140367519999998</v>
      </c>
      <c r="U84" s="268">
        <v>24</v>
      </c>
      <c r="V84" s="268">
        <f>$A$41*1.77</f>
        <v>47.140367519999998</v>
      </c>
    </row>
    <row r="85" spans="1:22" x14ac:dyDescent="0.2">
      <c r="A85" s="260" t="s">
        <v>205</v>
      </c>
      <c r="B85" s="261">
        <v>10.5</v>
      </c>
      <c r="C85" s="262"/>
      <c r="D85" s="262"/>
      <c r="E85" s="268">
        <v>25</v>
      </c>
      <c r="F85" s="268">
        <f>$A$41*1.85</f>
        <v>49.271005600000002</v>
      </c>
      <c r="G85" s="268">
        <v>24</v>
      </c>
      <c r="H85" s="268">
        <f>$A$41*1.85</f>
        <v>49.271005600000002</v>
      </c>
      <c r="I85" s="262"/>
      <c r="J85" s="262"/>
      <c r="K85" s="262"/>
      <c r="L85" s="262"/>
      <c r="M85" s="268"/>
      <c r="N85" s="268"/>
      <c r="O85" s="268"/>
      <c r="P85" s="268"/>
      <c r="Q85" s="262"/>
      <c r="R85" s="262"/>
      <c r="S85" s="268">
        <v>24</v>
      </c>
      <c r="T85" s="268">
        <f>$A$41*1.85</f>
        <v>49.271005600000002</v>
      </c>
      <c r="U85" s="268">
        <v>24</v>
      </c>
      <c r="V85" s="268">
        <f>$A$41*1.85</f>
        <v>49.271005600000002</v>
      </c>
    </row>
    <row r="86" spans="1:22" x14ac:dyDescent="0.2">
      <c r="A86" s="260" t="s">
        <v>205</v>
      </c>
      <c r="B86" s="261">
        <v>11</v>
      </c>
      <c r="C86" s="262"/>
      <c r="D86" s="262"/>
      <c r="E86" s="268">
        <v>25</v>
      </c>
      <c r="F86" s="268">
        <f>$A$41*1.91</f>
        <v>50.868984159999997</v>
      </c>
      <c r="G86" s="268">
        <v>24</v>
      </c>
      <c r="H86" s="268">
        <f>$A$41*1.91</f>
        <v>50.868984159999997</v>
      </c>
      <c r="I86" s="262"/>
      <c r="J86" s="262"/>
      <c r="K86" s="262"/>
      <c r="L86" s="262"/>
      <c r="M86" s="268"/>
      <c r="N86" s="268"/>
      <c r="O86" s="268"/>
      <c r="P86" s="268"/>
      <c r="Q86" s="262"/>
      <c r="R86" s="262"/>
      <c r="S86" s="268">
        <v>24</v>
      </c>
      <c r="T86" s="268">
        <f>$A$41*1.91</f>
        <v>50.868984159999997</v>
      </c>
      <c r="U86" s="268">
        <v>24</v>
      </c>
      <c r="V86" s="268">
        <f>$A$41*1.91</f>
        <v>50.868984159999997</v>
      </c>
    </row>
    <row r="87" spans="1:22" x14ac:dyDescent="0.2">
      <c r="A87" s="260" t="s">
        <v>205</v>
      </c>
      <c r="B87" s="261">
        <v>11.5</v>
      </c>
      <c r="C87" s="262"/>
      <c r="D87" s="262"/>
      <c r="E87" s="268">
        <v>25</v>
      </c>
      <c r="F87" s="268">
        <f>$A$41*1.95</f>
        <v>51.934303199999995</v>
      </c>
      <c r="G87" s="268">
        <v>24</v>
      </c>
      <c r="H87" s="268">
        <f>$A$41*1.95</f>
        <v>51.934303199999995</v>
      </c>
      <c r="I87" s="262"/>
      <c r="J87" s="262"/>
      <c r="K87" s="262"/>
      <c r="L87" s="262"/>
      <c r="M87" s="268"/>
      <c r="N87" s="268"/>
      <c r="O87" s="268"/>
      <c r="P87" s="268"/>
      <c r="Q87" s="262"/>
      <c r="R87" s="262"/>
      <c r="S87" s="268">
        <v>24</v>
      </c>
      <c r="T87" s="268">
        <f>$A$41*1.95</f>
        <v>51.934303199999995</v>
      </c>
      <c r="U87" s="268">
        <v>24</v>
      </c>
      <c r="V87" s="268">
        <f>$A$41*1.95</f>
        <v>51.934303199999995</v>
      </c>
    </row>
    <row r="88" spans="1:22" x14ac:dyDescent="0.2">
      <c r="A88" s="260" t="s">
        <v>205</v>
      </c>
      <c r="B88" s="261">
        <v>12</v>
      </c>
      <c r="C88" s="262"/>
      <c r="D88" s="262"/>
      <c r="E88" s="268">
        <v>25</v>
      </c>
      <c r="F88" s="268">
        <f>$A$41*2</f>
        <v>53.265951999999999</v>
      </c>
      <c r="G88" s="268">
        <v>24</v>
      </c>
      <c r="H88" s="268">
        <f>$A$41*2</f>
        <v>53.265951999999999</v>
      </c>
      <c r="I88" s="262"/>
      <c r="J88" s="262"/>
      <c r="K88" s="262"/>
      <c r="L88" s="262"/>
      <c r="M88" s="268"/>
      <c r="N88" s="268"/>
      <c r="O88" s="268"/>
      <c r="P88" s="268"/>
      <c r="Q88" s="262"/>
      <c r="R88" s="262"/>
      <c r="S88" s="268">
        <v>24</v>
      </c>
      <c r="T88" s="268">
        <f>$A$41*2</f>
        <v>53.265951999999999</v>
      </c>
      <c r="U88" s="268">
        <v>24</v>
      </c>
      <c r="V88" s="268">
        <f>$A$41*2</f>
        <v>53.265951999999999</v>
      </c>
    </row>
    <row r="89" spans="1:22" x14ac:dyDescent="0.2">
      <c r="A89" s="260" t="s">
        <v>205</v>
      </c>
      <c r="B89" s="261">
        <v>12.5</v>
      </c>
      <c r="C89" s="262"/>
      <c r="D89" s="262"/>
      <c r="E89" s="268">
        <v>25</v>
      </c>
      <c r="F89" s="268">
        <f>$A$41*2</f>
        <v>53.265951999999999</v>
      </c>
      <c r="G89" s="268">
        <v>24</v>
      </c>
      <c r="H89" s="268">
        <f>$A$41*2.05</f>
        <v>54.597600799999995</v>
      </c>
      <c r="I89" s="262"/>
      <c r="J89" s="262"/>
      <c r="K89" s="262"/>
      <c r="L89" s="262"/>
      <c r="M89" s="268"/>
      <c r="N89" s="268"/>
      <c r="O89" s="268"/>
      <c r="P89" s="268"/>
      <c r="Q89" s="262"/>
      <c r="R89" s="262"/>
      <c r="S89" s="268">
        <v>24</v>
      </c>
      <c r="T89" s="268">
        <f>$A$41*2.05</f>
        <v>54.597600799999995</v>
      </c>
      <c r="U89" s="268">
        <v>24</v>
      </c>
      <c r="V89" s="268">
        <f>$A$41*2.05</f>
        <v>54.597600799999995</v>
      </c>
    </row>
    <row r="90" spans="1:22" x14ac:dyDescent="0.2">
      <c r="A90" s="260" t="s">
        <v>205</v>
      </c>
      <c r="B90" s="261">
        <v>13</v>
      </c>
      <c r="C90" s="262"/>
      <c r="D90" s="262"/>
      <c r="E90" s="268">
        <v>25</v>
      </c>
      <c r="F90" s="268">
        <f t="shared" ref="F90:F95" si="0">$A$41*2</f>
        <v>53.265951999999999</v>
      </c>
      <c r="G90" s="268">
        <v>24</v>
      </c>
      <c r="H90" s="268">
        <f>$A$41*2.09</f>
        <v>55.662919839999994</v>
      </c>
      <c r="I90" s="262"/>
      <c r="J90" s="262"/>
      <c r="K90" s="262"/>
      <c r="L90" s="262"/>
      <c r="M90" s="268"/>
      <c r="N90" s="268"/>
      <c r="O90" s="268"/>
      <c r="P90" s="268"/>
      <c r="Q90" s="262"/>
      <c r="R90" s="262"/>
      <c r="S90" s="268">
        <v>24</v>
      </c>
      <c r="T90" s="268">
        <f>$A$41*2.09</f>
        <v>55.662919839999994</v>
      </c>
      <c r="U90" s="268">
        <v>24</v>
      </c>
      <c r="V90" s="268">
        <f>$A$41*2.09</f>
        <v>55.662919839999994</v>
      </c>
    </row>
    <row r="91" spans="1:22" x14ac:dyDescent="0.2">
      <c r="A91" s="260" t="s">
        <v>205</v>
      </c>
      <c r="B91" s="261">
        <v>13.5</v>
      </c>
      <c r="C91" s="262"/>
      <c r="D91" s="262"/>
      <c r="E91" s="268">
        <v>25</v>
      </c>
      <c r="F91" s="268">
        <f t="shared" si="0"/>
        <v>53.265951999999999</v>
      </c>
      <c r="G91" s="268">
        <v>24</v>
      </c>
      <c r="H91" s="268">
        <f>$A$41*2.13</f>
        <v>56.728238879999999</v>
      </c>
      <c r="I91" s="262"/>
      <c r="J91" s="262"/>
      <c r="K91" s="262"/>
      <c r="L91" s="262"/>
      <c r="M91" s="268"/>
      <c r="N91" s="268"/>
      <c r="O91" s="268"/>
      <c r="P91" s="268"/>
      <c r="Q91" s="262"/>
      <c r="R91" s="262"/>
      <c r="S91" s="268">
        <v>24</v>
      </c>
      <c r="T91" s="268">
        <f>$A$41*2.13</f>
        <v>56.728238879999999</v>
      </c>
      <c r="U91" s="268">
        <v>24</v>
      </c>
      <c r="V91" s="268">
        <f>$A$41*2.13</f>
        <v>56.728238879999999</v>
      </c>
    </row>
    <row r="92" spans="1:22" x14ac:dyDescent="0.2">
      <c r="A92" s="260" t="s">
        <v>205</v>
      </c>
      <c r="B92" s="261">
        <v>14</v>
      </c>
      <c r="C92" s="262"/>
      <c r="D92" s="262"/>
      <c r="E92" s="268">
        <v>25</v>
      </c>
      <c r="F92" s="268">
        <f t="shared" si="0"/>
        <v>53.265951999999999</v>
      </c>
      <c r="G92" s="268">
        <v>24</v>
      </c>
      <c r="H92" s="268">
        <f>$A$41*2.17</f>
        <v>57.793557919999998</v>
      </c>
      <c r="I92" s="262"/>
      <c r="J92" s="262"/>
      <c r="K92" s="262"/>
      <c r="L92" s="262"/>
      <c r="M92" s="268"/>
      <c r="N92" s="268"/>
      <c r="O92" s="268"/>
      <c r="P92" s="268"/>
      <c r="Q92" s="262"/>
      <c r="R92" s="262"/>
      <c r="S92" s="268">
        <v>24</v>
      </c>
      <c r="T92" s="268">
        <f>$A$41*2.17</f>
        <v>57.793557919999998</v>
      </c>
      <c r="U92" s="268">
        <v>24</v>
      </c>
      <c r="V92" s="268">
        <f>$A$41*2.17</f>
        <v>57.793557919999998</v>
      </c>
    </row>
    <row r="93" spans="1:22" x14ac:dyDescent="0.2">
      <c r="A93" s="260" t="s">
        <v>205</v>
      </c>
      <c r="B93" s="261">
        <v>14.5</v>
      </c>
      <c r="C93" s="262"/>
      <c r="D93" s="262"/>
      <c r="E93" s="268">
        <v>25</v>
      </c>
      <c r="F93" s="268">
        <f t="shared" si="0"/>
        <v>53.265951999999999</v>
      </c>
      <c r="G93" s="268">
        <v>24</v>
      </c>
      <c r="H93" s="268">
        <f>$A$41*2.2</f>
        <v>58.592547200000006</v>
      </c>
      <c r="I93" s="262"/>
      <c r="J93" s="262"/>
      <c r="K93" s="262"/>
      <c r="L93" s="262"/>
      <c r="M93" s="268"/>
      <c r="N93" s="268"/>
      <c r="O93" s="268"/>
      <c r="P93" s="268"/>
      <c r="Q93" s="262"/>
      <c r="R93" s="262"/>
      <c r="S93" s="268">
        <v>24</v>
      </c>
      <c r="T93" s="268">
        <f>$A$41*2.2</f>
        <v>58.592547200000006</v>
      </c>
      <c r="U93" s="268">
        <v>24</v>
      </c>
      <c r="V93" s="268">
        <f>$A$41*2.2</f>
        <v>58.592547200000006</v>
      </c>
    </row>
    <row r="94" spans="1:22" x14ac:dyDescent="0.2">
      <c r="A94" s="260" t="s">
        <v>205</v>
      </c>
      <c r="B94" s="261">
        <v>15</v>
      </c>
      <c r="C94" s="262"/>
      <c r="D94" s="262"/>
      <c r="E94" s="268">
        <v>25</v>
      </c>
      <c r="F94" s="268">
        <f t="shared" si="0"/>
        <v>53.265951999999999</v>
      </c>
      <c r="G94" s="268">
        <v>24</v>
      </c>
      <c r="H94" s="268">
        <f>$A$41*2.23</f>
        <v>59.391536479999999</v>
      </c>
      <c r="I94" s="262"/>
      <c r="J94" s="262"/>
      <c r="K94" s="262"/>
      <c r="L94" s="262"/>
      <c r="M94" s="268"/>
      <c r="N94" s="268"/>
      <c r="O94" s="268"/>
      <c r="P94" s="268"/>
      <c r="Q94" s="262"/>
      <c r="R94" s="262"/>
      <c r="S94" s="268">
        <v>24</v>
      </c>
      <c r="T94" s="268">
        <f>$A$41*2.23</f>
        <v>59.391536479999999</v>
      </c>
      <c r="U94" s="268">
        <v>24</v>
      </c>
      <c r="V94" s="268">
        <f>$A$41*2.23</f>
        <v>59.391536479999999</v>
      </c>
    </row>
    <row r="95" spans="1:22" x14ac:dyDescent="0.2">
      <c r="A95" s="264" t="s">
        <v>205</v>
      </c>
      <c r="B95" s="265">
        <v>100</v>
      </c>
      <c r="C95" s="266"/>
      <c r="D95" s="266"/>
      <c r="E95" s="270">
        <v>25</v>
      </c>
      <c r="F95" s="270">
        <f t="shared" si="0"/>
        <v>53.265951999999999</v>
      </c>
      <c r="G95" s="270">
        <v>24</v>
      </c>
      <c r="H95" s="270">
        <f>$A$41*2.23</f>
        <v>59.391536479999999</v>
      </c>
      <c r="I95" s="266"/>
      <c r="J95" s="266"/>
      <c r="K95" s="266"/>
      <c r="L95" s="266"/>
      <c r="M95" s="270"/>
      <c r="N95" s="270"/>
      <c r="O95" s="270"/>
      <c r="P95" s="270"/>
      <c r="Q95" s="266"/>
      <c r="R95" s="266"/>
      <c r="S95" s="270">
        <v>24</v>
      </c>
      <c r="T95" s="270">
        <f>$A$41*2.23</f>
        <v>59.391536479999999</v>
      </c>
      <c r="U95" s="270">
        <v>24</v>
      </c>
      <c r="V95" s="270">
        <f>$A$41*2.23</f>
        <v>59.391536479999999</v>
      </c>
    </row>
  </sheetData>
  <mergeCells count="10">
    <mergeCell ref="S40:T40"/>
    <mergeCell ref="U40:V40"/>
    <mergeCell ref="Q40:R40"/>
    <mergeCell ref="O40:P40"/>
    <mergeCell ref="C40:D40"/>
    <mergeCell ref="E40:F40"/>
    <mergeCell ref="G40:H40"/>
    <mergeCell ref="I40:J40"/>
    <mergeCell ref="K40:L40"/>
    <mergeCell ref="M40:N4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X147"/>
  <sheetViews>
    <sheetView workbookViewId="0">
      <pane ySplit="10" topLeftCell="A26" activePane="bottomLeft" state="frozen"/>
      <selection pane="bottomLeft" activeCell="I19" sqref="I19"/>
    </sheetView>
  </sheetViews>
  <sheetFormatPr defaultRowHeight="12.75" x14ac:dyDescent="0.2"/>
  <cols>
    <col min="1" max="1" width="22.85546875" bestFit="1" customWidth="1"/>
    <col min="2" max="2" width="6.7109375" bestFit="1" customWidth="1"/>
    <col min="3" max="3" width="8.5703125" bestFit="1" customWidth="1"/>
    <col min="4" max="4" width="13.28515625" bestFit="1" customWidth="1"/>
    <col min="5" max="5" width="13.140625" bestFit="1" customWidth="1"/>
    <col min="6" max="6" width="14.42578125" bestFit="1" customWidth="1"/>
    <col min="7" max="7" width="29.28515625" customWidth="1"/>
    <col min="8" max="8" width="19.5703125" bestFit="1" customWidth="1"/>
    <col min="9" max="9" width="9.140625" bestFit="1" customWidth="1"/>
    <col min="10" max="10" width="10" bestFit="1" customWidth="1"/>
    <col min="11" max="11" width="15.5703125" style="1" bestFit="1" customWidth="1"/>
    <col min="12" max="12" width="12.85546875" bestFit="1" customWidth="1"/>
    <col min="13" max="13" width="12.7109375" bestFit="1" customWidth="1"/>
    <col min="14" max="14" width="12.140625" customWidth="1"/>
    <col min="15" max="15" width="6.42578125" customWidth="1"/>
    <col min="16" max="16" width="6" customWidth="1"/>
    <col min="17" max="17" width="6.7109375" customWidth="1"/>
    <col min="18" max="18" width="6.85546875" customWidth="1"/>
    <col min="19" max="19" width="5.85546875" customWidth="1"/>
    <col min="20" max="20" width="7.42578125" customWidth="1"/>
    <col min="21" max="21" width="4.42578125" customWidth="1"/>
    <col min="22" max="22" width="4.7109375" customWidth="1"/>
  </cols>
  <sheetData>
    <row r="1" spans="1:24" x14ac:dyDescent="0.2">
      <c r="A1" s="1">
        <v>1</v>
      </c>
      <c r="B1" s="1">
        <v>2</v>
      </c>
      <c r="C1" s="1">
        <v>3</v>
      </c>
      <c r="D1" s="1">
        <v>4</v>
      </c>
      <c r="E1" s="1">
        <v>5</v>
      </c>
      <c r="F1" s="1">
        <v>6</v>
      </c>
      <c r="G1" s="1">
        <v>7</v>
      </c>
      <c r="H1" s="1">
        <v>8</v>
      </c>
      <c r="I1" s="1">
        <v>9</v>
      </c>
      <c r="J1" s="1">
        <v>10</v>
      </c>
      <c r="K1" s="1">
        <v>11</v>
      </c>
      <c r="L1" s="1">
        <v>12</v>
      </c>
      <c r="M1" s="1">
        <v>13</v>
      </c>
    </row>
    <row r="2" spans="1:24" x14ac:dyDescent="0.2">
      <c r="E2" s="50" t="s">
        <v>142</v>
      </c>
      <c r="F2" s="51"/>
    </row>
    <row r="3" spans="1:24" x14ac:dyDescent="0.2">
      <c r="E3" s="50" t="s">
        <v>143</v>
      </c>
      <c r="F3" s="51"/>
    </row>
    <row r="4" spans="1:24" ht="13.5" thickBot="1" x14ac:dyDescent="0.25">
      <c r="E4" s="50" t="s">
        <v>145</v>
      </c>
      <c r="F4" s="51" t="s">
        <v>147</v>
      </c>
    </row>
    <row r="5" spans="1:24" ht="13.5" thickBot="1" x14ac:dyDescent="0.25">
      <c r="C5" s="29" t="s">
        <v>64</v>
      </c>
      <c r="E5" s="50" t="s">
        <v>145</v>
      </c>
      <c r="F5" s="51" t="s">
        <v>148</v>
      </c>
      <c r="G5" s="109" t="s">
        <v>225</v>
      </c>
    </row>
    <row r="6" spans="1:24" x14ac:dyDescent="0.2">
      <c r="E6" s="50" t="s">
        <v>145</v>
      </c>
      <c r="F6" s="51" t="s">
        <v>149</v>
      </c>
    </row>
    <row r="7" spans="1:24" x14ac:dyDescent="0.2">
      <c r="E7" s="53" t="s">
        <v>67</v>
      </c>
      <c r="F7" s="51" t="s">
        <v>154</v>
      </c>
    </row>
    <row r="8" spans="1:24" x14ac:dyDescent="0.2">
      <c r="E8" s="50" t="s">
        <v>204</v>
      </c>
    </row>
    <row r="9" spans="1:24" ht="13.5" thickBot="1" x14ac:dyDescent="0.25"/>
    <row r="10" spans="1:24" ht="76.5" x14ac:dyDescent="0.2">
      <c r="A10" s="295" t="s">
        <v>4</v>
      </c>
      <c r="B10" s="296" t="s">
        <v>5</v>
      </c>
      <c r="C10" s="296" t="s">
        <v>6</v>
      </c>
      <c r="D10" s="296" t="s">
        <v>7</v>
      </c>
      <c r="E10" s="290" t="s">
        <v>8</v>
      </c>
      <c r="F10" s="291" t="s">
        <v>9</v>
      </c>
      <c r="G10" s="297" t="s">
        <v>10</v>
      </c>
      <c r="H10" s="296" t="s">
        <v>10</v>
      </c>
      <c r="I10" s="297" t="s">
        <v>11</v>
      </c>
      <c r="J10" s="298"/>
      <c r="K10" s="304" t="s">
        <v>12</v>
      </c>
      <c r="L10" s="299" t="s">
        <v>13</v>
      </c>
      <c r="M10" s="300" t="s">
        <v>14</v>
      </c>
      <c r="N10" t="s">
        <v>180</v>
      </c>
      <c r="O10" s="301" t="s">
        <v>183</v>
      </c>
      <c r="P10" s="301" t="s">
        <v>184</v>
      </c>
      <c r="Q10" s="301" t="s">
        <v>185</v>
      </c>
      <c r="R10" s="302" t="s">
        <v>186</v>
      </c>
      <c r="S10" s="303" t="s">
        <v>183</v>
      </c>
      <c r="T10" s="303" t="s">
        <v>184</v>
      </c>
      <c r="U10" s="303" t="s">
        <v>185</v>
      </c>
      <c r="V10" s="302" t="s">
        <v>186</v>
      </c>
    </row>
    <row r="11" spans="1:24" s="31" customFormat="1" ht="13.5" customHeight="1" x14ac:dyDescent="0.2">
      <c r="A11" s="13"/>
      <c r="B11" s="13"/>
      <c r="D11" s="13"/>
      <c r="E11" s="50"/>
      <c r="F11" s="51"/>
      <c r="G11" s="13"/>
      <c r="H11" s="13"/>
      <c r="I11" s="416" t="s">
        <v>20</v>
      </c>
      <c r="K11" s="13"/>
      <c r="L11" s="329"/>
      <c r="M11" s="417"/>
      <c r="N11" s="414"/>
      <c r="O11" s="415"/>
      <c r="P11" s="415"/>
      <c r="Q11" s="415"/>
      <c r="R11" s="310"/>
      <c r="S11" s="414"/>
      <c r="T11" s="310"/>
      <c r="U11" s="310"/>
      <c r="V11" s="309"/>
      <c r="W11" s="310"/>
      <c r="X11" s="310"/>
    </row>
    <row r="12" spans="1:24" s="31" customFormat="1" ht="13.5" customHeight="1" x14ac:dyDescent="0.2">
      <c r="A12" s="13"/>
      <c r="B12" s="13"/>
      <c r="D12" s="13"/>
      <c r="E12" s="50"/>
      <c r="F12" s="51"/>
      <c r="G12" s="13"/>
      <c r="H12" s="13"/>
      <c r="I12" s="416" t="s">
        <v>20</v>
      </c>
      <c r="K12" s="13"/>
      <c r="L12" s="329"/>
      <c r="M12" s="417"/>
      <c r="N12" s="414"/>
      <c r="O12" s="415"/>
      <c r="P12" s="415"/>
      <c r="Q12" s="415"/>
      <c r="R12" s="310"/>
      <c r="S12" s="414"/>
      <c r="T12" s="310"/>
      <c r="U12" s="310"/>
      <c r="V12" s="309"/>
      <c r="W12" s="310"/>
      <c r="X12" s="310"/>
    </row>
    <row r="13" spans="1:24" s="31" customFormat="1" ht="13.5" customHeight="1" x14ac:dyDescent="0.2">
      <c r="A13" s="13"/>
      <c r="B13" s="13"/>
      <c r="D13" s="13"/>
      <c r="E13" s="50"/>
      <c r="F13" s="51"/>
      <c r="G13" s="13"/>
      <c r="H13" s="13"/>
      <c r="I13" s="416" t="s">
        <v>20</v>
      </c>
      <c r="K13" s="13"/>
      <c r="L13" s="329"/>
      <c r="M13" s="417"/>
      <c r="N13" s="414"/>
      <c r="O13" s="415"/>
      <c r="P13" s="415"/>
      <c r="Q13" s="415"/>
      <c r="R13" s="310"/>
      <c r="S13" s="414"/>
      <c r="T13" s="310"/>
      <c r="U13" s="310"/>
      <c r="V13" s="309"/>
      <c r="W13" s="310"/>
      <c r="X13" s="310"/>
    </row>
    <row r="14" spans="1:24" s="31" customFormat="1" ht="13.5" customHeight="1" x14ac:dyDescent="0.2">
      <c r="A14" s="13"/>
      <c r="B14" s="13"/>
      <c r="D14" s="13"/>
      <c r="E14" s="50"/>
      <c r="F14" s="51"/>
      <c r="G14" s="13"/>
      <c r="H14" s="13"/>
      <c r="I14" s="416" t="s">
        <v>20</v>
      </c>
      <c r="K14" s="13"/>
      <c r="L14" s="329"/>
      <c r="M14" s="417"/>
      <c r="N14" s="414"/>
      <c r="O14" s="415"/>
      <c r="P14" s="415"/>
      <c r="Q14" s="415"/>
      <c r="R14" s="310"/>
      <c r="S14" s="414"/>
      <c r="T14" s="310"/>
      <c r="U14" s="310"/>
      <c r="V14" s="309"/>
      <c r="W14" s="310"/>
      <c r="X14" s="310"/>
    </row>
    <row r="15" spans="1:24" s="31" customFormat="1" ht="13.5" customHeight="1" x14ac:dyDescent="0.2">
      <c r="A15" s="13"/>
      <c r="B15" s="13"/>
      <c r="D15" s="13"/>
      <c r="E15" s="50"/>
      <c r="F15" s="51"/>
      <c r="G15" s="13"/>
      <c r="H15" s="13"/>
      <c r="I15" s="416" t="s">
        <v>20</v>
      </c>
      <c r="K15" s="13"/>
      <c r="L15" s="329"/>
      <c r="M15" s="417"/>
      <c r="N15" s="414"/>
      <c r="O15" s="415"/>
      <c r="P15" s="415"/>
      <c r="Q15" s="415"/>
      <c r="R15" s="310"/>
      <c r="S15" s="414"/>
      <c r="T15" s="310"/>
      <c r="U15" s="310"/>
      <c r="V15" s="309"/>
      <c r="W15" s="310"/>
      <c r="X15" s="310"/>
    </row>
    <row r="16" spans="1:24" s="31" customFormat="1" ht="13.5" customHeight="1" x14ac:dyDescent="0.2">
      <c r="A16" s="13"/>
      <c r="B16" s="13"/>
      <c r="D16" s="13"/>
      <c r="E16" s="50"/>
      <c r="F16" s="51"/>
      <c r="G16" s="13"/>
      <c r="H16" s="13"/>
      <c r="I16" s="416" t="s">
        <v>20</v>
      </c>
      <c r="K16" s="13"/>
      <c r="L16" s="329"/>
      <c r="M16" s="417"/>
      <c r="N16" s="414"/>
      <c r="O16" s="415"/>
      <c r="P16" s="415"/>
      <c r="Q16" s="415"/>
      <c r="R16" s="310"/>
      <c r="S16" s="414"/>
      <c r="T16" s="310"/>
      <c r="U16" s="310"/>
      <c r="V16" s="309"/>
      <c r="W16" s="310"/>
      <c r="X16" s="310"/>
    </row>
    <row r="17" spans="1:24" s="31" customFormat="1" ht="13.5" customHeight="1" x14ac:dyDescent="0.2">
      <c r="A17" s="13"/>
      <c r="B17" s="13"/>
      <c r="D17" s="13"/>
      <c r="E17" s="50"/>
      <c r="F17" s="51"/>
      <c r="G17" s="13"/>
      <c r="H17" s="13"/>
      <c r="I17" s="416" t="s">
        <v>20</v>
      </c>
      <c r="K17" s="13"/>
      <c r="L17" s="329"/>
      <c r="M17" s="417"/>
      <c r="N17" s="414"/>
      <c r="O17" s="415"/>
      <c r="P17" s="415"/>
      <c r="Q17" s="415"/>
      <c r="R17" s="310"/>
      <c r="S17" s="414"/>
      <c r="T17" s="310"/>
      <c r="U17" s="310"/>
      <c r="V17" s="309"/>
      <c r="W17" s="310"/>
      <c r="X17" s="310"/>
    </row>
    <row r="18" spans="1:24" s="31" customFormat="1" ht="13.5" customHeight="1" x14ac:dyDescent="0.2">
      <c r="A18" s="13"/>
      <c r="B18" s="13"/>
      <c r="D18" s="13"/>
      <c r="E18" s="50"/>
      <c r="F18" s="51"/>
      <c r="G18" s="13"/>
      <c r="H18" s="13"/>
      <c r="I18" s="416" t="s">
        <v>20</v>
      </c>
      <c r="K18" s="13"/>
      <c r="L18" s="329"/>
      <c r="M18" s="417"/>
      <c r="N18" s="414"/>
      <c r="O18" s="415"/>
      <c r="P18" s="415"/>
      <c r="Q18" s="415"/>
      <c r="R18" s="310"/>
      <c r="S18" s="414"/>
      <c r="T18" s="310"/>
      <c r="U18" s="310"/>
      <c r="V18" s="309"/>
      <c r="W18" s="310"/>
      <c r="X18" s="310"/>
    </row>
    <row r="19" spans="1:24" s="31" customFormat="1" ht="13.5" customHeight="1" x14ac:dyDescent="0.2">
      <c r="A19" s="13"/>
      <c r="B19" s="13"/>
      <c r="D19" s="13"/>
      <c r="E19" s="50"/>
      <c r="F19" s="51"/>
      <c r="G19" s="13"/>
      <c r="H19" s="13"/>
      <c r="I19" s="416" t="s">
        <v>20</v>
      </c>
      <c r="K19" s="13"/>
      <c r="L19" s="329"/>
      <c r="M19" s="417"/>
      <c r="N19" s="414"/>
      <c r="O19" s="415"/>
      <c r="P19" s="415"/>
      <c r="Q19" s="415"/>
      <c r="R19" s="310"/>
      <c r="S19" s="414"/>
      <c r="T19" s="310"/>
      <c r="U19" s="310"/>
      <c r="V19" s="309"/>
      <c r="W19" s="310"/>
      <c r="X19" s="310"/>
    </row>
    <row r="20" spans="1:24" s="31" customFormat="1" ht="13.5" customHeight="1" x14ac:dyDescent="0.2">
      <c r="A20" s="13"/>
      <c r="B20" s="13"/>
      <c r="D20" s="13"/>
      <c r="E20" s="50"/>
      <c r="F20" s="51"/>
      <c r="G20" s="13"/>
      <c r="H20" s="13"/>
      <c r="I20" s="416" t="s">
        <v>20</v>
      </c>
      <c r="K20" s="13"/>
      <c r="L20" s="329"/>
      <c r="M20" s="417"/>
      <c r="N20" s="414"/>
      <c r="O20" s="415"/>
      <c r="P20" s="415"/>
      <c r="Q20" s="415"/>
      <c r="R20" s="310"/>
      <c r="S20" s="414"/>
      <c r="T20" s="310"/>
      <c r="U20" s="310"/>
      <c r="V20" s="309"/>
      <c r="W20" s="310"/>
      <c r="X20" s="310"/>
    </row>
    <row r="21" spans="1:24" s="31" customFormat="1" ht="13.5" customHeight="1" x14ac:dyDescent="0.2">
      <c r="A21" s="13"/>
      <c r="B21" s="13"/>
      <c r="D21" s="13"/>
      <c r="E21" s="50"/>
      <c r="F21" s="51"/>
      <c r="G21" s="13"/>
      <c r="H21" s="13"/>
      <c r="I21" s="416" t="s">
        <v>20</v>
      </c>
      <c r="K21" s="13"/>
      <c r="L21" s="329"/>
      <c r="M21" s="417"/>
      <c r="N21" s="414"/>
      <c r="O21" s="415"/>
      <c r="P21" s="415"/>
      <c r="Q21" s="415"/>
      <c r="R21" s="310"/>
      <c r="S21" s="414"/>
      <c r="T21" s="310"/>
      <c r="U21" s="310"/>
      <c r="V21" s="309"/>
      <c r="W21" s="310"/>
      <c r="X21" s="310"/>
    </row>
    <row r="22" spans="1:24" s="31" customFormat="1" ht="13.5" customHeight="1" x14ac:dyDescent="0.2">
      <c r="A22" s="13"/>
      <c r="B22" s="13"/>
      <c r="D22" s="13"/>
      <c r="E22" s="50"/>
      <c r="F22" s="51"/>
      <c r="G22" s="13"/>
      <c r="H22" s="13"/>
      <c r="I22" s="416" t="s">
        <v>20</v>
      </c>
      <c r="K22" s="13"/>
      <c r="L22" s="329"/>
      <c r="M22" s="417"/>
      <c r="N22" s="414"/>
      <c r="O22" s="415"/>
      <c r="P22" s="415"/>
      <c r="Q22" s="415"/>
      <c r="R22" s="310"/>
      <c r="S22" s="414"/>
      <c r="T22" s="310"/>
      <c r="U22" s="310"/>
      <c r="V22" s="309"/>
      <c r="W22" s="310"/>
      <c r="X22" s="310"/>
    </row>
    <row r="23" spans="1:24" s="31" customFormat="1" ht="13.5" customHeight="1" x14ac:dyDescent="0.2">
      <c r="A23" s="13"/>
      <c r="B23" s="13"/>
      <c r="D23" s="13"/>
      <c r="E23" s="50"/>
      <c r="F23" s="51"/>
      <c r="G23" s="13"/>
      <c r="H23" s="13"/>
      <c r="I23" s="416" t="s">
        <v>20</v>
      </c>
      <c r="K23" s="13"/>
      <c r="L23" s="329"/>
      <c r="M23" s="417"/>
      <c r="N23" s="414"/>
      <c r="O23" s="415"/>
      <c r="P23" s="415"/>
      <c r="Q23" s="415"/>
      <c r="R23" s="310"/>
      <c r="S23" s="414"/>
      <c r="T23" s="310"/>
      <c r="U23" s="310"/>
      <c r="V23" s="309"/>
      <c r="W23" s="310"/>
      <c r="X23" s="310"/>
    </row>
    <row r="24" spans="1:24" s="31" customFormat="1" ht="13.5" customHeight="1" x14ac:dyDescent="0.2">
      <c r="A24" s="13"/>
      <c r="B24" s="13"/>
      <c r="D24" s="13"/>
      <c r="E24" s="50"/>
      <c r="F24" s="51"/>
      <c r="G24" s="13"/>
      <c r="H24" s="13"/>
      <c r="I24" s="416" t="s">
        <v>20</v>
      </c>
      <c r="K24" s="13"/>
      <c r="L24" s="329"/>
      <c r="M24" s="417"/>
      <c r="N24" s="414"/>
      <c r="O24" s="415"/>
      <c r="P24" s="415"/>
      <c r="Q24" s="415"/>
      <c r="R24" s="310"/>
      <c r="S24" s="414"/>
      <c r="T24" s="310"/>
      <c r="U24" s="310"/>
      <c r="V24" s="309"/>
      <c r="W24" s="310"/>
      <c r="X24" s="310"/>
    </row>
    <row r="25" spans="1:24" s="31" customFormat="1" ht="13.5" customHeight="1" x14ac:dyDescent="0.2">
      <c r="A25" s="13"/>
      <c r="B25" s="13"/>
      <c r="D25" s="13"/>
      <c r="E25" s="50"/>
      <c r="F25" s="51"/>
      <c r="G25" s="13"/>
      <c r="H25" s="13"/>
      <c r="I25" s="416" t="s">
        <v>20</v>
      </c>
      <c r="K25" s="13"/>
      <c r="L25" s="329"/>
      <c r="M25" s="417"/>
      <c r="N25" s="414"/>
      <c r="O25" s="415"/>
      <c r="P25" s="415"/>
      <c r="Q25" s="415"/>
      <c r="R25" s="310"/>
      <c r="S25" s="414"/>
      <c r="T25" s="310"/>
      <c r="U25" s="310"/>
      <c r="V25" s="309"/>
      <c r="W25" s="310"/>
      <c r="X25" s="310"/>
    </row>
    <row r="26" spans="1:24" s="31" customFormat="1" ht="13.5" customHeight="1" x14ac:dyDescent="0.2">
      <c r="A26" s="13"/>
      <c r="B26" s="13"/>
      <c r="D26" s="13"/>
      <c r="E26" s="50"/>
      <c r="F26" s="51"/>
      <c r="G26" s="13"/>
      <c r="H26" s="13"/>
      <c r="I26" s="416" t="s">
        <v>20</v>
      </c>
      <c r="K26" s="13"/>
      <c r="L26" s="329"/>
      <c r="M26" s="417"/>
      <c r="N26" s="414"/>
      <c r="O26" s="415"/>
      <c r="P26" s="415"/>
      <c r="Q26" s="415"/>
      <c r="R26" s="310"/>
      <c r="S26" s="414"/>
      <c r="T26" s="310"/>
      <c r="U26" s="310"/>
      <c r="V26" s="309"/>
      <c r="W26" s="310"/>
      <c r="X26" s="310"/>
    </row>
    <row r="27" spans="1:24" s="31" customFormat="1" ht="13.5" customHeight="1" x14ac:dyDescent="0.25">
      <c r="A27" s="13"/>
      <c r="B27" s="327"/>
      <c r="C27" s="310"/>
      <c r="D27" s="310"/>
      <c r="E27" s="50"/>
      <c r="G27" s="13"/>
      <c r="H27" s="13"/>
      <c r="I27" s="416" t="s">
        <v>20</v>
      </c>
      <c r="K27" s="328"/>
      <c r="L27" s="329"/>
      <c r="M27" s="417"/>
      <c r="N27" s="414"/>
      <c r="O27" s="415"/>
      <c r="P27" s="415"/>
      <c r="Q27" s="415"/>
      <c r="R27" s="310"/>
      <c r="S27" s="414"/>
      <c r="T27" s="310"/>
      <c r="U27" s="310"/>
      <c r="V27" s="309"/>
      <c r="W27" s="310"/>
      <c r="X27" s="310"/>
    </row>
    <row r="28" spans="1:24" s="305" customFormat="1" ht="13.5" customHeight="1" x14ac:dyDescent="0.25">
      <c r="A28" s="13"/>
      <c r="B28" s="327"/>
      <c r="C28" s="310"/>
      <c r="D28" s="310"/>
      <c r="E28" s="50"/>
      <c r="F28" s="31"/>
      <c r="G28" s="13"/>
      <c r="H28" s="13"/>
      <c r="I28" s="416" t="s">
        <v>20</v>
      </c>
      <c r="J28" s="31"/>
      <c r="K28" s="328"/>
      <c r="L28" s="329"/>
      <c r="M28" s="417"/>
      <c r="N28" s="414"/>
      <c r="O28" s="415"/>
      <c r="P28" s="415"/>
      <c r="Q28" s="415"/>
      <c r="R28" s="310"/>
      <c r="S28" s="414"/>
      <c r="T28" s="310"/>
      <c r="U28" s="310"/>
      <c r="V28" s="309"/>
      <c r="W28" s="310"/>
      <c r="X28" s="310"/>
    </row>
    <row r="29" spans="1:24" s="305" customFormat="1" ht="15" x14ac:dyDescent="0.25">
      <c r="A29" s="277"/>
      <c r="B29" s="327"/>
      <c r="C29" s="310"/>
      <c r="D29" s="310"/>
      <c r="E29" s="50"/>
      <c r="F29" s="51"/>
      <c r="G29" s="13"/>
      <c r="H29" s="315"/>
      <c r="I29" s="416" t="s">
        <v>20</v>
      </c>
      <c r="J29" s="31"/>
      <c r="K29" s="328"/>
      <c r="L29" s="329"/>
      <c r="M29" s="417"/>
      <c r="N29" s="31"/>
      <c r="O29" s="31"/>
      <c r="P29" s="31"/>
      <c r="Q29" s="31"/>
      <c r="R29" s="31"/>
      <c r="S29" s="31"/>
      <c r="T29" s="31"/>
      <c r="U29" s="31"/>
      <c r="V29" s="31"/>
      <c r="W29" s="31"/>
      <c r="X29" s="31"/>
    </row>
    <row r="30" spans="1:24" s="197" customFormat="1" ht="15" x14ac:dyDescent="0.25">
      <c r="A30" s="313"/>
      <c r="B30" s="327"/>
      <c r="C30" s="310"/>
      <c r="D30" s="310"/>
      <c r="E30" s="118"/>
      <c r="F30" s="31"/>
      <c r="G30" s="315"/>
      <c r="H30" s="315"/>
      <c r="I30" s="314" t="s">
        <v>20</v>
      </c>
      <c r="J30" s="31"/>
      <c r="K30" s="328"/>
      <c r="L30" s="329"/>
      <c r="M30" s="306"/>
      <c r="N30" s="31"/>
      <c r="O30" s="31"/>
      <c r="P30" s="31"/>
      <c r="Q30" s="31"/>
      <c r="R30" s="31"/>
      <c r="S30" s="31"/>
      <c r="T30" s="31"/>
      <c r="U30" s="31"/>
      <c r="V30" s="31"/>
      <c r="W30" s="31"/>
      <c r="X30" s="31"/>
    </row>
    <row r="31" spans="1:24" s="197" customFormat="1" ht="15" x14ac:dyDescent="0.25">
      <c r="A31" s="313"/>
      <c r="B31" s="13"/>
      <c r="C31" s="31"/>
      <c r="D31" s="31"/>
      <c r="E31" s="118"/>
      <c r="F31" s="31"/>
      <c r="G31" s="315"/>
      <c r="H31" s="13"/>
      <c r="I31" s="314" t="s">
        <v>20</v>
      </c>
      <c r="J31" s="31"/>
      <c r="K31" s="328"/>
      <c r="L31" s="306"/>
      <c r="M31" s="306"/>
      <c r="N31" s="31"/>
      <c r="O31" s="31"/>
      <c r="P31" s="31"/>
      <c r="Q31" s="31"/>
      <c r="R31" s="31"/>
      <c r="S31" s="31"/>
      <c r="T31" s="31"/>
      <c r="U31" s="31"/>
      <c r="V31" s="31"/>
      <c r="W31" s="31"/>
      <c r="X31" s="31"/>
    </row>
    <row r="32" spans="1:24" s="413" customFormat="1" ht="15" x14ac:dyDescent="0.25">
      <c r="A32" s="110"/>
      <c r="B32" s="66"/>
      <c r="C32" s="323"/>
      <c r="D32" s="323"/>
      <c r="E32" s="50"/>
      <c r="F32" s="4"/>
      <c r="G32" s="411"/>
      <c r="H32" s="66"/>
      <c r="I32" s="412" t="s">
        <v>20</v>
      </c>
      <c r="J32" s="323"/>
      <c r="K32" s="316"/>
      <c r="L32" s="326"/>
      <c r="M32" s="326"/>
      <c r="N32" s="323"/>
      <c r="O32" s="323"/>
      <c r="P32" s="323"/>
      <c r="Q32" s="323"/>
      <c r="R32" s="323"/>
      <c r="S32" s="323"/>
      <c r="T32" s="323"/>
      <c r="U32" s="323"/>
      <c r="V32" s="323"/>
      <c r="W32" s="323"/>
      <c r="X32" s="323"/>
    </row>
    <row r="33" spans="1:24" s="197" customFormat="1" ht="15" x14ac:dyDescent="0.25">
      <c r="A33" s="313"/>
      <c r="B33" s="13"/>
      <c r="C33" s="31"/>
      <c r="D33" s="31"/>
      <c r="E33" s="50"/>
      <c r="F33" s="4"/>
      <c r="G33" s="315"/>
      <c r="H33" s="13"/>
      <c r="I33" s="314" t="s">
        <v>20</v>
      </c>
      <c r="J33" s="31"/>
      <c r="K33" s="316"/>
      <c r="L33" s="306"/>
      <c r="N33" s="31"/>
      <c r="O33" s="31"/>
      <c r="P33" s="31"/>
      <c r="Q33" s="31"/>
      <c r="R33" s="31"/>
      <c r="S33" s="31"/>
      <c r="T33" s="31"/>
      <c r="U33" s="31"/>
      <c r="V33" s="31"/>
      <c r="W33" s="31"/>
      <c r="X33" s="31"/>
    </row>
    <row r="34" spans="1:24" s="197" customFormat="1" ht="15" x14ac:dyDescent="0.25">
      <c r="A34" s="313"/>
      <c r="B34" s="13"/>
      <c r="C34" s="31"/>
      <c r="D34" s="31"/>
      <c r="E34" s="50"/>
      <c r="F34" s="4"/>
      <c r="G34" s="315"/>
      <c r="H34" s="13"/>
      <c r="I34" s="314" t="s">
        <v>20</v>
      </c>
      <c r="J34" s="31"/>
      <c r="K34" s="316"/>
      <c r="L34" s="306"/>
      <c r="N34" s="31"/>
      <c r="O34" s="31"/>
      <c r="P34" s="31"/>
      <c r="Q34" s="31"/>
      <c r="R34" s="31"/>
      <c r="S34" s="31"/>
      <c r="T34" s="31"/>
      <c r="U34" s="31"/>
      <c r="V34" s="31"/>
      <c r="W34" s="31"/>
      <c r="X34" s="31"/>
    </row>
    <row r="35" spans="1:24" s="197" customFormat="1" ht="15" x14ac:dyDescent="0.25">
      <c r="A35" s="313"/>
      <c r="B35" s="13"/>
      <c r="C35" s="31"/>
      <c r="D35" s="31"/>
      <c r="E35" s="50"/>
      <c r="F35" s="4"/>
      <c r="G35" s="315"/>
      <c r="H35" s="13"/>
      <c r="I35" s="314" t="s">
        <v>20</v>
      </c>
      <c r="J35" s="31"/>
      <c r="K35" s="316"/>
      <c r="L35" s="31"/>
      <c r="N35" s="31"/>
      <c r="O35" s="31"/>
      <c r="P35" s="31"/>
      <c r="Q35" s="31"/>
      <c r="R35" s="31"/>
      <c r="S35" s="31"/>
      <c r="T35" s="31"/>
      <c r="U35" s="31"/>
      <c r="V35" s="31"/>
      <c r="W35" s="31"/>
      <c r="X35" s="31"/>
    </row>
    <row r="36" spans="1:24" s="197" customFormat="1" ht="15" x14ac:dyDescent="0.25">
      <c r="A36" s="313"/>
      <c r="B36" s="13"/>
      <c r="C36" s="31"/>
      <c r="D36" s="31"/>
      <c r="E36" s="50"/>
      <c r="F36" s="4"/>
      <c r="G36" s="315"/>
      <c r="H36" s="13"/>
      <c r="I36" s="314" t="s">
        <v>20</v>
      </c>
      <c r="J36" s="31"/>
      <c r="K36" s="316"/>
      <c r="L36" s="31"/>
      <c r="N36" s="31"/>
      <c r="O36" s="31"/>
      <c r="P36" s="31"/>
      <c r="Q36" s="31"/>
      <c r="R36" s="31"/>
      <c r="S36" s="31"/>
      <c r="T36" s="31"/>
      <c r="U36" s="31"/>
      <c r="V36" s="31"/>
      <c r="W36" s="31"/>
      <c r="X36" s="31"/>
    </row>
    <row r="37" spans="1:24" s="197" customFormat="1" ht="14.25" customHeight="1" x14ac:dyDescent="0.25">
      <c r="A37" s="313"/>
      <c r="B37" s="13"/>
      <c r="C37" s="31"/>
      <c r="D37" s="31"/>
      <c r="E37" s="50"/>
      <c r="F37" s="4"/>
      <c r="G37" s="315"/>
      <c r="H37" s="13"/>
      <c r="I37" s="314" t="s">
        <v>20</v>
      </c>
      <c r="J37" s="31"/>
      <c r="K37" s="316"/>
      <c r="L37" s="31"/>
      <c r="N37" s="31"/>
      <c r="O37" s="31"/>
      <c r="P37" s="31"/>
      <c r="Q37" s="31"/>
      <c r="R37" s="31"/>
      <c r="S37" s="31"/>
      <c r="T37" s="31"/>
      <c r="U37" s="31"/>
      <c r="V37" s="31"/>
      <c r="W37" s="31"/>
      <c r="X37" s="31"/>
    </row>
    <row r="38" spans="1:24" s="197" customFormat="1" ht="15" x14ac:dyDescent="0.25">
      <c r="A38" s="313"/>
      <c r="B38" s="13"/>
      <c r="C38" s="31"/>
      <c r="D38" s="31"/>
      <c r="E38" s="50"/>
      <c r="F38" s="4"/>
      <c r="G38" s="315"/>
      <c r="H38" s="13"/>
      <c r="I38" s="314" t="s">
        <v>20</v>
      </c>
      <c r="J38" s="31"/>
      <c r="K38" s="316"/>
      <c r="L38" s="31"/>
      <c r="N38" s="31"/>
      <c r="O38" s="31"/>
      <c r="P38" s="31"/>
      <c r="Q38" s="31"/>
      <c r="R38" s="31"/>
      <c r="S38" s="31"/>
      <c r="T38" s="31"/>
      <c r="U38" s="31"/>
      <c r="V38" s="31"/>
      <c r="W38" s="31"/>
      <c r="X38" s="31"/>
    </row>
    <row r="39" spans="1:24" s="197" customFormat="1" ht="15" x14ac:dyDescent="0.25">
      <c r="A39" s="313"/>
      <c r="B39" s="13"/>
      <c r="C39" s="31"/>
      <c r="D39" s="31"/>
      <c r="E39" s="50"/>
      <c r="F39" s="4"/>
      <c r="G39" s="315"/>
      <c r="H39" s="13"/>
      <c r="I39" s="314" t="s">
        <v>20</v>
      </c>
      <c r="J39" s="31"/>
      <c r="K39" s="316"/>
      <c r="L39" s="31"/>
      <c r="N39" s="31"/>
      <c r="O39" s="31"/>
      <c r="P39" s="31"/>
      <c r="Q39" s="31"/>
      <c r="R39" s="31"/>
      <c r="S39" s="31"/>
      <c r="T39" s="31"/>
      <c r="U39" s="31"/>
      <c r="V39" s="31"/>
      <c r="W39" s="31"/>
      <c r="X39" s="31"/>
    </row>
    <row r="40" spans="1:24" s="197" customFormat="1" ht="15" x14ac:dyDescent="0.25">
      <c r="A40" s="313"/>
      <c r="B40" s="13"/>
      <c r="C40" s="31"/>
      <c r="D40" s="31"/>
      <c r="E40" s="50"/>
      <c r="F40" s="4"/>
      <c r="G40" s="315"/>
      <c r="H40" s="13"/>
      <c r="I40" s="314" t="s">
        <v>20</v>
      </c>
      <c r="J40" s="31"/>
      <c r="K40" s="316"/>
      <c r="L40" s="31"/>
      <c r="N40" s="31"/>
      <c r="O40" s="31"/>
      <c r="P40" s="31"/>
      <c r="Q40" s="31"/>
      <c r="R40" s="31"/>
      <c r="S40" s="31"/>
      <c r="T40" s="31"/>
      <c r="U40" s="31"/>
      <c r="V40" s="31"/>
      <c r="W40" s="31"/>
      <c r="X40" s="31"/>
    </row>
    <row r="41" spans="1:24" s="197" customFormat="1" ht="15" x14ac:dyDescent="0.25">
      <c r="A41" s="313"/>
      <c r="B41" s="13"/>
      <c r="C41" s="31"/>
      <c r="D41" s="31"/>
      <c r="E41" s="50"/>
      <c r="F41" s="4"/>
      <c r="G41" s="315"/>
      <c r="H41" s="13"/>
      <c r="I41" s="314" t="s">
        <v>20</v>
      </c>
      <c r="J41" s="31"/>
      <c r="K41" s="316"/>
      <c r="L41" s="31"/>
      <c r="N41" s="31"/>
      <c r="O41" s="31"/>
      <c r="P41" s="31"/>
      <c r="Q41" s="31"/>
      <c r="R41" s="31"/>
      <c r="S41" s="31"/>
      <c r="T41" s="31"/>
      <c r="U41" s="31"/>
      <c r="V41" s="31"/>
      <c r="W41" s="31"/>
      <c r="X41" s="31"/>
    </row>
    <row r="42" spans="1:24" s="197" customFormat="1" ht="15" x14ac:dyDescent="0.25">
      <c r="A42" s="313"/>
      <c r="B42" s="13"/>
      <c r="C42" s="31"/>
      <c r="D42" s="31"/>
      <c r="E42" s="50"/>
      <c r="F42" s="4"/>
      <c r="G42" s="315"/>
      <c r="H42" s="13"/>
      <c r="I42" s="314" t="s">
        <v>20</v>
      </c>
      <c r="J42" s="31"/>
      <c r="K42" s="316"/>
      <c r="L42" s="31"/>
      <c r="N42" s="31"/>
      <c r="O42" s="31"/>
      <c r="P42" s="31"/>
      <c r="Q42" s="31"/>
      <c r="R42" s="31"/>
      <c r="S42" s="31"/>
      <c r="T42" s="31"/>
      <c r="U42" s="31"/>
      <c r="V42" s="31"/>
      <c r="W42" s="31"/>
      <c r="X42" s="31"/>
    </row>
    <row r="43" spans="1:24" s="197" customFormat="1" ht="15" x14ac:dyDescent="0.25">
      <c r="A43" s="313"/>
      <c r="B43" s="13"/>
      <c r="C43" s="31"/>
      <c r="D43" s="31"/>
      <c r="E43" s="50"/>
      <c r="F43" s="4"/>
      <c r="G43" s="315"/>
      <c r="H43" s="13"/>
      <c r="I43" s="314" t="s">
        <v>20</v>
      </c>
      <c r="J43" s="31"/>
      <c r="K43" s="316"/>
      <c r="L43" s="31"/>
      <c r="N43" s="31"/>
      <c r="O43" s="31"/>
      <c r="P43" s="31"/>
      <c r="Q43" s="31"/>
      <c r="R43" s="31"/>
      <c r="S43" s="31"/>
      <c r="T43" s="31"/>
      <c r="U43" s="31"/>
      <c r="V43" s="31"/>
      <c r="W43" s="31"/>
      <c r="X43" s="31"/>
    </row>
    <row r="44" spans="1:24" s="197" customFormat="1" ht="15" x14ac:dyDescent="0.25">
      <c r="A44" s="313"/>
      <c r="B44" s="13"/>
      <c r="C44" s="31"/>
      <c r="D44" s="31"/>
      <c r="E44" s="50"/>
      <c r="F44" s="4"/>
      <c r="G44" s="315"/>
      <c r="H44" s="13"/>
      <c r="I44" s="314" t="s">
        <v>20</v>
      </c>
      <c r="J44" s="31"/>
      <c r="K44" s="316"/>
      <c r="L44" s="31"/>
      <c r="N44" s="31"/>
      <c r="O44" s="31"/>
      <c r="P44" s="31"/>
      <c r="Q44" s="31"/>
      <c r="R44" s="31"/>
      <c r="S44" s="31"/>
      <c r="T44" s="31"/>
      <c r="U44" s="31"/>
      <c r="V44" s="31"/>
      <c r="W44" s="31"/>
      <c r="X44" s="31"/>
    </row>
    <row r="45" spans="1:24" s="197" customFormat="1" ht="15" x14ac:dyDescent="0.25">
      <c r="A45" s="313"/>
      <c r="B45" s="13"/>
      <c r="C45" s="31"/>
      <c r="D45" s="31"/>
      <c r="E45" s="50"/>
      <c r="F45" s="4"/>
      <c r="G45" s="315"/>
      <c r="H45" s="13"/>
      <c r="I45" s="314" t="s">
        <v>20</v>
      </c>
      <c r="J45" s="31"/>
      <c r="K45" s="316"/>
      <c r="L45" s="31"/>
      <c r="M45" s="306"/>
      <c r="N45" s="31"/>
      <c r="O45" s="31"/>
      <c r="P45" s="31"/>
      <c r="Q45" s="31"/>
      <c r="R45" s="31"/>
      <c r="S45" s="31"/>
      <c r="T45" s="31"/>
      <c r="U45" s="31"/>
      <c r="V45" s="31"/>
      <c r="W45" s="31"/>
      <c r="X45" s="31"/>
    </row>
    <row r="46" spans="1:24" s="197" customFormat="1" ht="15" x14ac:dyDescent="0.25">
      <c r="A46" s="313"/>
      <c r="B46" s="13"/>
      <c r="C46" s="31"/>
      <c r="D46" s="31"/>
      <c r="E46" s="50"/>
      <c r="F46" s="4"/>
      <c r="G46" s="315"/>
      <c r="H46" s="13"/>
      <c r="I46" s="314" t="s">
        <v>20</v>
      </c>
      <c r="J46" s="31"/>
      <c r="K46" s="316"/>
      <c r="L46" s="31"/>
      <c r="M46" s="306"/>
      <c r="N46" s="31"/>
      <c r="O46" s="31"/>
      <c r="P46" s="31"/>
      <c r="Q46" s="31"/>
      <c r="R46" s="31"/>
      <c r="S46" s="31"/>
      <c r="T46" s="31"/>
      <c r="U46" s="31"/>
      <c r="V46" s="31"/>
      <c r="W46" s="31"/>
      <c r="X46" s="31"/>
    </row>
    <row r="47" spans="1:24" s="197" customFormat="1" ht="15" x14ac:dyDescent="0.25">
      <c r="A47" s="313"/>
      <c r="B47" s="13"/>
      <c r="C47" s="31"/>
      <c r="D47" s="31"/>
      <c r="E47" s="50"/>
      <c r="F47" s="4"/>
      <c r="G47" s="315"/>
      <c r="H47" s="13"/>
      <c r="I47" s="314" t="s">
        <v>20</v>
      </c>
      <c r="J47" s="31"/>
      <c r="K47" s="316"/>
      <c r="L47" s="31"/>
      <c r="M47" s="306"/>
      <c r="N47" s="31"/>
      <c r="O47" s="31"/>
      <c r="P47" s="31"/>
      <c r="Q47" s="31"/>
      <c r="R47" s="31"/>
      <c r="S47" s="31"/>
      <c r="T47" s="31"/>
      <c r="U47" s="31"/>
      <c r="V47" s="31"/>
      <c r="W47" s="31"/>
      <c r="X47" s="31"/>
    </row>
    <row r="48" spans="1:24" s="197" customFormat="1" ht="15" x14ac:dyDescent="0.25">
      <c r="A48" s="313"/>
      <c r="B48" s="13"/>
      <c r="C48" s="31"/>
      <c r="D48" s="31"/>
      <c r="E48" s="50"/>
      <c r="F48" s="4"/>
      <c r="G48" s="315"/>
      <c r="H48" s="13"/>
      <c r="I48" s="314" t="s">
        <v>20</v>
      </c>
      <c r="J48" s="31"/>
      <c r="K48" s="316"/>
      <c r="L48" s="31"/>
      <c r="M48" s="306"/>
      <c r="N48" s="31"/>
      <c r="O48" s="31"/>
      <c r="P48" s="31"/>
      <c r="Q48" s="31"/>
      <c r="R48" s="31"/>
      <c r="S48" s="31"/>
      <c r="T48" s="31"/>
      <c r="U48" s="31"/>
      <c r="V48" s="31"/>
      <c r="W48" s="31"/>
      <c r="X48" s="31"/>
    </row>
    <row r="49" spans="1:24" s="197" customFormat="1" ht="15" x14ac:dyDescent="0.25">
      <c r="A49" s="313"/>
      <c r="B49" s="13"/>
      <c r="C49" s="31"/>
      <c r="D49" s="31"/>
      <c r="E49" s="50"/>
      <c r="F49" s="4"/>
      <c r="G49" s="315"/>
      <c r="H49" s="13"/>
      <c r="I49" s="314" t="s">
        <v>20</v>
      </c>
      <c r="J49" s="31"/>
      <c r="K49" s="316"/>
      <c r="L49" s="31"/>
      <c r="M49" s="306"/>
      <c r="N49" s="31"/>
      <c r="O49" s="31"/>
      <c r="P49" s="31"/>
      <c r="Q49" s="31"/>
      <c r="R49" s="31"/>
      <c r="S49" s="31"/>
      <c r="T49" s="31"/>
      <c r="U49" s="31"/>
      <c r="V49" s="31"/>
      <c r="W49" s="31"/>
      <c r="X49" s="31"/>
    </row>
    <row r="50" spans="1:24" s="197" customFormat="1" ht="15" x14ac:dyDescent="0.25">
      <c r="A50" s="313"/>
      <c r="B50" s="13"/>
      <c r="C50" s="31"/>
      <c r="D50" s="31"/>
      <c r="E50" s="50"/>
      <c r="F50" s="4"/>
      <c r="G50" s="315"/>
      <c r="H50" s="13"/>
      <c r="I50" s="314" t="s">
        <v>20</v>
      </c>
      <c r="J50" s="31"/>
      <c r="K50" s="316"/>
      <c r="L50" s="31"/>
      <c r="M50" s="306"/>
      <c r="N50" s="31"/>
      <c r="O50" s="31"/>
      <c r="P50" s="31"/>
      <c r="Q50" s="31"/>
      <c r="R50" s="31"/>
      <c r="S50" s="31"/>
      <c r="T50" s="31"/>
      <c r="U50" s="31"/>
      <c r="V50" s="31"/>
      <c r="W50" s="31"/>
      <c r="X50" s="31"/>
    </row>
    <row r="51" spans="1:24" s="197" customFormat="1" ht="15" x14ac:dyDescent="0.25">
      <c r="A51" s="313"/>
      <c r="B51" s="13"/>
      <c r="C51" s="31"/>
      <c r="D51" s="31"/>
      <c r="E51" s="50"/>
      <c r="F51" s="4"/>
      <c r="G51" s="315"/>
      <c r="H51" s="13"/>
      <c r="I51" s="314" t="s">
        <v>20</v>
      </c>
      <c r="J51" s="31"/>
      <c r="K51" s="316"/>
      <c r="L51" s="31"/>
      <c r="M51" s="306"/>
      <c r="N51" s="31"/>
      <c r="O51" s="31"/>
      <c r="P51" s="31"/>
      <c r="Q51" s="31"/>
      <c r="R51" s="31"/>
      <c r="S51" s="31"/>
      <c r="T51" s="31"/>
      <c r="U51" s="31"/>
      <c r="V51" s="31"/>
      <c r="W51" s="31"/>
      <c r="X51" s="31"/>
    </row>
    <row r="52" spans="1:24" s="197" customFormat="1" ht="15" x14ac:dyDescent="0.25">
      <c r="A52" s="313"/>
      <c r="B52" s="13"/>
      <c r="C52" s="31"/>
      <c r="D52" s="31"/>
      <c r="E52" s="50"/>
      <c r="F52" s="4"/>
      <c r="G52" s="315"/>
      <c r="H52" s="13"/>
      <c r="I52" s="314" t="s">
        <v>20</v>
      </c>
      <c r="J52" s="31"/>
      <c r="K52" s="316"/>
      <c r="L52" s="31"/>
      <c r="M52" s="306"/>
      <c r="N52" s="31"/>
      <c r="O52" s="31"/>
      <c r="P52" s="31"/>
      <c r="Q52" s="31"/>
      <c r="R52" s="31"/>
      <c r="S52" s="31"/>
      <c r="T52" s="31"/>
      <c r="U52" s="31"/>
      <c r="V52" s="31"/>
      <c r="W52" s="31"/>
      <c r="X52" s="31"/>
    </row>
    <row r="53" spans="1:24" s="197" customFormat="1" ht="15" x14ac:dyDescent="0.25">
      <c r="A53" s="313"/>
      <c r="B53" s="13"/>
      <c r="C53" s="31"/>
      <c r="D53" s="31"/>
      <c r="E53" s="50"/>
      <c r="F53" s="4"/>
      <c r="G53" s="315"/>
      <c r="H53" s="13"/>
      <c r="I53" s="314" t="s">
        <v>20</v>
      </c>
      <c r="J53" s="31"/>
      <c r="K53" s="316"/>
      <c r="L53" s="31"/>
      <c r="M53" s="306"/>
      <c r="N53" s="31"/>
      <c r="O53" s="31"/>
      <c r="P53" s="31"/>
      <c r="Q53" s="31"/>
      <c r="R53" s="31"/>
      <c r="S53" s="31"/>
      <c r="T53" s="31"/>
      <c r="U53" s="31"/>
      <c r="V53" s="31"/>
      <c r="W53" s="31"/>
      <c r="X53" s="31"/>
    </row>
    <row r="54" spans="1:24" s="197" customFormat="1" ht="15" x14ac:dyDescent="0.25">
      <c r="A54" s="313"/>
      <c r="B54" s="13"/>
      <c r="C54" s="31"/>
      <c r="D54" s="31"/>
      <c r="E54" s="50"/>
      <c r="F54" s="4"/>
      <c r="G54" s="315"/>
      <c r="H54" s="13"/>
      <c r="I54" s="314" t="s">
        <v>20</v>
      </c>
      <c r="J54" s="31"/>
      <c r="K54" s="316"/>
      <c r="L54" s="31"/>
      <c r="M54" s="306"/>
      <c r="N54" s="31"/>
      <c r="O54" s="31"/>
      <c r="P54" s="31"/>
      <c r="Q54" s="31"/>
      <c r="R54" s="31"/>
      <c r="S54" s="31"/>
      <c r="T54" s="31"/>
      <c r="U54" s="31"/>
      <c r="V54" s="31"/>
      <c r="W54" s="31"/>
      <c r="X54" s="31"/>
    </row>
    <row r="55" spans="1:24" s="197" customFormat="1" ht="15" x14ac:dyDescent="0.25">
      <c r="A55" s="313"/>
      <c r="B55" s="13"/>
      <c r="C55" s="31"/>
      <c r="D55" s="31"/>
      <c r="E55" s="50"/>
      <c r="F55" s="4"/>
      <c r="G55" s="315"/>
      <c r="H55" s="13"/>
      <c r="I55" s="314" t="s">
        <v>20</v>
      </c>
      <c r="J55" s="31"/>
      <c r="K55" s="316"/>
      <c r="L55" s="31"/>
      <c r="M55" s="306"/>
      <c r="N55" s="31"/>
      <c r="O55" s="31"/>
      <c r="P55" s="31"/>
      <c r="Q55" s="31"/>
      <c r="R55" s="31"/>
      <c r="S55" s="31"/>
      <c r="T55" s="31"/>
      <c r="U55" s="31"/>
      <c r="V55" s="31"/>
      <c r="W55" s="31"/>
      <c r="X55" s="31"/>
    </row>
    <row r="56" spans="1:24" s="197" customFormat="1" ht="15" x14ac:dyDescent="0.25">
      <c r="A56" s="313"/>
      <c r="B56" s="13"/>
      <c r="C56" s="31"/>
      <c r="D56" s="31"/>
      <c r="E56" s="50"/>
      <c r="F56" s="4"/>
      <c r="G56" s="315"/>
      <c r="H56" s="13"/>
      <c r="I56" s="314" t="s">
        <v>20</v>
      </c>
      <c r="J56" s="31"/>
      <c r="K56" s="316"/>
      <c r="L56" s="31"/>
      <c r="M56" s="306"/>
      <c r="N56" s="31"/>
      <c r="O56" s="31"/>
      <c r="P56" s="31"/>
      <c r="Q56" s="31"/>
      <c r="R56" s="31"/>
      <c r="S56" s="31"/>
      <c r="T56" s="31"/>
      <c r="U56" s="31"/>
      <c r="V56" s="31"/>
      <c r="W56" s="31"/>
      <c r="X56" s="31"/>
    </row>
    <row r="57" spans="1:24" s="197" customFormat="1" ht="15" x14ac:dyDescent="0.25">
      <c r="A57" s="313"/>
      <c r="B57" s="13"/>
      <c r="C57" s="31"/>
      <c r="D57" s="31"/>
      <c r="E57" s="50"/>
      <c r="F57" s="4"/>
      <c r="G57" s="315"/>
      <c r="H57" s="13"/>
      <c r="I57" s="314" t="s">
        <v>20</v>
      </c>
      <c r="J57" s="31"/>
      <c r="K57" s="316"/>
      <c r="L57" s="31"/>
      <c r="M57" s="306"/>
      <c r="N57" s="31"/>
      <c r="O57" s="31"/>
      <c r="P57" s="31"/>
      <c r="Q57" s="31"/>
      <c r="R57" s="31"/>
      <c r="S57" s="31"/>
      <c r="T57" s="31"/>
      <c r="U57" s="31"/>
      <c r="V57" s="31"/>
      <c r="W57" s="31"/>
      <c r="X57" s="31"/>
    </row>
    <row r="58" spans="1:24" s="197" customFormat="1" ht="15" x14ac:dyDescent="0.25">
      <c r="A58" s="313"/>
      <c r="B58" s="13"/>
      <c r="C58" s="31"/>
      <c r="D58" s="31"/>
      <c r="E58" s="50"/>
      <c r="F58" s="4"/>
      <c r="G58" s="315"/>
      <c r="H58" s="13"/>
      <c r="I58" s="314" t="s">
        <v>20</v>
      </c>
      <c r="J58" s="31"/>
      <c r="K58" s="316"/>
      <c r="L58" s="31"/>
      <c r="M58" s="306"/>
      <c r="N58" s="31"/>
      <c r="O58" s="31"/>
      <c r="P58" s="31"/>
      <c r="Q58" s="31"/>
      <c r="R58" s="31"/>
      <c r="S58" s="31"/>
      <c r="T58" s="31"/>
      <c r="U58" s="31"/>
      <c r="V58" s="31"/>
      <c r="W58" s="31"/>
      <c r="X58" s="31"/>
    </row>
    <row r="59" spans="1:24" s="197" customFormat="1" ht="15" x14ac:dyDescent="0.25">
      <c r="A59" s="313"/>
      <c r="B59" s="13"/>
      <c r="C59" s="31"/>
      <c r="D59" s="31"/>
      <c r="E59" s="50"/>
      <c r="F59" s="4"/>
      <c r="G59" s="315"/>
      <c r="H59" s="13"/>
      <c r="I59" s="314" t="s">
        <v>20</v>
      </c>
      <c r="J59" s="31"/>
      <c r="K59" s="316"/>
      <c r="L59" s="31"/>
      <c r="M59" s="306"/>
      <c r="N59" s="31"/>
      <c r="O59" s="31"/>
      <c r="P59" s="31"/>
      <c r="Q59" s="31"/>
      <c r="R59" s="31"/>
      <c r="S59" s="31"/>
      <c r="T59" s="31"/>
      <c r="U59" s="31"/>
      <c r="V59" s="31"/>
      <c r="W59" s="31"/>
      <c r="X59" s="31"/>
    </row>
    <row r="60" spans="1:24" s="197" customFormat="1" ht="15" x14ac:dyDescent="0.25">
      <c r="A60" s="313"/>
      <c r="B60" s="13"/>
      <c r="C60" s="31"/>
      <c r="D60" s="31"/>
      <c r="E60" s="50"/>
      <c r="F60" s="4"/>
      <c r="G60" s="315"/>
      <c r="H60" s="13"/>
      <c r="I60" s="314" t="s">
        <v>20</v>
      </c>
      <c r="J60" s="31"/>
      <c r="K60" s="316"/>
      <c r="L60" s="31"/>
      <c r="M60" s="306"/>
      <c r="N60" s="31"/>
      <c r="O60" s="31"/>
      <c r="P60" s="31"/>
      <c r="Q60" s="31"/>
      <c r="R60" s="31"/>
      <c r="S60" s="31"/>
      <c r="T60" s="31"/>
      <c r="U60" s="31"/>
      <c r="V60" s="31"/>
      <c r="W60" s="31"/>
      <c r="X60" s="31"/>
    </row>
    <row r="61" spans="1:24" s="197" customFormat="1" ht="15" x14ac:dyDescent="0.25">
      <c r="A61" s="313"/>
      <c r="B61" s="13"/>
      <c r="C61" s="31"/>
      <c r="D61" s="31"/>
      <c r="E61" s="50"/>
      <c r="F61" s="4"/>
      <c r="G61" s="315"/>
      <c r="H61" s="13"/>
      <c r="I61" s="314" t="s">
        <v>20</v>
      </c>
      <c r="J61" s="31"/>
      <c r="K61" s="316"/>
      <c r="L61" s="31"/>
      <c r="M61" s="306"/>
      <c r="N61" s="31"/>
      <c r="O61" s="31"/>
      <c r="P61" s="31"/>
      <c r="Q61" s="31"/>
      <c r="R61" s="31"/>
      <c r="S61" s="31"/>
      <c r="T61" s="31"/>
      <c r="U61" s="31"/>
      <c r="V61" s="31"/>
      <c r="W61" s="31"/>
      <c r="X61" s="31"/>
    </row>
    <row r="62" spans="1:24" s="197" customFormat="1" ht="15" x14ac:dyDescent="0.25">
      <c r="A62" s="313"/>
      <c r="B62" s="13"/>
      <c r="C62" s="31"/>
      <c r="D62" s="31"/>
      <c r="E62" s="50"/>
      <c r="F62" s="4"/>
      <c r="G62" s="315"/>
      <c r="H62" s="13"/>
      <c r="I62" s="314" t="s">
        <v>20</v>
      </c>
      <c r="J62" s="31"/>
      <c r="K62" s="316"/>
      <c r="L62" s="31"/>
      <c r="M62" s="306"/>
      <c r="N62" s="31"/>
      <c r="O62" s="31"/>
      <c r="P62" s="31"/>
      <c r="Q62" s="31"/>
      <c r="R62" s="31"/>
      <c r="S62" s="31"/>
      <c r="T62" s="31"/>
      <c r="U62" s="31"/>
      <c r="V62" s="31"/>
      <c r="W62" s="31"/>
      <c r="X62" s="31"/>
    </row>
    <row r="63" spans="1:24" s="197" customFormat="1" ht="15" x14ac:dyDescent="0.25">
      <c r="A63" s="313"/>
      <c r="B63" s="13"/>
      <c r="C63" s="31"/>
      <c r="D63" s="31"/>
      <c r="E63" s="50"/>
      <c r="F63" s="4"/>
      <c r="G63" s="315"/>
      <c r="H63" s="13"/>
      <c r="I63" s="314" t="s">
        <v>20</v>
      </c>
      <c r="J63" s="31"/>
      <c r="K63" s="316"/>
      <c r="L63" s="31"/>
      <c r="M63" s="306"/>
      <c r="N63" s="31"/>
      <c r="O63" s="31"/>
      <c r="P63" s="31"/>
      <c r="Q63" s="31"/>
      <c r="R63" s="31"/>
      <c r="S63" s="31"/>
      <c r="T63" s="31"/>
      <c r="U63" s="31"/>
      <c r="V63" s="31"/>
      <c r="W63" s="31"/>
      <c r="X63" s="31"/>
    </row>
    <row r="64" spans="1:24" s="197" customFormat="1" ht="15" x14ac:dyDescent="0.25">
      <c r="A64" s="313"/>
      <c r="B64" s="13"/>
      <c r="C64" s="31"/>
      <c r="D64" s="31"/>
      <c r="E64" s="50"/>
      <c r="F64" s="4"/>
      <c r="G64" s="315"/>
      <c r="H64" s="13"/>
      <c r="I64" s="314" t="s">
        <v>20</v>
      </c>
      <c r="J64" s="31"/>
      <c r="K64" s="316"/>
      <c r="L64" s="31"/>
      <c r="M64" s="306"/>
      <c r="N64" s="31"/>
      <c r="O64" s="31"/>
      <c r="P64" s="31"/>
      <c r="Q64" s="31"/>
      <c r="R64" s="31"/>
      <c r="S64" s="31"/>
      <c r="T64" s="31"/>
      <c r="U64" s="31"/>
      <c r="V64" s="31"/>
      <c r="W64" s="31"/>
      <c r="X64" s="31"/>
    </row>
    <row r="65" spans="1:24" s="197" customFormat="1" ht="15" x14ac:dyDescent="0.25">
      <c r="A65" s="313"/>
      <c r="B65" s="13"/>
      <c r="C65" s="31"/>
      <c r="D65" s="31"/>
      <c r="E65" s="50"/>
      <c r="F65" s="4"/>
      <c r="G65" s="315"/>
      <c r="H65" s="13"/>
      <c r="I65" s="314" t="s">
        <v>20</v>
      </c>
      <c r="J65" s="31"/>
      <c r="K65" s="316"/>
      <c r="L65" s="31"/>
      <c r="M65" s="306"/>
      <c r="N65" s="31"/>
      <c r="O65" s="31"/>
      <c r="P65" s="31"/>
      <c r="Q65" s="31"/>
      <c r="R65" s="31"/>
      <c r="S65" s="31"/>
      <c r="T65" s="31"/>
      <c r="U65" s="31"/>
      <c r="V65" s="31"/>
      <c r="W65" s="31"/>
      <c r="X65" s="31"/>
    </row>
    <row r="66" spans="1:24" s="197" customFormat="1" ht="15" x14ac:dyDescent="0.25">
      <c r="A66" s="313"/>
      <c r="B66" s="13"/>
      <c r="C66" s="31"/>
      <c r="D66" s="31"/>
      <c r="E66" s="50"/>
      <c r="F66" s="4"/>
      <c r="G66" s="315"/>
      <c r="H66" s="13"/>
      <c r="I66" s="314" t="s">
        <v>20</v>
      </c>
      <c r="J66" s="31"/>
      <c r="K66" s="316"/>
      <c r="L66" s="31"/>
      <c r="M66" s="306"/>
      <c r="N66" s="31"/>
      <c r="O66" s="31"/>
      <c r="P66" s="31"/>
      <c r="Q66" s="31"/>
      <c r="R66" s="31"/>
      <c r="S66" s="31"/>
      <c r="T66" s="31"/>
      <c r="U66" s="31"/>
      <c r="V66" s="31"/>
      <c r="W66" s="31"/>
      <c r="X66" s="31"/>
    </row>
    <row r="67" spans="1:24" s="197" customFormat="1" ht="15" x14ac:dyDescent="0.25">
      <c r="A67" s="313"/>
      <c r="B67" s="13"/>
      <c r="C67" s="31"/>
      <c r="D67" s="31"/>
      <c r="E67" s="50"/>
      <c r="F67" s="4"/>
      <c r="G67" s="315"/>
      <c r="H67" s="13"/>
      <c r="I67" s="314" t="s">
        <v>20</v>
      </c>
      <c r="J67" s="31"/>
      <c r="K67" s="316"/>
      <c r="L67" s="31"/>
      <c r="M67" s="306"/>
      <c r="N67" s="31"/>
      <c r="O67" s="31"/>
      <c r="P67" s="31"/>
      <c r="Q67" s="31"/>
      <c r="R67" s="31"/>
      <c r="S67" s="31"/>
      <c r="T67" s="31"/>
      <c r="U67" s="31"/>
      <c r="V67" s="31"/>
      <c r="W67" s="31"/>
      <c r="X67" s="31"/>
    </row>
    <row r="68" spans="1:24" s="197" customFormat="1" ht="15" x14ac:dyDescent="0.25">
      <c r="A68" s="313"/>
      <c r="B68" s="13"/>
      <c r="C68" s="31"/>
      <c r="D68" s="31"/>
      <c r="E68" s="50"/>
      <c r="F68" s="4"/>
      <c r="G68" s="315"/>
      <c r="H68" s="13"/>
      <c r="I68" s="314" t="s">
        <v>20</v>
      </c>
      <c r="J68" s="31"/>
      <c r="K68" s="316"/>
      <c r="L68" s="31"/>
      <c r="M68" s="306"/>
      <c r="N68" s="31"/>
      <c r="O68" s="31"/>
      <c r="P68" s="31"/>
      <c r="Q68" s="31"/>
      <c r="R68" s="31"/>
      <c r="S68" s="31"/>
      <c r="T68" s="31"/>
      <c r="U68" s="31"/>
      <c r="V68" s="31"/>
      <c r="W68" s="31"/>
      <c r="X68" s="31"/>
    </row>
    <row r="69" spans="1:24" s="197" customFormat="1" ht="15" x14ac:dyDescent="0.25">
      <c r="A69" s="313"/>
      <c r="B69" s="13"/>
      <c r="C69" s="31"/>
      <c r="D69" s="31"/>
      <c r="E69" s="50"/>
      <c r="F69" s="4"/>
      <c r="G69" s="315"/>
      <c r="H69" s="13"/>
      <c r="I69" s="314" t="s">
        <v>20</v>
      </c>
      <c r="J69" s="31"/>
      <c r="K69" s="316"/>
      <c r="L69" s="31"/>
      <c r="M69" s="306"/>
      <c r="N69" s="31"/>
      <c r="O69" s="31"/>
      <c r="P69" s="31"/>
      <c r="Q69" s="31"/>
      <c r="R69" s="31"/>
      <c r="S69" s="31"/>
      <c r="T69" s="31"/>
      <c r="U69" s="31"/>
      <c r="V69" s="31"/>
      <c r="W69" s="31"/>
      <c r="X69" s="31"/>
    </row>
    <row r="70" spans="1:24" s="197" customFormat="1" ht="15" x14ac:dyDescent="0.25">
      <c r="A70" s="313"/>
      <c r="B70" s="13"/>
      <c r="C70" s="31"/>
      <c r="D70" s="31"/>
      <c r="E70" s="50"/>
      <c r="F70" s="4"/>
      <c r="G70" s="315"/>
      <c r="H70" s="13"/>
      <c r="I70" s="314" t="s">
        <v>20</v>
      </c>
      <c r="J70" s="31"/>
      <c r="K70" s="316"/>
      <c r="L70" s="31"/>
      <c r="M70" s="306"/>
      <c r="N70" s="31"/>
      <c r="O70" s="31"/>
      <c r="P70" s="31"/>
      <c r="Q70" s="31"/>
      <c r="R70" s="31"/>
      <c r="S70" s="31"/>
      <c r="T70" s="31"/>
      <c r="U70" s="31"/>
      <c r="V70" s="31"/>
      <c r="W70" s="31"/>
      <c r="X70" s="31"/>
    </row>
    <row r="71" spans="1:24" s="197" customFormat="1" ht="15" x14ac:dyDescent="0.25">
      <c r="A71" s="313"/>
      <c r="B71" s="13"/>
      <c r="C71" s="31"/>
      <c r="D71" s="31"/>
      <c r="E71" s="50"/>
      <c r="F71" s="4"/>
      <c r="G71" s="315"/>
      <c r="H71" s="13"/>
      <c r="I71" s="314" t="s">
        <v>20</v>
      </c>
      <c r="J71" s="31"/>
      <c r="K71" s="316"/>
      <c r="L71" s="31"/>
      <c r="M71" s="306"/>
      <c r="N71" s="31"/>
      <c r="O71" s="31"/>
      <c r="P71" s="31"/>
      <c r="Q71" s="31"/>
      <c r="R71" s="31"/>
      <c r="S71" s="31"/>
      <c r="T71" s="31"/>
      <c r="U71" s="31"/>
      <c r="V71" s="31"/>
      <c r="W71" s="31"/>
      <c r="X71" s="31"/>
    </row>
    <row r="72" spans="1:24" s="197" customFormat="1" ht="15" x14ac:dyDescent="0.25">
      <c r="A72" s="313"/>
      <c r="B72" s="13"/>
      <c r="C72" s="31"/>
      <c r="D72" s="31"/>
      <c r="E72" s="50"/>
      <c r="F72" s="4"/>
      <c r="G72" s="315"/>
      <c r="H72" s="13"/>
      <c r="I72" s="314" t="s">
        <v>20</v>
      </c>
      <c r="J72" s="31"/>
      <c r="K72" s="316"/>
      <c r="L72" s="31"/>
      <c r="M72" s="306"/>
      <c r="N72" s="31"/>
      <c r="O72" s="31"/>
      <c r="P72" s="31"/>
      <c r="Q72" s="31"/>
      <c r="R72" s="31"/>
      <c r="S72" s="31"/>
      <c r="T72" s="31"/>
      <c r="U72" s="31"/>
      <c r="V72" s="31"/>
      <c r="W72" s="31"/>
      <c r="X72" s="31"/>
    </row>
    <row r="73" spans="1:24" s="197" customFormat="1" ht="15" x14ac:dyDescent="0.25">
      <c r="A73" s="313"/>
      <c r="B73" s="13"/>
      <c r="C73" s="31"/>
      <c r="D73" s="31"/>
      <c r="E73" s="50"/>
      <c r="F73" s="4"/>
      <c r="G73" s="315"/>
      <c r="H73" s="13"/>
      <c r="I73" s="314" t="s">
        <v>20</v>
      </c>
      <c r="J73" s="31"/>
      <c r="K73" s="316"/>
      <c r="L73" s="31"/>
      <c r="M73" s="306"/>
      <c r="N73" s="31"/>
      <c r="O73" s="31"/>
      <c r="P73" s="31"/>
      <c r="Q73" s="31"/>
      <c r="R73" s="31"/>
      <c r="S73" s="31"/>
      <c r="T73" s="31"/>
      <c r="U73" s="31"/>
      <c r="V73" s="31"/>
      <c r="W73" s="31"/>
      <c r="X73" s="31"/>
    </row>
    <row r="74" spans="1:24" s="197" customFormat="1" ht="15" x14ac:dyDescent="0.25">
      <c r="A74" s="313"/>
      <c r="B74" s="13"/>
      <c r="C74" s="31"/>
      <c r="D74" s="31"/>
      <c r="E74" s="50"/>
      <c r="F74" s="4"/>
      <c r="G74" s="315"/>
      <c r="H74" s="13"/>
      <c r="I74" s="314" t="s">
        <v>20</v>
      </c>
      <c r="J74" s="31"/>
      <c r="K74" s="316"/>
      <c r="L74" s="31"/>
      <c r="M74" s="306"/>
      <c r="N74" s="31"/>
      <c r="O74" s="31"/>
      <c r="P74" s="31"/>
      <c r="Q74" s="31"/>
      <c r="R74" s="31"/>
      <c r="S74" s="31"/>
      <c r="T74" s="31"/>
      <c r="U74" s="31"/>
      <c r="V74" s="31"/>
      <c r="W74" s="31"/>
      <c r="X74" s="31"/>
    </row>
    <row r="75" spans="1:24" s="197" customFormat="1" ht="15" x14ac:dyDescent="0.25">
      <c r="A75" s="313"/>
      <c r="B75" s="13"/>
      <c r="C75" s="31"/>
      <c r="D75" s="31"/>
      <c r="E75" s="50"/>
      <c r="F75" s="4"/>
      <c r="G75" s="315"/>
      <c r="H75" s="13"/>
      <c r="I75" s="314" t="s">
        <v>20</v>
      </c>
      <c r="J75" s="31"/>
      <c r="K75" s="316"/>
      <c r="L75" s="31"/>
      <c r="M75" s="306"/>
      <c r="N75" s="31"/>
      <c r="O75" s="31"/>
      <c r="P75" s="31"/>
      <c r="Q75" s="31"/>
      <c r="R75" s="31"/>
      <c r="S75" s="31"/>
      <c r="T75" s="31"/>
      <c r="U75" s="31"/>
      <c r="V75" s="31"/>
      <c r="W75" s="31"/>
      <c r="X75" s="31"/>
    </row>
    <row r="76" spans="1:24" s="197" customFormat="1" ht="15" x14ac:dyDescent="0.25">
      <c r="A76" s="313"/>
      <c r="B76" s="13"/>
      <c r="C76" s="31"/>
      <c r="D76" s="31"/>
      <c r="E76" s="50"/>
      <c r="F76" s="4"/>
      <c r="G76" s="315"/>
      <c r="H76" s="13"/>
      <c r="I76" s="314" t="s">
        <v>20</v>
      </c>
      <c r="J76" s="31"/>
      <c r="K76" s="316"/>
      <c r="L76" s="31"/>
      <c r="M76" s="306"/>
      <c r="N76" s="31"/>
      <c r="O76" s="31"/>
      <c r="P76" s="31"/>
      <c r="Q76" s="31"/>
      <c r="R76" s="31"/>
      <c r="S76" s="31"/>
      <c r="T76" s="31"/>
      <c r="U76" s="31"/>
      <c r="V76" s="31"/>
      <c r="W76" s="31"/>
      <c r="X76" s="31"/>
    </row>
    <row r="77" spans="1:24" s="197" customFormat="1" ht="15" x14ac:dyDescent="0.25">
      <c r="A77" s="313"/>
      <c r="B77" s="13"/>
      <c r="C77" s="31"/>
      <c r="D77" s="31"/>
      <c r="E77" s="50"/>
      <c r="F77" s="4"/>
      <c r="G77" s="315"/>
      <c r="H77" s="13"/>
      <c r="I77" s="314" t="s">
        <v>20</v>
      </c>
      <c r="J77" s="31"/>
      <c r="K77" s="316"/>
      <c r="L77" s="31"/>
      <c r="M77" s="306"/>
      <c r="N77" s="31"/>
      <c r="O77" s="31"/>
      <c r="P77" s="31"/>
      <c r="Q77" s="31"/>
      <c r="R77" s="31"/>
      <c r="S77" s="31"/>
      <c r="T77" s="31"/>
      <c r="U77" s="31"/>
      <c r="V77" s="31"/>
      <c r="W77" s="31"/>
      <c r="X77" s="31"/>
    </row>
    <row r="78" spans="1:24" s="197" customFormat="1" ht="15" x14ac:dyDescent="0.25">
      <c r="A78" s="313"/>
      <c r="B78" s="13"/>
      <c r="C78" s="31"/>
      <c r="D78" s="31"/>
      <c r="E78" s="50"/>
      <c r="F78" s="4"/>
      <c r="G78" s="315"/>
      <c r="H78" s="13"/>
      <c r="I78" s="314" t="s">
        <v>20</v>
      </c>
      <c r="J78" s="31"/>
      <c r="K78" s="316"/>
      <c r="L78" s="31"/>
      <c r="M78" s="306"/>
      <c r="N78" s="31"/>
      <c r="O78" s="31"/>
      <c r="P78" s="31"/>
      <c r="Q78" s="31"/>
      <c r="R78" s="31"/>
      <c r="S78" s="31"/>
      <c r="T78" s="31"/>
      <c r="U78" s="31"/>
      <c r="V78" s="31"/>
      <c r="W78" s="31"/>
      <c r="X78" s="31"/>
    </row>
    <row r="79" spans="1:24" s="197" customFormat="1" ht="15" x14ac:dyDescent="0.25">
      <c r="A79" s="313"/>
      <c r="B79" s="13"/>
      <c r="C79" s="31"/>
      <c r="D79" s="31"/>
      <c r="E79" s="50"/>
      <c r="F79" s="4"/>
      <c r="G79" s="315"/>
      <c r="H79" s="13"/>
      <c r="I79" s="314" t="s">
        <v>20</v>
      </c>
      <c r="J79" s="31"/>
      <c r="K79" s="316"/>
      <c r="L79" s="31"/>
      <c r="M79" s="306"/>
      <c r="N79" s="31"/>
      <c r="O79" s="31"/>
      <c r="P79" s="31"/>
      <c r="Q79" s="31"/>
      <c r="R79" s="31"/>
      <c r="S79" s="31"/>
      <c r="T79" s="31"/>
      <c r="U79" s="31"/>
      <c r="V79" s="31"/>
      <c r="W79" s="31"/>
      <c r="X79" s="31"/>
    </row>
    <row r="80" spans="1:24" s="197" customFormat="1" ht="15" x14ac:dyDescent="0.25">
      <c r="A80" s="313"/>
      <c r="B80" s="13"/>
      <c r="C80" s="31"/>
      <c r="D80" s="31"/>
      <c r="E80" s="50"/>
      <c r="F80" s="4"/>
      <c r="G80" s="315"/>
      <c r="H80" s="13"/>
      <c r="I80" s="314" t="s">
        <v>20</v>
      </c>
      <c r="J80" s="31"/>
      <c r="K80" s="316"/>
      <c r="L80" s="31"/>
      <c r="M80" s="306"/>
      <c r="N80" s="31"/>
      <c r="O80" s="31"/>
      <c r="P80" s="31"/>
      <c r="Q80" s="31"/>
      <c r="R80" s="31"/>
      <c r="S80" s="31"/>
      <c r="T80" s="31"/>
      <c r="U80" s="31"/>
      <c r="V80" s="31"/>
      <c r="W80" s="31"/>
      <c r="X80" s="31"/>
    </row>
    <row r="81" spans="1:24" s="197" customFormat="1" ht="15" x14ac:dyDescent="0.25">
      <c r="A81" s="313"/>
      <c r="B81" s="13"/>
      <c r="C81" s="31"/>
      <c r="D81" s="31"/>
      <c r="E81" s="50"/>
      <c r="F81" s="4"/>
      <c r="G81" s="315"/>
      <c r="H81" s="13"/>
      <c r="I81" s="314" t="s">
        <v>20</v>
      </c>
      <c r="J81" s="31"/>
      <c r="K81" s="316"/>
      <c r="L81" s="31"/>
      <c r="M81" s="306"/>
      <c r="N81" s="31"/>
      <c r="O81" s="31"/>
      <c r="P81" s="31"/>
      <c r="Q81" s="31"/>
      <c r="R81" s="31"/>
      <c r="S81" s="31"/>
      <c r="T81" s="31"/>
      <c r="U81" s="31"/>
      <c r="V81" s="31"/>
      <c r="W81" s="31"/>
      <c r="X81" s="31"/>
    </row>
    <row r="82" spans="1:24" s="197" customFormat="1" ht="15" x14ac:dyDescent="0.25">
      <c r="A82" s="313"/>
      <c r="B82" s="13"/>
      <c r="C82" s="31"/>
      <c r="D82" s="31"/>
      <c r="E82" s="50"/>
      <c r="F82" s="4"/>
      <c r="G82" s="315"/>
      <c r="H82" s="13"/>
      <c r="I82" s="314" t="s">
        <v>20</v>
      </c>
      <c r="J82" s="31"/>
      <c r="K82" s="316"/>
      <c r="L82" s="31"/>
      <c r="M82" s="306"/>
      <c r="N82" s="31"/>
      <c r="O82" s="31"/>
      <c r="P82" s="31"/>
      <c r="Q82" s="31"/>
      <c r="R82" s="31"/>
      <c r="S82" s="31"/>
      <c r="T82" s="31"/>
      <c r="U82" s="31"/>
      <c r="V82" s="31"/>
      <c r="W82" s="31"/>
      <c r="X82" s="31"/>
    </row>
    <row r="83" spans="1:24" s="197" customFormat="1" ht="15" x14ac:dyDescent="0.25">
      <c r="A83" s="313"/>
      <c r="B83" s="13"/>
      <c r="C83" s="31"/>
      <c r="D83" s="31"/>
      <c r="E83" s="50"/>
      <c r="F83" s="4"/>
      <c r="G83" s="315"/>
      <c r="H83" s="13"/>
      <c r="I83" s="314" t="s">
        <v>20</v>
      </c>
      <c r="J83" s="31"/>
      <c r="K83" s="316"/>
      <c r="L83" s="31"/>
      <c r="M83" s="306"/>
      <c r="N83" s="31"/>
      <c r="O83" s="31"/>
      <c r="P83" s="31"/>
      <c r="Q83" s="31"/>
      <c r="R83" s="31"/>
      <c r="S83" s="31"/>
      <c r="T83" s="31"/>
      <c r="U83" s="31"/>
      <c r="V83" s="31"/>
      <c r="W83" s="31"/>
      <c r="X83" s="31"/>
    </row>
    <row r="84" spans="1:24" s="197" customFormat="1" ht="15" x14ac:dyDescent="0.25">
      <c r="A84" s="313"/>
      <c r="B84" s="13"/>
      <c r="C84" s="31"/>
      <c r="D84" s="31"/>
      <c r="E84" s="50"/>
      <c r="F84" s="4"/>
      <c r="G84" s="315"/>
      <c r="H84" s="13"/>
      <c r="I84" s="314" t="s">
        <v>20</v>
      </c>
      <c r="J84" s="31"/>
      <c r="K84" s="316"/>
      <c r="L84" s="31"/>
      <c r="M84" s="306"/>
      <c r="N84" s="31"/>
      <c r="O84" s="31"/>
      <c r="P84" s="31"/>
      <c r="Q84" s="31"/>
      <c r="R84" s="31"/>
      <c r="S84" s="31"/>
      <c r="T84" s="31"/>
      <c r="U84" s="31"/>
      <c r="V84" s="31"/>
      <c r="W84" s="31"/>
      <c r="X84" s="31"/>
    </row>
    <row r="85" spans="1:24" s="197" customFormat="1" ht="15" x14ac:dyDescent="0.25">
      <c r="A85" s="313"/>
      <c r="B85" s="13"/>
      <c r="C85" s="31"/>
      <c r="D85" s="31"/>
      <c r="E85" s="50"/>
      <c r="F85" s="4"/>
      <c r="G85" s="315"/>
      <c r="H85" s="13"/>
      <c r="I85" s="314" t="s">
        <v>20</v>
      </c>
      <c r="J85" s="31"/>
      <c r="K85" s="316"/>
      <c r="L85" s="31"/>
      <c r="M85" s="306"/>
      <c r="N85" s="31"/>
      <c r="O85" s="31"/>
      <c r="P85" s="31"/>
      <c r="Q85" s="31"/>
      <c r="R85" s="31"/>
      <c r="S85" s="31"/>
      <c r="T85" s="31"/>
      <c r="U85" s="31"/>
      <c r="V85" s="31"/>
      <c r="W85" s="31"/>
      <c r="X85" s="31"/>
    </row>
    <row r="86" spans="1:24" s="197" customFormat="1" ht="15" x14ac:dyDescent="0.25">
      <c r="A86" s="313"/>
      <c r="B86" s="13"/>
      <c r="C86" s="31"/>
      <c r="D86" s="31"/>
      <c r="E86" s="50"/>
      <c r="F86" s="4"/>
      <c r="G86" s="315"/>
      <c r="H86" s="13"/>
      <c r="I86" s="314" t="s">
        <v>20</v>
      </c>
      <c r="J86" s="31"/>
      <c r="K86" s="316"/>
      <c r="L86" s="31"/>
      <c r="M86" s="306"/>
      <c r="N86" s="31"/>
      <c r="O86" s="31"/>
      <c r="P86" s="31"/>
      <c r="Q86" s="31"/>
      <c r="R86" s="31"/>
      <c r="S86" s="31"/>
      <c r="T86" s="31"/>
      <c r="U86" s="31"/>
      <c r="V86" s="31"/>
      <c r="W86" s="31"/>
      <c r="X86" s="31"/>
    </row>
    <row r="87" spans="1:24" s="197" customFormat="1" ht="15" x14ac:dyDescent="0.25">
      <c r="A87" s="313"/>
      <c r="B87" s="13"/>
      <c r="C87" s="31"/>
      <c r="D87" s="31"/>
      <c r="E87" s="50"/>
      <c r="F87" s="4"/>
      <c r="G87" s="315"/>
      <c r="H87" s="13"/>
      <c r="I87" s="314" t="s">
        <v>20</v>
      </c>
      <c r="J87" s="31"/>
      <c r="K87" s="316"/>
      <c r="L87" s="31"/>
      <c r="M87" s="306"/>
      <c r="N87" s="31"/>
      <c r="O87" s="31"/>
      <c r="P87" s="31"/>
      <c r="Q87" s="31"/>
      <c r="R87" s="31"/>
      <c r="S87" s="31"/>
      <c r="T87" s="31"/>
      <c r="U87" s="31"/>
      <c r="V87" s="31"/>
      <c r="W87" s="31"/>
      <c r="X87" s="31"/>
    </row>
    <row r="88" spans="1:24" s="197" customFormat="1" ht="15" x14ac:dyDescent="0.25">
      <c r="A88" s="313"/>
      <c r="B88" s="13"/>
      <c r="C88" s="31"/>
      <c r="D88" s="31"/>
      <c r="E88" s="50"/>
      <c r="F88" s="4"/>
      <c r="G88" s="315"/>
      <c r="H88" s="13"/>
      <c r="I88" s="314" t="s">
        <v>20</v>
      </c>
      <c r="J88" s="31"/>
      <c r="K88" s="316"/>
      <c r="L88" s="31"/>
      <c r="M88" s="306"/>
      <c r="N88" s="31"/>
      <c r="O88" s="31"/>
      <c r="P88" s="31"/>
      <c r="Q88" s="31"/>
      <c r="R88" s="31"/>
      <c r="S88" s="31"/>
      <c r="T88" s="31"/>
      <c r="U88" s="31"/>
      <c r="V88" s="31"/>
      <c r="W88" s="31"/>
      <c r="X88" s="31"/>
    </row>
    <row r="89" spans="1:24" s="197" customFormat="1" x14ac:dyDescent="0.2">
      <c r="A89" s="313"/>
      <c r="B89" s="13"/>
      <c r="C89" s="31"/>
      <c r="D89" s="31"/>
      <c r="E89" s="50"/>
      <c r="F89" s="4"/>
      <c r="G89" s="315"/>
      <c r="H89" s="13"/>
      <c r="I89" s="314" t="s">
        <v>20</v>
      </c>
      <c r="J89" s="31"/>
      <c r="K89" s="31"/>
      <c r="L89" s="31"/>
      <c r="M89" s="306"/>
      <c r="N89" s="31"/>
      <c r="O89" s="31"/>
      <c r="P89" s="31"/>
      <c r="Q89" s="31"/>
      <c r="R89" s="31"/>
      <c r="S89" s="31"/>
      <c r="T89" s="31"/>
      <c r="U89" s="31"/>
      <c r="V89" s="31"/>
      <c r="W89" s="31"/>
      <c r="X89" s="31"/>
    </row>
    <row r="90" spans="1:24" s="197" customFormat="1" x14ac:dyDescent="0.2">
      <c r="A90" s="313"/>
      <c r="B90" s="13"/>
      <c r="C90" s="31"/>
      <c r="D90" s="31"/>
      <c r="E90" s="50"/>
      <c r="F90" s="4"/>
      <c r="G90" s="315"/>
      <c r="H90" s="13"/>
      <c r="I90" s="314" t="s">
        <v>20</v>
      </c>
      <c r="J90" s="31"/>
      <c r="K90" s="31"/>
      <c r="L90" s="31"/>
      <c r="M90" s="306"/>
      <c r="N90" s="31"/>
      <c r="O90" s="31"/>
      <c r="P90" s="31"/>
      <c r="Q90" s="31"/>
      <c r="R90" s="31"/>
      <c r="S90" s="31"/>
      <c r="T90" s="31"/>
      <c r="U90" s="31"/>
      <c r="V90" s="31"/>
      <c r="W90" s="31"/>
      <c r="X90" s="31"/>
    </row>
    <row r="91" spans="1:24" s="197" customFormat="1" x14ac:dyDescent="0.2">
      <c r="A91" s="313"/>
      <c r="B91" s="13"/>
      <c r="C91" s="31"/>
      <c r="D91" s="31"/>
      <c r="E91" s="50"/>
      <c r="F91" s="4"/>
      <c r="G91" s="315"/>
      <c r="H91" s="13"/>
      <c r="I91" s="314" t="s">
        <v>20</v>
      </c>
      <c r="J91" s="31"/>
      <c r="K91" s="31"/>
      <c r="L91" s="31"/>
      <c r="M91" s="306"/>
      <c r="N91" s="31"/>
      <c r="O91" s="31"/>
      <c r="P91" s="31"/>
      <c r="Q91" s="31"/>
      <c r="R91" s="31"/>
      <c r="S91" s="31"/>
      <c r="T91" s="31"/>
      <c r="U91" s="31"/>
      <c r="V91" s="31"/>
      <c r="W91" s="31"/>
      <c r="X91" s="31"/>
    </row>
    <row r="92" spans="1:24" s="197" customFormat="1" x14ac:dyDescent="0.2">
      <c r="A92" s="313"/>
      <c r="B92" s="13"/>
      <c r="C92" s="31"/>
      <c r="D92" s="31"/>
      <c r="E92" s="50"/>
      <c r="F92" s="4"/>
      <c r="G92" s="315"/>
      <c r="H92" s="13"/>
      <c r="I92" s="314" t="s">
        <v>20</v>
      </c>
      <c r="J92" s="31"/>
      <c r="K92" s="31"/>
      <c r="L92" s="31"/>
      <c r="M92" s="306"/>
      <c r="N92" s="31"/>
      <c r="O92" s="31"/>
      <c r="P92" s="31"/>
      <c r="Q92" s="31"/>
      <c r="R92" s="31"/>
      <c r="S92" s="31"/>
      <c r="T92" s="31"/>
      <c r="U92" s="31"/>
      <c r="V92" s="31"/>
      <c r="W92" s="31"/>
      <c r="X92" s="31"/>
    </row>
    <row r="93" spans="1:24" s="197" customFormat="1" x14ac:dyDescent="0.2">
      <c r="A93" s="313"/>
      <c r="B93" s="13"/>
      <c r="C93" s="31"/>
      <c r="D93" s="31"/>
      <c r="E93" s="50"/>
      <c r="F93" s="4"/>
      <c r="G93" s="315"/>
      <c r="H93" s="13"/>
      <c r="I93" s="314" t="s">
        <v>20</v>
      </c>
      <c r="J93" s="31"/>
      <c r="K93" s="31"/>
      <c r="L93" s="31"/>
      <c r="M93" s="306"/>
      <c r="N93" s="31"/>
      <c r="O93" s="31"/>
      <c r="P93" s="31"/>
      <c r="Q93" s="31"/>
      <c r="R93" s="31"/>
      <c r="S93" s="31"/>
      <c r="T93" s="31"/>
      <c r="U93" s="31"/>
      <c r="V93" s="31"/>
      <c r="W93" s="31"/>
      <c r="X93" s="31"/>
    </row>
    <row r="94" spans="1:24" s="197" customFormat="1" x14ac:dyDescent="0.2">
      <c r="A94" s="313"/>
      <c r="B94" s="13"/>
      <c r="C94" s="31"/>
      <c r="D94" s="31"/>
      <c r="E94" s="50"/>
      <c r="F94" s="4"/>
      <c r="G94" s="315"/>
      <c r="H94" s="13"/>
      <c r="I94" s="314" t="s">
        <v>20</v>
      </c>
      <c r="J94" s="31"/>
      <c r="K94" s="31"/>
      <c r="L94" s="31"/>
      <c r="M94" s="306"/>
      <c r="N94" s="31"/>
      <c r="O94" s="31"/>
      <c r="P94" s="31"/>
      <c r="Q94" s="31"/>
      <c r="R94" s="31"/>
      <c r="S94" s="31"/>
      <c r="T94" s="31"/>
      <c r="U94" s="31"/>
      <c r="V94" s="31"/>
      <c r="W94" s="31"/>
      <c r="X94" s="31"/>
    </row>
    <row r="95" spans="1:24" s="197" customFormat="1" x14ac:dyDescent="0.2">
      <c r="A95" s="313"/>
      <c r="B95" s="13"/>
      <c r="C95" s="31"/>
      <c r="D95" s="31"/>
      <c r="E95" s="50"/>
      <c r="F95" s="4"/>
      <c r="G95" s="315"/>
      <c r="H95" s="13"/>
      <c r="I95" s="314" t="s">
        <v>20</v>
      </c>
      <c r="J95" s="31"/>
      <c r="K95" s="31"/>
      <c r="L95" s="31"/>
      <c r="M95" s="306"/>
      <c r="N95" s="31"/>
      <c r="O95" s="31"/>
      <c r="P95" s="31"/>
      <c r="Q95" s="31"/>
      <c r="R95" s="31"/>
      <c r="S95" s="31"/>
      <c r="T95" s="31"/>
      <c r="U95" s="31"/>
      <c r="V95" s="31"/>
      <c r="W95" s="31"/>
      <c r="X95" s="31"/>
    </row>
    <row r="96" spans="1:24" s="197" customFormat="1" x14ac:dyDescent="0.2">
      <c r="A96" s="313"/>
      <c r="B96" s="13"/>
      <c r="C96" s="31"/>
      <c r="D96" s="31"/>
      <c r="E96" s="50"/>
      <c r="F96" s="4"/>
      <c r="G96" s="315"/>
      <c r="H96" s="13"/>
      <c r="I96" s="314" t="s">
        <v>20</v>
      </c>
      <c r="J96" s="31"/>
      <c r="K96" s="31"/>
      <c r="L96" s="31"/>
      <c r="M96" s="306"/>
      <c r="N96" s="31"/>
      <c r="O96" s="31"/>
      <c r="P96" s="31"/>
      <c r="Q96" s="31"/>
      <c r="R96" s="31"/>
      <c r="S96" s="31"/>
      <c r="T96" s="31"/>
      <c r="U96" s="31"/>
      <c r="V96" s="31"/>
      <c r="W96" s="31"/>
      <c r="X96" s="31"/>
    </row>
    <row r="97" spans="1:24" s="197" customFormat="1" x14ac:dyDescent="0.2">
      <c r="A97" s="313"/>
      <c r="B97" s="13"/>
      <c r="C97" s="31"/>
      <c r="D97" s="31"/>
      <c r="E97" s="50"/>
      <c r="F97" s="4"/>
      <c r="G97" s="315"/>
      <c r="H97" s="13"/>
      <c r="I97" s="314" t="s">
        <v>20</v>
      </c>
      <c r="J97" s="31"/>
      <c r="K97" s="31"/>
      <c r="L97" s="31"/>
      <c r="M97" s="306"/>
      <c r="N97" s="31"/>
      <c r="O97" s="31"/>
      <c r="P97" s="31"/>
      <c r="Q97" s="31"/>
      <c r="R97" s="31"/>
      <c r="S97" s="31"/>
      <c r="T97" s="31"/>
      <c r="U97" s="31"/>
      <c r="V97" s="31"/>
      <c r="W97" s="31"/>
      <c r="X97" s="31"/>
    </row>
    <row r="98" spans="1:24" s="197" customFormat="1" x14ac:dyDescent="0.2">
      <c r="A98" s="313"/>
      <c r="B98" s="13"/>
      <c r="C98" s="31"/>
      <c r="D98" s="31"/>
      <c r="E98" s="50"/>
      <c r="F98" s="4"/>
      <c r="G98" s="315"/>
      <c r="H98" s="13"/>
      <c r="I98" s="314" t="s">
        <v>20</v>
      </c>
      <c r="J98" s="31"/>
      <c r="K98" s="31"/>
      <c r="L98" s="31"/>
      <c r="M98" s="306"/>
      <c r="N98" s="31"/>
      <c r="O98" s="31"/>
      <c r="P98" s="31"/>
      <c r="Q98" s="31"/>
      <c r="R98" s="31"/>
      <c r="S98" s="31"/>
      <c r="T98" s="31"/>
      <c r="U98" s="31"/>
      <c r="V98" s="31"/>
      <c r="W98" s="31"/>
      <c r="X98" s="31"/>
    </row>
    <row r="99" spans="1:24" s="197" customFormat="1" x14ac:dyDescent="0.2">
      <c r="A99" s="313"/>
      <c r="B99" s="13"/>
      <c r="C99" s="31"/>
      <c r="D99" s="31"/>
      <c r="E99" s="50"/>
      <c r="F99" s="4"/>
      <c r="G99" s="315"/>
      <c r="H99" s="13"/>
      <c r="I99" s="314" t="s">
        <v>20</v>
      </c>
      <c r="J99" s="31"/>
      <c r="K99" s="31"/>
      <c r="L99" s="31"/>
      <c r="M99" s="306"/>
      <c r="N99" s="31"/>
      <c r="O99" s="31"/>
      <c r="P99" s="31"/>
      <c r="Q99" s="31"/>
      <c r="R99" s="31"/>
      <c r="S99" s="31"/>
      <c r="T99" s="31"/>
      <c r="U99" s="31"/>
      <c r="V99" s="31"/>
      <c r="W99" s="31"/>
      <c r="X99" s="31"/>
    </row>
    <row r="100" spans="1:24" s="197" customFormat="1" x14ac:dyDescent="0.2">
      <c r="A100" s="313"/>
      <c r="B100" s="13"/>
      <c r="C100" s="31"/>
      <c r="D100" s="31"/>
      <c r="E100" s="50"/>
      <c r="F100" s="4"/>
      <c r="G100" s="315"/>
      <c r="H100" s="13"/>
      <c r="I100" s="314" t="s">
        <v>20</v>
      </c>
      <c r="J100" s="31"/>
      <c r="K100" s="31"/>
      <c r="L100" s="31"/>
      <c r="M100" s="306"/>
      <c r="N100" s="31"/>
      <c r="O100" s="31"/>
      <c r="P100" s="31"/>
      <c r="Q100" s="31"/>
      <c r="R100" s="31"/>
      <c r="S100" s="31"/>
      <c r="T100" s="31"/>
      <c r="U100" s="31"/>
      <c r="V100" s="31"/>
      <c r="W100" s="31"/>
      <c r="X100" s="31"/>
    </row>
    <row r="101" spans="1:24" s="197" customFormat="1" x14ac:dyDescent="0.2">
      <c r="A101" s="313"/>
      <c r="B101" s="13"/>
      <c r="C101" s="31"/>
      <c r="D101" s="31"/>
      <c r="E101" s="50"/>
      <c r="F101" s="4"/>
      <c r="G101" s="315"/>
      <c r="H101" s="13"/>
      <c r="I101" s="314" t="s">
        <v>20</v>
      </c>
      <c r="J101" s="31"/>
      <c r="K101" s="31"/>
      <c r="L101" s="31"/>
      <c r="M101" s="306"/>
      <c r="N101" s="31"/>
      <c r="O101" s="31"/>
      <c r="P101" s="31"/>
      <c r="Q101" s="31"/>
      <c r="R101" s="31"/>
      <c r="S101" s="31"/>
      <c r="T101" s="31"/>
      <c r="U101" s="31"/>
      <c r="V101" s="31"/>
      <c r="W101" s="31"/>
      <c r="X101" s="31"/>
    </row>
    <row r="102" spans="1:24" s="197" customFormat="1" x14ac:dyDescent="0.2">
      <c r="A102" s="313"/>
      <c r="B102" s="13"/>
      <c r="C102" s="31"/>
      <c r="D102" s="31"/>
      <c r="E102" s="50"/>
      <c r="F102" s="4"/>
      <c r="G102" s="315"/>
      <c r="H102" s="13"/>
      <c r="I102" s="314" t="s">
        <v>20</v>
      </c>
      <c r="J102" s="31"/>
      <c r="K102" s="31"/>
      <c r="L102" s="31"/>
      <c r="M102" s="306"/>
      <c r="N102" s="31"/>
      <c r="O102" s="31"/>
      <c r="P102" s="31"/>
      <c r="Q102" s="31"/>
      <c r="R102" s="31"/>
      <c r="S102" s="31"/>
      <c r="T102" s="31"/>
      <c r="U102" s="31"/>
      <c r="V102" s="31"/>
      <c r="W102" s="31"/>
      <c r="X102" s="31"/>
    </row>
    <row r="103" spans="1:24" s="197" customFormat="1" x14ac:dyDescent="0.2">
      <c r="A103" s="313"/>
      <c r="B103" s="13"/>
      <c r="C103" s="31"/>
      <c r="D103" s="31"/>
      <c r="E103" s="50"/>
      <c r="F103" s="4"/>
      <c r="G103" s="315"/>
      <c r="H103" s="13"/>
      <c r="I103" s="314" t="s">
        <v>20</v>
      </c>
      <c r="J103" s="31"/>
      <c r="K103" s="31"/>
      <c r="L103" s="31"/>
      <c r="M103" s="306"/>
      <c r="N103" s="31"/>
      <c r="O103" s="31"/>
      <c r="P103" s="31"/>
      <c r="Q103" s="31"/>
      <c r="R103" s="31"/>
      <c r="S103" s="31"/>
      <c r="T103" s="31"/>
      <c r="U103" s="31"/>
      <c r="V103" s="31"/>
      <c r="W103" s="31"/>
      <c r="X103" s="31"/>
    </row>
    <row r="104" spans="1:24" s="197" customFormat="1" x14ac:dyDescent="0.2">
      <c r="A104" s="313"/>
      <c r="B104" s="13"/>
      <c r="C104" s="31"/>
      <c r="D104" s="31"/>
      <c r="E104" s="50"/>
      <c r="F104" s="4"/>
      <c r="G104" s="315"/>
      <c r="H104" s="13"/>
      <c r="I104" s="314" t="s">
        <v>20</v>
      </c>
      <c r="J104" s="31"/>
      <c r="K104" s="31"/>
      <c r="L104" s="31"/>
      <c r="M104" s="306"/>
      <c r="N104" s="31"/>
      <c r="O104" s="31"/>
      <c r="P104" s="31"/>
      <c r="Q104" s="31"/>
      <c r="R104" s="31"/>
      <c r="S104" s="31"/>
      <c r="T104" s="31"/>
      <c r="U104" s="31"/>
      <c r="V104" s="31"/>
      <c r="W104" s="31"/>
      <c r="X104" s="31"/>
    </row>
    <row r="105" spans="1:24" s="197" customFormat="1" x14ac:dyDescent="0.2">
      <c r="A105" s="293"/>
      <c r="B105" s="13"/>
      <c r="C105" s="31"/>
      <c r="D105" s="31"/>
      <c r="E105" s="292"/>
      <c r="F105" s="31"/>
      <c r="G105" s="293"/>
      <c r="H105" s="13"/>
      <c r="I105" s="294" t="s">
        <v>20</v>
      </c>
      <c r="J105" s="31"/>
      <c r="K105" s="31"/>
      <c r="L105" s="31"/>
      <c r="M105" s="307"/>
      <c r="N105" s="31"/>
      <c r="O105" s="31"/>
      <c r="P105" s="31"/>
      <c r="Q105" s="31"/>
      <c r="R105" s="31"/>
      <c r="S105" s="31"/>
      <c r="T105" s="31"/>
      <c r="U105" s="31"/>
      <c r="V105" s="31"/>
      <c r="W105" s="31"/>
      <c r="X105" s="31"/>
    </row>
    <row r="106" spans="1:24" s="197" customFormat="1" x14ac:dyDescent="0.2">
      <c r="A106" s="293"/>
      <c r="B106" s="13"/>
      <c r="C106" s="31"/>
      <c r="D106" s="31"/>
      <c r="E106" s="292"/>
      <c r="F106" s="31"/>
      <c r="G106" s="293"/>
      <c r="H106" s="13"/>
      <c r="I106" s="294" t="s">
        <v>20</v>
      </c>
      <c r="J106" s="31"/>
      <c r="K106" s="31"/>
      <c r="L106" s="31"/>
      <c r="M106" s="307"/>
      <c r="N106" s="31"/>
      <c r="O106" s="31"/>
      <c r="P106" s="31"/>
      <c r="Q106" s="31"/>
      <c r="R106" s="31"/>
      <c r="S106" s="31"/>
      <c r="T106" s="31"/>
      <c r="U106" s="31"/>
      <c r="V106" s="31"/>
      <c r="W106" s="31"/>
      <c r="X106" s="31"/>
    </row>
    <row r="107" spans="1:24" s="197" customFormat="1" x14ac:dyDescent="0.2">
      <c r="A107" s="293"/>
      <c r="B107" s="13"/>
      <c r="C107" s="31"/>
      <c r="D107" s="31"/>
      <c r="E107" s="292"/>
      <c r="F107" s="31"/>
      <c r="G107" s="293"/>
      <c r="H107" s="13"/>
      <c r="I107" s="294" t="s">
        <v>20</v>
      </c>
      <c r="J107" s="31"/>
      <c r="K107" s="31"/>
      <c r="L107" s="31"/>
      <c r="M107" s="307"/>
      <c r="N107" s="31"/>
      <c r="O107" s="31"/>
      <c r="P107" s="31"/>
      <c r="Q107" s="31"/>
      <c r="R107" s="31"/>
      <c r="S107" s="31"/>
      <c r="T107" s="31"/>
      <c r="U107" s="31"/>
      <c r="V107" s="31"/>
      <c r="W107" s="31"/>
      <c r="X107" s="31"/>
    </row>
    <row r="108" spans="1:24" s="197" customFormat="1" x14ac:dyDescent="0.2">
      <c r="A108" s="293"/>
      <c r="B108" s="13"/>
      <c r="C108" s="31"/>
      <c r="D108" s="31"/>
      <c r="E108" s="292"/>
      <c r="F108" s="31"/>
      <c r="G108" s="293"/>
      <c r="H108" s="13"/>
      <c r="I108" s="294" t="s">
        <v>20</v>
      </c>
      <c r="J108" s="31"/>
      <c r="K108" s="31"/>
      <c r="L108" s="31"/>
      <c r="M108" s="307"/>
      <c r="N108" s="31"/>
      <c r="O108" s="31"/>
      <c r="P108" s="31"/>
      <c r="Q108" s="31"/>
      <c r="R108" s="31"/>
      <c r="S108" s="31"/>
      <c r="T108" s="31"/>
      <c r="U108" s="31"/>
      <c r="V108" s="31"/>
      <c r="W108" s="31"/>
      <c r="X108" s="31"/>
    </row>
    <row r="109" spans="1:24" s="197" customFormat="1" x14ac:dyDescent="0.2">
      <c r="A109" s="293"/>
      <c r="B109" s="13"/>
      <c r="C109" s="31"/>
      <c r="D109" s="31"/>
      <c r="E109" s="292"/>
      <c r="F109" s="31"/>
      <c r="G109" s="293"/>
      <c r="H109" s="13"/>
      <c r="I109" s="294" t="s">
        <v>20</v>
      </c>
      <c r="J109" s="31"/>
      <c r="K109" s="31"/>
      <c r="L109" s="31"/>
      <c r="M109" s="307"/>
      <c r="N109" s="31"/>
      <c r="O109" s="31"/>
      <c r="P109" s="31"/>
      <c r="Q109" s="31"/>
      <c r="R109" s="31"/>
      <c r="S109" s="31"/>
      <c r="T109" s="31"/>
      <c r="U109" s="31"/>
      <c r="V109" s="31"/>
      <c r="W109" s="31"/>
      <c r="X109" s="31"/>
    </row>
    <row r="110" spans="1:24" s="197" customFormat="1" x14ac:dyDescent="0.2">
      <c r="A110" s="293"/>
      <c r="B110" s="13"/>
      <c r="C110" s="31"/>
      <c r="D110" s="31"/>
      <c r="E110" s="292"/>
      <c r="F110" s="31"/>
      <c r="G110" s="293"/>
      <c r="H110" s="13"/>
      <c r="I110" s="294" t="s">
        <v>20</v>
      </c>
      <c r="J110" s="31"/>
      <c r="K110" s="31"/>
      <c r="L110" s="31"/>
      <c r="M110" s="307"/>
      <c r="N110" s="31"/>
      <c r="O110" s="31"/>
      <c r="P110" s="31"/>
      <c r="Q110" s="31"/>
      <c r="R110" s="31"/>
      <c r="S110" s="31"/>
      <c r="T110" s="31"/>
      <c r="U110" s="31"/>
      <c r="V110" s="31"/>
      <c r="W110" s="31"/>
      <c r="X110" s="31"/>
    </row>
    <row r="111" spans="1:24" s="197" customFormat="1" x14ac:dyDescent="0.2">
      <c r="A111" s="293"/>
      <c r="B111" s="13"/>
      <c r="C111" s="31"/>
      <c r="D111" s="31"/>
      <c r="E111" s="292"/>
      <c r="F111" s="31"/>
      <c r="G111" s="293"/>
      <c r="H111" s="13"/>
      <c r="I111" s="294" t="s">
        <v>20</v>
      </c>
      <c r="J111" s="31"/>
      <c r="K111" s="31"/>
      <c r="L111" s="31"/>
      <c r="M111" s="307"/>
      <c r="N111" s="31"/>
      <c r="O111" s="31"/>
      <c r="P111" s="31"/>
      <c r="Q111" s="31"/>
      <c r="R111" s="31"/>
      <c r="S111" s="31"/>
      <c r="T111" s="31"/>
      <c r="U111" s="31"/>
      <c r="V111" s="31"/>
      <c r="W111" s="31"/>
      <c r="X111" s="31"/>
    </row>
    <row r="112" spans="1:24" s="197" customFormat="1" x14ac:dyDescent="0.2">
      <c r="K112" s="3"/>
      <c r="M112" s="307"/>
    </row>
    <row r="113" spans="11:13" s="197" customFormat="1" x14ac:dyDescent="0.2">
      <c r="K113" s="3"/>
      <c r="M113" s="307"/>
    </row>
    <row r="114" spans="11:13" s="197" customFormat="1" x14ac:dyDescent="0.2">
      <c r="K114" s="3"/>
      <c r="M114" s="307"/>
    </row>
    <row r="115" spans="11:13" s="197" customFormat="1" x14ac:dyDescent="0.2">
      <c r="K115" s="3"/>
      <c r="M115" s="307"/>
    </row>
    <row r="116" spans="11:13" s="197" customFormat="1" x14ac:dyDescent="0.2">
      <c r="K116" s="3"/>
      <c r="M116" s="307"/>
    </row>
    <row r="117" spans="11:13" s="197" customFormat="1" x14ac:dyDescent="0.2">
      <c r="K117" s="3"/>
      <c r="M117" s="307"/>
    </row>
    <row r="118" spans="11:13" s="197" customFormat="1" x14ac:dyDescent="0.2">
      <c r="K118" s="3"/>
      <c r="M118" s="307"/>
    </row>
    <row r="119" spans="11:13" s="197" customFormat="1" x14ac:dyDescent="0.2">
      <c r="K119" s="3"/>
      <c r="M119" s="307"/>
    </row>
    <row r="120" spans="11:13" s="197" customFormat="1" x14ac:dyDescent="0.2">
      <c r="K120" s="3"/>
      <c r="M120" s="307"/>
    </row>
    <row r="121" spans="11:13" s="197" customFormat="1" x14ac:dyDescent="0.2">
      <c r="K121" s="3"/>
      <c r="M121" s="307"/>
    </row>
    <row r="122" spans="11:13" s="197" customFormat="1" x14ac:dyDescent="0.2">
      <c r="K122" s="3"/>
      <c r="M122" s="307"/>
    </row>
    <row r="123" spans="11:13" s="197" customFormat="1" x14ac:dyDescent="0.2">
      <c r="K123" s="3"/>
      <c r="M123" s="307"/>
    </row>
    <row r="124" spans="11:13" s="197" customFormat="1" x14ac:dyDescent="0.2">
      <c r="K124" s="3"/>
      <c r="M124" s="307"/>
    </row>
    <row r="125" spans="11:13" s="197" customFormat="1" x14ac:dyDescent="0.2">
      <c r="K125" s="3"/>
      <c r="M125" s="307"/>
    </row>
    <row r="126" spans="11:13" s="197" customFormat="1" x14ac:dyDescent="0.2">
      <c r="K126" s="3"/>
      <c r="M126" s="307"/>
    </row>
    <row r="127" spans="11:13" s="197" customFormat="1" x14ac:dyDescent="0.2">
      <c r="K127" s="3"/>
      <c r="M127" s="307"/>
    </row>
    <row r="128" spans="11:13" s="197" customFormat="1" x14ac:dyDescent="0.2">
      <c r="K128" s="3"/>
      <c r="M128" s="307"/>
    </row>
    <row r="129" spans="11:13" s="197" customFormat="1" x14ac:dyDescent="0.2">
      <c r="K129" s="3"/>
      <c r="M129" s="307"/>
    </row>
    <row r="130" spans="11:13" s="197" customFormat="1" x14ac:dyDescent="0.2">
      <c r="K130" s="3"/>
      <c r="M130" s="307"/>
    </row>
    <row r="131" spans="11:13" s="197" customFormat="1" x14ac:dyDescent="0.2">
      <c r="K131" s="3"/>
      <c r="M131" s="307"/>
    </row>
    <row r="132" spans="11:13" s="197" customFormat="1" x14ac:dyDescent="0.2">
      <c r="K132" s="3"/>
      <c r="M132" s="307"/>
    </row>
    <row r="133" spans="11:13" s="197" customFormat="1" x14ac:dyDescent="0.2">
      <c r="K133" s="3"/>
      <c r="M133" s="307"/>
    </row>
    <row r="134" spans="11:13" s="197" customFormat="1" x14ac:dyDescent="0.2">
      <c r="K134" s="3"/>
      <c r="M134" s="307"/>
    </row>
    <row r="135" spans="11:13" s="197" customFormat="1" x14ac:dyDescent="0.2">
      <c r="K135" s="3"/>
      <c r="M135" s="307"/>
    </row>
    <row r="136" spans="11:13" s="197" customFormat="1" x14ac:dyDescent="0.2">
      <c r="K136" s="3"/>
      <c r="M136" s="307"/>
    </row>
    <row r="137" spans="11:13" s="197" customFormat="1" x14ac:dyDescent="0.2">
      <c r="K137" s="3"/>
      <c r="M137" s="307"/>
    </row>
    <row r="138" spans="11:13" s="197" customFormat="1" x14ac:dyDescent="0.2">
      <c r="K138" s="3"/>
      <c r="M138" s="307"/>
    </row>
    <row r="139" spans="11:13" s="197" customFormat="1" x14ac:dyDescent="0.2">
      <c r="K139" s="3"/>
      <c r="M139" s="307"/>
    </row>
    <row r="140" spans="11:13" s="197" customFormat="1" x14ac:dyDescent="0.2">
      <c r="K140" s="3"/>
      <c r="M140" s="307"/>
    </row>
    <row r="141" spans="11:13" s="197" customFormat="1" x14ac:dyDescent="0.2">
      <c r="K141" s="3"/>
      <c r="M141" s="307"/>
    </row>
    <row r="142" spans="11:13" x14ac:dyDescent="0.2">
      <c r="M142" s="308"/>
    </row>
    <row r="143" spans="11:13" x14ac:dyDescent="0.2">
      <c r="M143" s="307"/>
    </row>
    <row r="144" spans="11:13" x14ac:dyDescent="0.2">
      <c r="M144" s="307"/>
    </row>
    <row r="145" spans="13:13" x14ac:dyDescent="0.2">
      <c r="M145" s="307"/>
    </row>
    <row r="146" spans="13:13" x14ac:dyDescent="0.2">
      <c r="M146" s="307"/>
    </row>
    <row r="147" spans="13:13" x14ac:dyDescent="0.2">
      <c r="M147" s="307"/>
    </row>
  </sheetData>
  <protectedRanges>
    <protectedRange password="C7AB" sqref="A10" name="Диапазон1_1_1" securityDescriptor="O:WDG:WDD:(A;;CC;;;S-1-5-21-984116445-4210457992-3759481938-1153)(A;;CC;;;S-1-5-21-984116445-4210457992-3759481938-1154)(A;;CC;;;S-1-5-21-984116445-4210457992-3759481938-1152)(A;;CC;;;S-1-5-21-984116445-4210457992-3759481938-1156)(A;;CC;;;S-1-5-21-984116445-4210457992-3759481938-1155)"/>
  </protectedRanges>
  <autoFilter ref="A10:AG111"/>
  <customSheetViews>
    <customSheetView guid="{2527107E-9D0B-4093-B4A8-CF38BFB15F1C}" showAutoFilter="1">
      <pane ySplit="10" topLeftCell="A11" activePane="bottomLeft" state="frozen"/>
      <selection pane="bottomLeft" activeCell="D6" sqref="D6"/>
      <pageMargins left="0.75" right="0.75" top="1" bottom="1" header="0.5" footer="0.5"/>
      <pageSetup orientation="portrait" r:id="rId1"/>
      <headerFooter alignWithMargins="0"/>
      <autoFilter ref="A10:M29">
        <sortState ref="A11:M47">
          <sortCondition ref="I10:I47"/>
        </sortState>
      </autoFilter>
    </customSheetView>
    <customSheetView guid="{7D07A65A-63F9-4A71-9039-2DCC2F4ABF4C}" showAutoFilter="1">
      <pane ySplit="10" topLeftCell="A11" activePane="bottomLeft" state="frozen"/>
      <selection pane="bottomLeft" activeCell="D6" sqref="D6"/>
      <pageMargins left="0.75" right="0.75" top="1" bottom="1" header="0.5" footer="0.5"/>
      <pageSetup orientation="portrait" r:id="rId2"/>
      <headerFooter alignWithMargins="0"/>
      <autoFilter ref="A10:M129">
        <sortState ref="A11:M47">
          <sortCondition ref="I10:I47"/>
        </sortState>
      </autoFilter>
    </customSheetView>
    <customSheetView guid="{ADE400F8-D95C-46BC-A44D-BCC9A4530169}" showAutoFilter="1">
      <pane ySplit="10" topLeftCell="A11" activePane="bottomLeft" state="frozen"/>
      <selection pane="bottomLeft" activeCell="D6" sqref="D6"/>
      <pageMargins left="0.75" right="0.75" top="1" bottom="1" header="0.5" footer="0.5"/>
      <pageSetup orientation="portrait" r:id="rId3"/>
      <headerFooter alignWithMargins="0"/>
      <autoFilter ref="A10:M129">
        <sortState ref="A11:M47">
          <sortCondition ref="I10:I47"/>
        </sortState>
      </autoFilter>
    </customSheetView>
    <customSheetView guid="{8D8F9819-0E72-417A-908C-B5A8F0F23F34}" showAutoFilter="1">
      <pane ySplit="10" topLeftCell="A11" activePane="bottomLeft" state="frozen"/>
      <selection pane="bottomLeft" activeCell="D6" sqref="D6"/>
      <pageMargins left="0.75" right="0.75" top="1" bottom="1" header="0.5" footer="0.5"/>
      <pageSetup orientation="portrait" r:id="rId4"/>
      <headerFooter alignWithMargins="0"/>
      <autoFilter ref="A10:M129">
        <sortState ref="A11:M47">
          <sortCondition ref="I10:I47"/>
        </sortState>
      </autoFilter>
    </customSheetView>
  </customSheetViews>
  <phoneticPr fontId="9" type="noConversion"/>
  <pageMargins left="0.19685039370078741" right="0.15748031496062992" top="0.98425196850393704" bottom="0.98425196850393704" header="0.51181102362204722" footer="0.51181102362204722"/>
  <pageSetup scale="75" orientation="landscape" r:id="rId5"/>
  <headerFooter alignWithMargins="0"/>
  <drawing r:id="rId6"/>
  <legacyDrawing r:id="rId7"/>
  <controls>
    <mc:AlternateContent xmlns:mc="http://schemas.openxmlformats.org/markup-compatibility/2006">
      <mc:Choice Requires="x14">
        <control shapeId="18448" r:id="rId8" name="CommandButton1102">
          <controlPr defaultSize="0" autoLine="0" r:id="rId9">
            <anchor moveWithCells="1">
              <from>
                <xdr:col>6</xdr:col>
                <xdr:colOff>19050</xdr:colOff>
                <xdr:row>1</xdr:row>
                <xdr:rowOff>9525</xdr:rowOff>
              </from>
              <to>
                <xdr:col>7</xdr:col>
                <xdr:colOff>133350</xdr:colOff>
                <xdr:row>3</xdr:row>
                <xdr:rowOff>152400</xdr:rowOff>
              </to>
            </anchor>
          </controlPr>
        </control>
      </mc:Choice>
      <mc:Fallback>
        <control shapeId="18448" r:id="rId8" name="CommandButton1102"/>
      </mc:Fallback>
    </mc:AlternateContent>
    <mc:AlternateContent xmlns:mc="http://schemas.openxmlformats.org/markup-compatibility/2006">
      <mc:Choice Requires="x14">
        <control shapeId="18446" r:id="rId10" name="CommandButton1101">
          <controlPr defaultSize="0" autoLine="0" autoPict="0" r:id="rId11">
            <anchor moveWithCells="1">
              <from>
                <xdr:col>0</xdr:col>
                <xdr:colOff>38100</xdr:colOff>
                <xdr:row>1</xdr:row>
                <xdr:rowOff>19050</xdr:rowOff>
              </from>
              <to>
                <xdr:col>3</xdr:col>
                <xdr:colOff>390525</xdr:colOff>
                <xdr:row>3</xdr:row>
                <xdr:rowOff>161925</xdr:rowOff>
              </to>
            </anchor>
          </controlPr>
        </control>
      </mc:Choice>
      <mc:Fallback>
        <control shapeId="18446" r:id="rId10" name="CommandButton1101"/>
      </mc:Fallback>
    </mc:AlternateContent>
    <mc:AlternateContent xmlns:mc="http://schemas.openxmlformats.org/markup-compatibility/2006">
      <mc:Choice Requires="x14">
        <control shapeId="18447" r:id="rId12" name="CommandButton1103">
          <controlPr defaultSize="0" autoLine="0" autoPict="0" r:id="rId13">
            <anchor moveWithCells="1">
              <from>
                <xdr:col>11</xdr:col>
                <xdr:colOff>19050</xdr:colOff>
                <xdr:row>1</xdr:row>
                <xdr:rowOff>9525</xdr:rowOff>
              </from>
              <to>
                <xdr:col>12</xdr:col>
                <xdr:colOff>581025</xdr:colOff>
                <xdr:row>3</xdr:row>
                <xdr:rowOff>152400</xdr:rowOff>
              </to>
            </anchor>
          </controlPr>
        </control>
      </mc:Choice>
      <mc:Fallback>
        <control shapeId="18447" r:id="rId12" name="CommandButton110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A60"/>
  <sheetViews>
    <sheetView zoomScale="70" zoomScaleNormal="70" workbookViewId="0">
      <pane ySplit="10" topLeftCell="A11" activePane="bottomLeft" state="frozen"/>
      <selection pane="bottomLeft" activeCell="O11" sqref="O11:O16"/>
    </sheetView>
  </sheetViews>
  <sheetFormatPr defaultRowHeight="12.75" x14ac:dyDescent="0.2"/>
  <cols>
    <col min="1" max="1" width="10.7109375" style="8" customWidth="1"/>
    <col min="2" max="2" width="27.28515625" style="8" customWidth="1"/>
    <col min="3" max="3" width="15.7109375" style="8" customWidth="1"/>
    <col min="4" max="4" width="24.28515625" style="8" customWidth="1"/>
    <col min="5" max="5" width="27.7109375" style="8" customWidth="1"/>
    <col min="6" max="7" width="10.7109375" style="8" customWidth="1"/>
    <col min="8" max="8" width="14.140625" style="8" customWidth="1"/>
    <col min="9" max="9" width="10.7109375" style="8" customWidth="1"/>
    <col min="10" max="10" width="12.7109375" style="8" customWidth="1"/>
    <col min="11" max="11" width="7.7109375" style="8" customWidth="1"/>
    <col min="12" max="25" width="10.7109375" style="8" customWidth="1"/>
    <col min="26" max="16384" width="9.140625" style="8"/>
  </cols>
  <sheetData>
    <row r="1" spans="1:27" x14ac:dyDescent="0.2">
      <c r="A1" s="7">
        <v>1</v>
      </c>
      <c r="B1" s="7">
        <v>2</v>
      </c>
      <c r="C1" s="7">
        <v>3</v>
      </c>
      <c r="D1" s="7">
        <v>4</v>
      </c>
      <c r="E1" s="7">
        <v>5</v>
      </c>
      <c r="F1" s="7">
        <v>6</v>
      </c>
      <c r="G1" s="7">
        <v>7</v>
      </c>
      <c r="H1" s="7">
        <v>8</v>
      </c>
      <c r="I1" s="7">
        <v>9</v>
      </c>
      <c r="J1" s="7">
        <v>10</v>
      </c>
      <c r="K1" s="7">
        <v>11</v>
      </c>
      <c r="L1" s="7">
        <v>12</v>
      </c>
      <c r="M1" s="7">
        <v>13</v>
      </c>
      <c r="N1" s="7">
        <v>14</v>
      </c>
      <c r="O1" s="7">
        <v>15</v>
      </c>
      <c r="P1" s="7">
        <v>16</v>
      </c>
      <c r="Q1" s="7">
        <v>17</v>
      </c>
      <c r="R1" s="7">
        <v>18</v>
      </c>
      <c r="S1" s="7">
        <v>19</v>
      </c>
      <c r="T1" s="7">
        <v>20</v>
      </c>
      <c r="U1" s="7">
        <v>21</v>
      </c>
      <c r="V1" s="7">
        <v>22</v>
      </c>
      <c r="W1" s="7">
        <v>23</v>
      </c>
      <c r="X1" s="7">
        <v>24</v>
      </c>
      <c r="Y1" s="7">
        <v>25</v>
      </c>
    </row>
    <row r="2" spans="1:27" x14ac:dyDescent="0.2">
      <c r="J2" s="118" t="s">
        <v>145</v>
      </c>
      <c r="K2" s="12" t="s">
        <v>147</v>
      </c>
    </row>
    <row r="3" spans="1:27" x14ac:dyDescent="0.2">
      <c r="J3" s="118" t="s">
        <v>145</v>
      </c>
      <c r="K3" s="12" t="s">
        <v>148</v>
      </c>
    </row>
    <row r="4" spans="1:27" ht="13.5" thickBot="1" x14ac:dyDescent="0.25">
      <c r="J4" s="118" t="s">
        <v>145</v>
      </c>
      <c r="K4" s="12" t="s">
        <v>149</v>
      </c>
    </row>
    <row r="5" spans="1:27" ht="13.5" thickBot="1" x14ac:dyDescent="0.25">
      <c r="C5" s="41" t="s">
        <v>70</v>
      </c>
      <c r="D5" s="39"/>
      <c r="E5" s="40"/>
      <c r="G5" s="109" t="s">
        <v>202</v>
      </c>
      <c r="J5" s="3" t="s">
        <v>67</v>
      </c>
      <c r="K5" s="3" t="s">
        <v>154</v>
      </c>
    </row>
    <row r="6" spans="1:27" x14ac:dyDescent="0.2">
      <c r="J6" s="206" t="s">
        <v>204</v>
      </c>
      <c r="K6" s="3"/>
    </row>
    <row r="7" spans="1:27" x14ac:dyDescent="0.2">
      <c r="J7" s="206" t="s">
        <v>205</v>
      </c>
      <c r="K7" s="3"/>
    </row>
    <row r="8" spans="1:27" ht="13.5" thickBot="1" x14ac:dyDescent="0.25">
      <c r="N8" s="10"/>
    </row>
    <row r="9" spans="1:27" ht="13.5" thickBot="1" x14ac:dyDescent="0.25">
      <c r="A9" s="14" t="s">
        <v>21</v>
      </c>
      <c r="B9" s="43" t="s">
        <v>0</v>
      </c>
      <c r="C9" s="15" t="s">
        <v>22</v>
      </c>
      <c r="D9" s="879" t="s">
        <v>16</v>
      </c>
      <c r="E9" s="15" t="s">
        <v>23</v>
      </c>
      <c r="F9" s="15" t="s">
        <v>55</v>
      </c>
      <c r="G9" s="44" t="s">
        <v>24</v>
      </c>
      <c r="H9" s="45" t="s">
        <v>25</v>
      </c>
      <c r="I9" s="16" t="s">
        <v>26</v>
      </c>
      <c r="J9" s="881" t="s">
        <v>27</v>
      </c>
      <c r="K9" s="881"/>
      <c r="L9" s="882"/>
      <c r="M9" s="883" t="s">
        <v>28</v>
      </c>
      <c r="N9" s="884"/>
      <c r="O9" s="885"/>
      <c r="P9" s="271" t="s">
        <v>207</v>
      </c>
      <c r="Q9" s="886" t="s">
        <v>29</v>
      </c>
      <c r="R9" s="877" t="s">
        <v>57</v>
      </c>
      <c r="S9" s="888" t="s">
        <v>30</v>
      </c>
      <c r="T9" s="889"/>
      <c r="U9" s="889"/>
      <c r="V9" s="889"/>
      <c r="W9" s="889"/>
      <c r="X9" s="890"/>
      <c r="Y9" s="877" t="s">
        <v>58</v>
      </c>
    </row>
    <row r="10" spans="1:27" ht="36.75" thickBot="1" x14ac:dyDescent="0.25">
      <c r="A10" s="18" t="s">
        <v>31</v>
      </c>
      <c r="B10" s="25" t="s">
        <v>32</v>
      </c>
      <c r="C10" s="19" t="s">
        <v>33</v>
      </c>
      <c r="D10" s="880"/>
      <c r="E10" s="19" t="s">
        <v>34</v>
      </c>
      <c r="F10" s="19" t="s">
        <v>59</v>
      </c>
      <c r="G10" s="28" t="s">
        <v>21</v>
      </c>
      <c r="H10" s="26" t="s">
        <v>21</v>
      </c>
      <c r="I10" s="20" t="s">
        <v>21</v>
      </c>
      <c r="J10" s="24" t="s">
        <v>35</v>
      </c>
      <c r="K10" s="253" t="s">
        <v>36</v>
      </c>
      <c r="L10" s="23" t="s">
        <v>37</v>
      </c>
      <c r="M10" s="21" t="s">
        <v>35</v>
      </c>
      <c r="N10" s="22" t="s">
        <v>36</v>
      </c>
      <c r="O10" s="27" t="s">
        <v>37</v>
      </c>
      <c r="P10" s="272" t="s">
        <v>208</v>
      </c>
      <c r="Q10" s="887"/>
      <c r="R10" s="887"/>
      <c r="S10" s="254" t="s">
        <v>39</v>
      </c>
      <c r="T10" s="49" t="s">
        <v>60</v>
      </c>
      <c r="U10" s="255" t="s">
        <v>40</v>
      </c>
      <c r="V10" s="42" t="s">
        <v>73</v>
      </c>
      <c r="W10" s="42" t="s">
        <v>74</v>
      </c>
      <c r="X10" s="42" t="s">
        <v>75</v>
      </c>
      <c r="Y10" s="878"/>
    </row>
    <row r="11" spans="1:27" s="488" customFormat="1" ht="21" customHeight="1" x14ac:dyDescent="0.2">
      <c r="A11" s="492" t="s">
        <v>17</v>
      </c>
      <c r="B11" s="650">
        <v>42577</v>
      </c>
      <c r="C11" s="675" t="s">
        <v>375</v>
      </c>
      <c r="D11" s="651" t="s">
        <v>371</v>
      </c>
      <c r="E11" s="651" t="s">
        <v>372</v>
      </c>
      <c r="F11" s="484"/>
      <c r="G11" s="652" t="s">
        <v>379</v>
      </c>
      <c r="H11" s="652" t="s">
        <v>366</v>
      </c>
      <c r="I11" s="482" t="s">
        <v>17</v>
      </c>
      <c r="J11" s="118" t="s">
        <v>145</v>
      </c>
      <c r="K11" s="12" t="s">
        <v>148</v>
      </c>
      <c r="L11" s="661"/>
      <c r="M11" s="660"/>
      <c r="N11" s="659"/>
      <c r="O11" s="667">
        <v>19.499999999999996</v>
      </c>
      <c r="P11" s="662"/>
      <c r="Q11" s="509"/>
      <c r="R11" s="509"/>
      <c r="S11" s="673">
        <v>10.3</v>
      </c>
      <c r="T11" s="663"/>
      <c r="U11" s="674">
        <v>1.1000000000000001</v>
      </c>
      <c r="V11" s="663"/>
      <c r="W11" s="664"/>
      <c r="X11" s="664"/>
      <c r="Y11" s="485"/>
      <c r="Z11" s="486"/>
      <c r="AA11" s="487"/>
    </row>
    <row r="12" spans="1:27" s="488" customFormat="1" ht="21" customHeight="1" x14ac:dyDescent="0.2">
      <c r="A12" s="492" t="s">
        <v>17</v>
      </c>
      <c r="B12" s="650">
        <v>42577</v>
      </c>
      <c r="C12" s="675" t="s">
        <v>375</v>
      </c>
      <c r="D12" s="651" t="s">
        <v>371</v>
      </c>
      <c r="E12" s="651" t="s">
        <v>372</v>
      </c>
      <c r="F12" s="484"/>
      <c r="G12" s="652" t="s">
        <v>380</v>
      </c>
      <c r="H12" s="652" t="s">
        <v>364</v>
      </c>
      <c r="I12" s="482" t="s">
        <v>17</v>
      </c>
      <c r="J12" s="118" t="s">
        <v>145</v>
      </c>
      <c r="K12" s="12" t="s">
        <v>148</v>
      </c>
      <c r="L12" s="661"/>
      <c r="M12" s="660"/>
      <c r="N12" s="659"/>
      <c r="O12" s="667">
        <v>20.079999999999998</v>
      </c>
      <c r="P12" s="662"/>
      <c r="Q12" s="509"/>
      <c r="R12" s="509"/>
      <c r="S12" s="673">
        <v>10.7</v>
      </c>
      <c r="T12" s="665"/>
      <c r="U12" s="674">
        <v>1.5</v>
      </c>
      <c r="V12" s="665"/>
      <c r="W12" s="666"/>
      <c r="X12" s="666"/>
      <c r="Y12" s="471"/>
      <c r="Z12" s="491"/>
      <c r="AA12" s="487"/>
    </row>
    <row r="13" spans="1:27" s="488" customFormat="1" ht="21" customHeight="1" x14ac:dyDescent="0.2">
      <c r="A13" s="492" t="s">
        <v>17</v>
      </c>
      <c r="B13" s="650">
        <v>42577</v>
      </c>
      <c r="C13" s="675" t="s">
        <v>376</v>
      </c>
      <c r="D13" s="651" t="s">
        <v>363</v>
      </c>
      <c r="E13" s="651" t="s">
        <v>363</v>
      </c>
      <c r="F13" s="484"/>
      <c r="G13" s="652" t="s">
        <v>381</v>
      </c>
      <c r="H13" s="652" t="s">
        <v>298</v>
      </c>
      <c r="I13" s="482" t="s">
        <v>17</v>
      </c>
      <c r="J13" s="118" t="s">
        <v>145</v>
      </c>
      <c r="K13" s="12" t="s">
        <v>149</v>
      </c>
      <c r="L13" s="661"/>
      <c r="M13" s="660"/>
      <c r="N13" s="659"/>
      <c r="O13" s="667">
        <v>21.76</v>
      </c>
      <c r="P13" s="662"/>
      <c r="Q13" s="509"/>
      <c r="R13" s="509"/>
      <c r="S13" s="673">
        <v>13.8</v>
      </c>
      <c r="T13" s="665"/>
      <c r="U13" s="674">
        <v>0.9</v>
      </c>
      <c r="V13" s="665"/>
      <c r="W13" s="666"/>
      <c r="X13" s="666"/>
      <c r="Y13" s="471"/>
      <c r="Z13" s="491"/>
      <c r="AA13" s="487"/>
    </row>
    <row r="14" spans="1:27" s="488" customFormat="1" ht="21" customHeight="1" x14ac:dyDescent="0.2">
      <c r="A14" s="492" t="s">
        <v>17</v>
      </c>
      <c r="B14" s="650">
        <v>42577</v>
      </c>
      <c r="C14" s="675" t="s">
        <v>377</v>
      </c>
      <c r="D14" s="651" t="s">
        <v>362</v>
      </c>
      <c r="E14" s="651" t="s">
        <v>362</v>
      </c>
      <c r="F14" s="484"/>
      <c r="G14" s="652" t="s">
        <v>373</v>
      </c>
      <c r="H14" s="652" t="s">
        <v>293</v>
      </c>
      <c r="I14" s="482" t="s">
        <v>17</v>
      </c>
      <c r="J14" s="118" t="s">
        <v>145</v>
      </c>
      <c r="K14" s="12" t="s">
        <v>149</v>
      </c>
      <c r="L14" s="661"/>
      <c r="M14" s="660"/>
      <c r="N14" s="659"/>
      <c r="O14" s="667">
        <v>20.000000000000004</v>
      </c>
      <c r="P14" s="662"/>
      <c r="Q14" s="509"/>
      <c r="R14" s="509"/>
      <c r="S14" s="673">
        <v>10.8</v>
      </c>
      <c r="T14" s="665"/>
      <c r="U14" s="674">
        <v>1</v>
      </c>
      <c r="V14" s="665"/>
      <c r="W14" s="666"/>
      <c r="X14" s="666"/>
      <c r="Y14" s="471"/>
      <c r="Z14" s="491"/>
      <c r="AA14" s="487"/>
    </row>
    <row r="15" spans="1:27" s="488" customFormat="1" ht="21" customHeight="1" x14ac:dyDescent="0.2">
      <c r="A15" s="492" t="s">
        <v>17</v>
      </c>
      <c r="B15" s="650">
        <v>42577</v>
      </c>
      <c r="C15" s="675" t="s">
        <v>378</v>
      </c>
      <c r="D15" s="651" t="s">
        <v>363</v>
      </c>
      <c r="E15" s="651" t="s">
        <v>374</v>
      </c>
      <c r="F15" s="484"/>
      <c r="G15" s="652" t="s">
        <v>382</v>
      </c>
      <c r="H15" s="652" t="s">
        <v>383</v>
      </c>
      <c r="I15" s="482" t="s">
        <v>17</v>
      </c>
      <c r="J15" s="118" t="s">
        <v>145</v>
      </c>
      <c r="K15" s="12" t="s">
        <v>149</v>
      </c>
      <c r="L15" s="661"/>
      <c r="M15" s="660"/>
      <c r="N15" s="659"/>
      <c r="O15" s="667">
        <v>23.999999999999996</v>
      </c>
      <c r="P15" s="662"/>
      <c r="Q15" s="509"/>
      <c r="R15" s="509"/>
      <c r="S15" s="673">
        <v>12.6</v>
      </c>
      <c r="T15" s="665"/>
      <c r="U15" s="674">
        <v>2</v>
      </c>
      <c r="V15" s="665"/>
      <c r="W15" s="666"/>
      <c r="X15" s="666"/>
      <c r="Y15" s="471"/>
      <c r="Z15" s="491"/>
      <c r="AA15" s="487"/>
    </row>
    <row r="16" spans="1:27" ht="15" x14ac:dyDescent="0.2">
      <c r="A16" s="248" t="s">
        <v>17</v>
      </c>
      <c r="B16" s="650">
        <v>42577</v>
      </c>
      <c r="C16" s="675" t="s">
        <v>378</v>
      </c>
      <c r="D16" s="651" t="s">
        <v>363</v>
      </c>
      <c r="E16" s="651" t="s">
        <v>374</v>
      </c>
      <c r="F16" s="200"/>
      <c r="G16" s="652" t="s">
        <v>384</v>
      </c>
      <c r="H16" s="652" t="s">
        <v>385</v>
      </c>
      <c r="I16" s="249" t="s">
        <v>17</v>
      </c>
      <c r="J16" s="118" t="s">
        <v>145</v>
      </c>
      <c r="K16" s="12" t="s">
        <v>149</v>
      </c>
      <c r="L16" s="203"/>
      <c r="M16" s="247"/>
      <c r="N16" s="247"/>
      <c r="O16" s="667">
        <v>21.18</v>
      </c>
      <c r="P16" s="203"/>
      <c r="Q16" s="204"/>
      <c r="R16" s="250"/>
      <c r="S16" s="673">
        <v>12.8</v>
      </c>
      <c r="T16" s="123"/>
      <c r="U16" s="674">
        <v>1.8</v>
      </c>
      <c r="V16" s="201"/>
      <c r="W16" s="201"/>
      <c r="X16" s="251"/>
      <c r="Y16" s="252"/>
    </row>
    <row r="17" spans="1:25" ht="15" x14ac:dyDescent="0.2">
      <c r="A17" s="248"/>
      <c r="B17" s="645"/>
      <c r="C17" s="489"/>
      <c r="D17" s="489"/>
      <c r="E17" s="489"/>
      <c r="F17" s="200"/>
      <c r="G17" s="490" t="s">
        <v>20</v>
      </c>
      <c r="H17" s="490" t="s">
        <v>20</v>
      </c>
      <c r="I17" s="249" t="s">
        <v>20</v>
      </c>
      <c r="J17" s="118"/>
      <c r="K17" s="12"/>
      <c r="L17" s="203"/>
      <c r="M17" s="247"/>
      <c r="N17" s="247"/>
      <c r="O17" s="653"/>
      <c r="P17" s="203"/>
      <c r="Q17" s="204"/>
      <c r="R17" s="250"/>
      <c r="S17" s="649"/>
      <c r="T17" s="123"/>
      <c r="U17" s="649"/>
      <c r="V17" s="201"/>
      <c r="W17" s="201"/>
      <c r="X17" s="251"/>
      <c r="Y17" s="252"/>
    </row>
    <row r="18" spans="1:25" ht="15" x14ac:dyDescent="0.2">
      <c r="A18" s="248"/>
      <c r="B18" s="645"/>
      <c r="C18" s="489"/>
      <c r="D18" s="489"/>
      <c r="E18" s="489"/>
      <c r="F18" s="200"/>
      <c r="G18" s="490" t="s">
        <v>20</v>
      </c>
      <c r="H18" s="490" t="s">
        <v>20</v>
      </c>
      <c r="I18" s="249" t="s">
        <v>20</v>
      </c>
      <c r="J18" s="118"/>
      <c r="K18" s="12"/>
      <c r="L18" s="203"/>
      <c r="M18" s="247"/>
      <c r="N18" s="247"/>
      <c r="O18" s="653"/>
      <c r="P18" s="203"/>
      <c r="Q18" s="204"/>
      <c r="R18" s="250"/>
      <c r="S18" s="649"/>
      <c r="T18" s="205"/>
      <c r="U18" s="649"/>
      <c r="V18" s="201"/>
      <c r="W18" s="201"/>
      <c r="X18" s="251"/>
      <c r="Y18" s="252"/>
    </row>
    <row r="19" spans="1:25" ht="15" x14ac:dyDescent="0.2">
      <c r="A19" s="248"/>
      <c r="B19" s="645"/>
      <c r="C19" s="489"/>
      <c r="D19" s="489"/>
      <c r="E19" s="489"/>
      <c r="F19" s="200"/>
      <c r="G19" s="490" t="s">
        <v>20</v>
      </c>
      <c r="H19" s="490" t="s">
        <v>20</v>
      </c>
      <c r="I19" s="249" t="s">
        <v>20</v>
      </c>
      <c r="J19" s="118"/>
      <c r="K19" s="12"/>
      <c r="L19" s="203"/>
      <c r="M19" s="247"/>
      <c r="N19" s="247"/>
      <c r="O19" s="653"/>
      <c r="P19" s="203"/>
      <c r="Q19" s="204"/>
      <c r="R19" s="250"/>
      <c r="S19" s="649"/>
      <c r="T19" s="205"/>
      <c r="U19" s="649"/>
      <c r="V19" s="201"/>
      <c r="W19" s="201"/>
      <c r="X19" s="251"/>
      <c r="Y19" s="252"/>
    </row>
    <row r="20" spans="1:25" ht="15" x14ac:dyDescent="0.2">
      <c r="A20" s="248"/>
      <c r="B20" s="645"/>
      <c r="C20" s="489"/>
      <c r="D20" s="489"/>
      <c r="E20" s="489"/>
      <c r="F20" s="200"/>
      <c r="G20" s="490" t="s">
        <v>20</v>
      </c>
      <c r="H20" s="490" t="s">
        <v>20</v>
      </c>
      <c r="I20" s="249" t="s">
        <v>20</v>
      </c>
      <c r="J20" s="118"/>
      <c r="K20" s="12"/>
      <c r="L20" s="203"/>
      <c r="M20" s="247"/>
      <c r="N20" s="247"/>
      <c r="O20" s="653"/>
      <c r="P20" s="203"/>
      <c r="Q20" s="204"/>
      <c r="R20" s="250"/>
      <c r="S20" s="649"/>
      <c r="T20" s="205"/>
      <c r="U20" s="649"/>
      <c r="V20" s="201"/>
      <c r="W20" s="201"/>
      <c r="X20" s="251"/>
      <c r="Y20" s="252"/>
    </row>
    <row r="21" spans="1:25" ht="15" x14ac:dyDescent="0.2">
      <c r="A21" s="248"/>
      <c r="B21" s="645"/>
      <c r="C21" s="489"/>
      <c r="D21" s="489"/>
      <c r="E21" s="489"/>
      <c r="F21" s="200"/>
      <c r="G21" s="490" t="s">
        <v>20</v>
      </c>
      <c r="H21" s="490" t="s">
        <v>20</v>
      </c>
      <c r="I21" s="249" t="s">
        <v>20</v>
      </c>
      <c r="J21" s="118"/>
      <c r="K21" s="12"/>
      <c r="L21" s="203"/>
      <c r="M21" s="247"/>
      <c r="N21" s="247"/>
      <c r="O21" s="653"/>
      <c r="P21" s="203"/>
      <c r="Q21" s="204"/>
      <c r="R21" s="250"/>
      <c r="S21" s="649"/>
      <c r="T21" s="205"/>
      <c r="U21" s="649"/>
      <c r="V21" s="201"/>
      <c r="W21" s="201"/>
      <c r="X21" s="251"/>
      <c r="Y21" s="252"/>
    </row>
    <row r="22" spans="1:25" ht="15" x14ac:dyDescent="0.2">
      <c r="A22" s="248"/>
      <c r="B22" s="645"/>
      <c r="C22" s="489"/>
      <c r="D22" s="489"/>
      <c r="E22" s="489"/>
      <c r="F22" s="200"/>
      <c r="G22" s="490" t="s">
        <v>20</v>
      </c>
      <c r="H22" s="490" t="s">
        <v>20</v>
      </c>
      <c r="I22" s="249" t="s">
        <v>20</v>
      </c>
      <c r="J22" s="118"/>
      <c r="K22" s="12"/>
      <c r="L22" s="203"/>
      <c r="M22" s="247"/>
      <c r="N22" s="247"/>
      <c r="O22" s="653"/>
      <c r="P22" s="203"/>
      <c r="Q22" s="204"/>
      <c r="R22" s="250"/>
      <c r="S22" s="649"/>
      <c r="T22" s="205"/>
      <c r="U22" s="649"/>
      <c r="V22" s="201"/>
      <c r="W22" s="201"/>
      <c r="X22" s="251"/>
      <c r="Y22" s="252"/>
    </row>
    <row r="23" spans="1:25" ht="15" x14ac:dyDescent="0.2">
      <c r="A23" s="248"/>
      <c r="B23" s="645"/>
      <c r="C23" s="489"/>
      <c r="D23" s="489"/>
      <c r="E23" s="489"/>
      <c r="F23" s="200"/>
      <c r="G23" s="490" t="s">
        <v>20</v>
      </c>
      <c r="H23" s="490" t="s">
        <v>20</v>
      </c>
      <c r="I23" s="249" t="s">
        <v>20</v>
      </c>
      <c r="J23" s="118"/>
      <c r="K23" s="12"/>
      <c r="L23" s="203"/>
      <c r="M23" s="247"/>
      <c r="N23" s="247"/>
      <c r="O23" s="653"/>
      <c r="P23" s="203"/>
      <c r="Q23" s="204"/>
      <c r="R23" s="250"/>
      <c r="S23" s="649"/>
      <c r="T23" s="205"/>
      <c r="U23" s="649"/>
      <c r="V23" s="201"/>
      <c r="W23" s="201"/>
      <c r="X23" s="251"/>
      <c r="Y23" s="252"/>
    </row>
    <row r="24" spans="1:25" ht="15" x14ac:dyDescent="0.2">
      <c r="A24" s="248"/>
      <c r="B24" s="645"/>
      <c r="C24" s="489"/>
      <c r="D24" s="489"/>
      <c r="E24" s="489"/>
      <c r="F24" s="200"/>
      <c r="G24" s="490" t="s">
        <v>20</v>
      </c>
      <c r="H24" s="490" t="s">
        <v>20</v>
      </c>
      <c r="I24" s="249" t="s">
        <v>20</v>
      </c>
      <c r="J24" s="118"/>
      <c r="K24" s="12"/>
      <c r="L24" s="203"/>
      <c r="M24" s="247"/>
      <c r="N24" s="247"/>
      <c r="O24" s="653"/>
      <c r="P24" s="203"/>
      <c r="Q24" s="204"/>
      <c r="R24" s="250"/>
      <c r="S24" s="649"/>
      <c r="T24" s="205"/>
      <c r="U24" s="649"/>
      <c r="V24" s="201"/>
      <c r="W24" s="201"/>
      <c r="X24" s="251"/>
      <c r="Y24" s="252"/>
    </row>
    <row r="25" spans="1:25" ht="15" x14ac:dyDescent="0.2">
      <c r="A25" s="248"/>
      <c r="B25" s="645"/>
      <c r="C25" s="489"/>
      <c r="D25" s="489"/>
      <c r="E25" s="489"/>
      <c r="F25" s="200"/>
      <c r="G25" s="490" t="s">
        <v>20</v>
      </c>
      <c r="H25" s="490" t="s">
        <v>20</v>
      </c>
      <c r="I25" s="249" t="s">
        <v>20</v>
      </c>
      <c r="J25" s="118"/>
      <c r="K25" s="12"/>
      <c r="L25" s="203"/>
      <c r="M25" s="247"/>
      <c r="N25" s="247"/>
      <c r="O25" s="653"/>
      <c r="P25" s="203"/>
      <c r="Q25" s="204"/>
      <c r="R25" s="250"/>
      <c r="S25" s="649"/>
      <c r="T25" s="205"/>
      <c r="U25" s="649"/>
      <c r="V25" s="201"/>
      <c r="W25" s="201"/>
      <c r="X25" s="251"/>
      <c r="Y25" s="252"/>
    </row>
    <row r="26" spans="1:25" ht="15" x14ac:dyDescent="0.2">
      <c r="A26" s="668"/>
      <c r="B26" s="645"/>
      <c r="C26" s="489"/>
      <c r="D26" s="489"/>
      <c r="E26" s="10"/>
      <c r="F26" s="10"/>
      <c r="G26" s="490" t="s">
        <v>20</v>
      </c>
      <c r="H26" s="490" t="s">
        <v>20</v>
      </c>
      <c r="I26" s="668"/>
      <c r="J26" s="118"/>
      <c r="K26" s="12"/>
      <c r="L26" s="10"/>
      <c r="M26" s="10"/>
      <c r="N26" s="10"/>
      <c r="O26" s="653"/>
      <c r="P26" s="10"/>
      <c r="Q26" s="10"/>
      <c r="R26" s="10"/>
      <c r="S26" s="10"/>
      <c r="T26" s="10"/>
      <c r="U26" s="10"/>
      <c r="V26" s="10"/>
      <c r="W26" s="10"/>
      <c r="X26" s="10"/>
    </row>
    <row r="27" spans="1:25" ht="15" x14ac:dyDescent="0.2">
      <c r="A27" s="668"/>
      <c r="B27" s="645"/>
      <c r="C27" s="489"/>
      <c r="D27" s="489"/>
      <c r="E27" s="10"/>
      <c r="F27" s="10"/>
      <c r="G27" s="490" t="s">
        <v>20</v>
      </c>
      <c r="H27" s="490" t="s">
        <v>20</v>
      </c>
      <c r="I27" s="668"/>
      <c r="J27" s="118"/>
      <c r="K27" s="12"/>
      <c r="L27" s="10"/>
      <c r="M27" s="10"/>
      <c r="N27" s="10"/>
      <c r="O27" s="653"/>
      <c r="P27" s="10"/>
      <c r="Q27" s="10"/>
      <c r="R27" s="10"/>
      <c r="S27" s="10"/>
      <c r="T27" s="10"/>
      <c r="U27" s="10"/>
      <c r="V27" s="10"/>
      <c r="W27" s="10"/>
      <c r="X27" s="10"/>
    </row>
    <row r="28" spans="1:25" ht="15" x14ac:dyDescent="0.2">
      <c r="A28" s="668"/>
      <c r="B28" s="645"/>
      <c r="C28" s="489"/>
      <c r="D28" s="489"/>
      <c r="E28" s="10"/>
      <c r="F28" s="10"/>
      <c r="G28" s="490" t="s">
        <v>20</v>
      </c>
      <c r="H28" s="490" t="s">
        <v>20</v>
      </c>
      <c r="I28" s="668"/>
      <c r="J28" s="118"/>
      <c r="K28" s="12"/>
      <c r="L28" s="10"/>
      <c r="M28" s="10"/>
      <c r="N28" s="10"/>
      <c r="O28" s="653"/>
      <c r="P28" s="10"/>
      <c r="Q28" s="10"/>
      <c r="R28" s="10"/>
      <c r="S28" s="10"/>
      <c r="T28" s="10"/>
      <c r="U28" s="10"/>
      <c r="V28" s="10"/>
      <c r="W28" s="10"/>
      <c r="X28" s="10"/>
    </row>
    <row r="29" spans="1:25" ht="15" x14ac:dyDescent="0.2">
      <c r="A29" s="668"/>
      <c r="B29" s="645"/>
      <c r="C29" s="489"/>
      <c r="D29" s="489"/>
      <c r="E29" s="10"/>
      <c r="F29" s="10"/>
      <c r="G29" s="490" t="s">
        <v>20</v>
      </c>
      <c r="H29" s="490" t="s">
        <v>20</v>
      </c>
      <c r="I29" s="668"/>
      <c r="J29" s="118"/>
      <c r="K29" s="12"/>
      <c r="L29" s="10"/>
      <c r="M29" s="10"/>
      <c r="N29" s="10"/>
      <c r="O29" s="653"/>
      <c r="P29" s="10"/>
      <c r="Q29" s="10"/>
      <c r="R29" s="10"/>
      <c r="S29" s="10"/>
      <c r="T29" s="10"/>
      <c r="U29" s="10"/>
      <c r="V29" s="10"/>
      <c r="W29" s="10"/>
      <c r="X29" s="10"/>
    </row>
    <row r="30" spans="1:25" ht="15" x14ac:dyDescent="0.2">
      <c r="A30" s="668"/>
      <c r="B30" s="645"/>
      <c r="C30" s="489"/>
      <c r="D30" s="489"/>
      <c r="E30" s="10"/>
      <c r="F30" s="10"/>
      <c r="G30" s="490" t="s">
        <v>20</v>
      </c>
      <c r="H30" s="490" t="s">
        <v>20</v>
      </c>
      <c r="I30" s="668"/>
      <c r="J30" s="118"/>
      <c r="K30" s="12"/>
      <c r="L30" s="10"/>
      <c r="M30" s="10"/>
      <c r="N30" s="10"/>
      <c r="O30" s="653"/>
      <c r="P30" s="10"/>
      <c r="Q30" s="10"/>
      <c r="R30" s="10"/>
      <c r="S30" s="10"/>
      <c r="T30" s="10"/>
      <c r="U30" s="10"/>
      <c r="V30" s="10"/>
      <c r="W30" s="10"/>
      <c r="X30" s="10"/>
    </row>
    <row r="31" spans="1:25" ht="15" x14ac:dyDescent="0.2">
      <c r="A31" s="668"/>
      <c r="B31" s="645"/>
      <c r="C31" s="489"/>
      <c r="D31" s="489"/>
      <c r="E31" s="10"/>
      <c r="F31" s="10"/>
      <c r="G31" s="490" t="s">
        <v>20</v>
      </c>
      <c r="H31" s="490" t="s">
        <v>20</v>
      </c>
      <c r="I31" s="668"/>
      <c r="J31" s="118"/>
      <c r="K31" s="12"/>
      <c r="L31" s="10"/>
      <c r="M31" s="10"/>
      <c r="N31" s="10"/>
      <c r="O31" s="653"/>
      <c r="P31" s="10"/>
      <c r="Q31" s="10"/>
      <c r="R31" s="10"/>
      <c r="S31" s="10"/>
      <c r="T31" s="10"/>
      <c r="U31" s="10"/>
      <c r="V31" s="10"/>
      <c r="W31" s="10"/>
      <c r="X31" s="10"/>
    </row>
    <row r="32" spans="1:25" ht="15" x14ac:dyDescent="0.2">
      <c r="A32" s="668"/>
      <c r="B32" s="645"/>
      <c r="C32" s="489"/>
      <c r="D32" s="489"/>
      <c r="E32" s="10"/>
      <c r="F32" s="10"/>
      <c r="G32" s="490" t="s">
        <v>20</v>
      </c>
      <c r="H32" s="490" t="s">
        <v>20</v>
      </c>
      <c r="I32" s="668"/>
      <c r="J32" s="118"/>
      <c r="K32" s="12"/>
      <c r="L32" s="10"/>
      <c r="M32" s="10"/>
      <c r="N32" s="10"/>
      <c r="O32" s="653"/>
      <c r="P32" s="10"/>
      <c r="Q32" s="10"/>
      <c r="R32" s="10"/>
      <c r="S32" s="10"/>
      <c r="T32" s="10"/>
      <c r="U32" s="10"/>
      <c r="V32" s="10"/>
      <c r="W32" s="10"/>
      <c r="X32" s="10"/>
    </row>
    <row r="33" spans="1:24" ht="15" x14ac:dyDescent="0.2">
      <c r="A33" s="668"/>
      <c r="B33" s="645"/>
      <c r="C33" s="489"/>
      <c r="D33" s="489"/>
      <c r="E33" s="10"/>
      <c r="F33" s="10"/>
      <c r="G33" s="490" t="s">
        <v>20</v>
      </c>
      <c r="H33" s="490" t="s">
        <v>20</v>
      </c>
      <c r="I33" s="668"/>
      <c r="J33" s="118"/>
      <c r="K33" s="12"/>
      <c r="L33" s="10"/>
      <c r="M33" s="10"/>
      <c r="N33" s="10"/>
      <c r="O33" s="653"/>
      <c r="P33" s="10"/>
      <c r="Q33" s="10"/>
      <c r="R33" s="10"/>
      <c r="S33" s="10"/>
      <c r="T33" s="10"/>
      <c r="U33" s="10"/>
      <c r="V33" s="10"/>
      <c r="W33" s="10"/>
      <c r="X33" s="10"/>
    </row>
    <row r="34" spans="1:24" ht="15" x14ac:dyDescent="0.2">
      <c r="A34" s="668"/>
      <c r="B34" s="645"/>
      <c r="C34" s="489"/>
      <c r="D34" s="489"/>
      <c r="E34" s="10"/>
      <c r="F34" s="10"/>
      <c r="G34" s="490" t="s">
        <v>20</v>
      </c>
      <c r="H34" s="490" t="s">
        <v>20</v>
      </c>
      <c r="I34" s="668"/>
      <c r="J34" s="118"/>
      <c r="K34" s="12"/>
      <c r="L34" s="10"/>
      <c r="M34" s="10"/>
      <c r="N34" s="10"/>
      <c r="O34" s="653"/>
      <c r="P34" s="10"/>
      <c r="Q34" s="10"/>
      <c r="R34" s="10"/>
      <c r="S34" s="10"/>
      <c r="T34" s="10"/>
      <c r="U34" s="10"/>
      <c r="V34" s="10"/>
      <c r="W34" s="10"/>
      <c r="X34" s="10"/>
    </row>
    <row r="35" spans="1:24" ht="15" x14ac:dyDescent="0.2">
      <c r="A35" s="668"/>
      <c r="B35" s="645"/>
      <c r="C35" s="489"/>
      <c r="D35" s="489"/>
      <c r="E35" s="10"/>
      <c r="F35" s="10"/>
      <c r="G35" s="490" t="s">
        <v>20</v>
      </c>
      <c r="H35" s="490" t="s">
        <v>20</v>
      </c>
      <c r="I35" s="668"/>
      <c r="J35" s="118"/>
      <c r="K35" s="12"/>
      <c r="L35" s="10"/>
      <c r="M35" s="10"/>
      <c r="N35" s="10"/>
      <c r="O35" s="653"/>
      <c r="P35" s="10"/>
      <c r="Q35" s="10"/>
      <c r="R35" s="10"/>
      <c r="S35" s="10"/>
      <c r="T35" s="10"/>
      <c r="U35" s="10"/>
      <c r="V35" s="10"/>
      <c r="W35" s="10"/>
      <c r="X35" s="10"/>
    </row>
    <row r="36" spans="1:24" ht="15" x14ac:dyDescent="0.2">
      <c r="A36" s="668"/>
      <c r="B36" s="645"/>
      <c r="C36" s="489"/>
      <c r="D36" s="489"/>
      <c r="E36" s="10"/>
      <c r="F36" s="10"/>
      <c r="G36" s="490" t="s">
        <v>20</v>
      </c>
      <c r="H36" s="490" t="s">
        <v>20</v>
      </c>
      <c r="I36" s="668"/>
      <c r="J36" s="118"/>
      <c r="K36" s="12"/>
      <c r="L36" s="10"/>
      <c r="M36" s="10"/>
      <c r="N36" s="10"/>
      <c r="O36" s="653"/>
      <c r="P36" s="10"/>
      <c r="Q36" s="10"/>
      <c r="R36" s="10"/>
      <c r="S36" s="10"/>
      <c r="T36" s="10"/>
      <c r="U36" s="10"/>
      <c r="V36" s="10"/>
      <c r="W36" s="10"/>
      <c r="X36" s="10"/>
    </row>
    <row r="37" spans="1:24" ht="15" x14ac:dyDescent="0.2">
      <c r="A37" s="668"/>
      <c r="B37" s="645"/>
      <c r="C37" s="489"/>
      <c r="D37" s="489"/>
      <c r="E37" s="10"/>
      <c r="F37" s="10"/>
      <c r="G37" s="490" t="s">
        <v>20</v>
      </c>
      <c r="H37" s="490" t="s">
        <v>20</v>
      </c>
      <c r="I37" s="668"/>
      <c r="J37" s="118"/>
      <c r="K37" s="12"/>
      <c r="L37" s="10"/>
      <c r="M37" s="10"/>
      <c r="N37" s="10"/>
      <c r="O37" s="653"/>
      <c r="P37" s="10"/>
      <c r="Q37" s="10"/>
      <c r="R37" s="10"/>
      <c r="S37" s="10"/>
      <c r="T37" s="10"/>
      <c r="U37" s="10"/>
      <c r="V37" s="10"/>
      <c r="W37" s="10"/>
      <c r="X37" s="10"/>
    </row>
    <row r="38" spans="1:24" ht="15" x14ac:dyDescent="0.2">
      <c r="A38" s="668"/>
      <c r="B38" s="645"/>
      <c r="C38" s="489"/>
      <c r="D38" s="489"/>
      <c r="E38" s="10"/>
      <c r="F38" s="10"/>
      <c r="G38" s="490" t="s">
        <v>20</v>
      </c>
      <c r="H38" s="490" t="s">
        <v>20</v>
      </c>
      <c r="I38" s="668"/>
      <c r="J38" s="118"/>
      <c r="K38" s="12"/>
      <c r="L38" s="10"/>
      <c r="M38" s="10"/>
      <c r="N38" s="10"/>
      <c r="O38" s="653"/>
      <c r="P38" s="10"/>
      <c r="Q38" s="10"/>
      <c r="R38" s="10"/>
      <c r="S38" s="10"/>
      <c r="T38" s="10"/>
      <c r="U38" s="10"/>
      <c r="V38" s="10"/>
      <c r="W38" s="10"/>
      <c r="X38" s="10"/>
    </row>
    <row r="39" spans="1:24" ht="15" x14ac:dyDescent="0.2">
      <c r="A39" s="668"/>
      <c r="B39" s="645"/>
      <c r="C39" s="489"/>
      <c r="D39" s="489"/>
      <c r="E39" s="10"/>
      <c r="F39" s="10"/>
      <c r="G39" s="490" t="s">
        <v>20</v>
      </c>
      <c r="H39" s="490" t="s">
        <v>20</v>
      </c>
      <c r="I39" s="668"/>
      <c r="J39" s="118"/>
      <c r="K39" s="12"/>
      <c r="L39" s="10"/>
      <c r="M39" s="10"/>
      <c r="N39" s="10"/>
      <c r="O39" s="653"/>
      <c r="P39" s="10"/>
      <c r="Q39" s="10"/>
      <c r="R39" s="10"/>
      <c r="S39" s="10"/>
      <c r="T39" s="10"/>
      <c r="U39" s="10"/>
      <c r="V39" s="10"/>
      <c r="W39" s="10"/>
      <c r="X39" s="10"/>
    </row>
    <row r="40" spans="1:24" ht="15" x14ac:dyDescent="0.2">
      <c r="A40" s="668"/>
      <c r="B40" s="645"/>
      <c r="C40" s="489"/>
      <c r="D40" s="489"/>
      <c r="E40" s="10"/>
      <c r="F40" s="10"/>
      <c r="G40" s="490" t="s">
        <v>20</v>
      </c>
      <c r="H40" s="490" t="s">
        <v>20</v>
      </c>
      <c r="I40" s="668"/>
      <c r="J40" s="118"/>
      <c r="K40" s="12"/>
      <c r="L40" s="10"/>
      <c r="M40" s="10"/>
      <c r="N40" s="10"/>
      <c r="O40" s="653"/>
      <c r="P40" s="10"/>
      <c r="Q40" s="10"/>
      <c r="R40" s="10"/>
      <c r="S40" s="10"/>
      <c r="T40" s="10"/>
      <c r="U40" s="10"/>
      <c r="V40" s="10"/>
      <c r="W40" s="10"/>
      <c r="X40" s="10"/>
    </row>
    <row r="41" spans="1:24" ht="15" x14ac:dyDescent="0.2">
      <c r="A41" s="668"/>
      <c r="B41" s="645"/>
      <c r="C41" s="489"/>
      <c r="D41" s="489"/>
      <c r="E41" s="10"/>
      <c r="F41" s="10"/>
      <c r="G41" s="490" t="s">
        <v>20</v>
      </c>
      <c r="H41" s="490" t="s">
        <v>20</v>
      </c>
      <c r="I41" s="668"/>
      <c r="J41" s="118"/>
      <c r="K41" s="12"/>
      <c r="L41" s="10"/>
      <c r="M41" s="10"/>
      <c r="N41" s="10"/>
      <c r="O41" s="653"/>
      <c r="P41" s="10"/>
      <c r="Q41" s="10"/>
      <c r="R41" s="10"/>
      <c r="S41" s="10"/>
      <c r="T41" s="10"/>
      <c r="U41" s="10"/>
      <c r="V41" s="10"/>
      <c r="W41" s="10"/>
      <c r="X41" s="10"/>
    </row>
    <row r="42" spans="1:24" ht="15" x14ac:dyDescent="0.2">
      <c r="A42" s="668"/>
      <c r="B42" s="645"/>
      <c r="C42" s="489"/>
      <c r="D42" s="489"/>
      <c r="E42" s="10"/>
      <c r="F42" s="10"/>
      <c r="G42" s="490" t="s">
        <v>20</v>
      </c>
      <c r="H42" s="490" t="s">
        <v>20</v>
      </c>
      <c r="I42" s="668"/>
      <c r="J42" s="118"/>
      <c r="K42" s="12"/>
      <c r="L42" s="10"/>
      <c r="M42" s="10"/>
      <c r="N42" s="10"/>
      <c r="O42" s="653"/>
      <c r="P42" s="10"/>
      <c r="Q42" s="10"/>
      <c r="R42" s="10"/>
      <c r="S42" s="10"/>
      <c r="T42" s="10"/>
      <c r="U42" s="10"/>
      <c r="V42" s="10"/>
      <c r="W42" s="10"/>
      <c r="X42" s="10"/>
    </row>
    <row r="43" spans="1:24" ht="15" x14ac:dyDescent="0.2">
      <c r="A43" s="668"/>
      <c r="B43" s="645"/>
      <c r="C43" s="489"/>
      <c r="D43" s="489"/>
      <c r="E43" s="10"/>
      <c r="F43" s="10"/>
      <c r="G43" s="490" t="s">
        <v>20</v>
      </c>
      <c r="H43" s="490" t="s">
        <v>20</v>
      </c>
      <c r="I43" s="668"/>
      <c r="J43" s="118"/>
      <c r="K43" s="12"/>
      <c r="L43" s="10"/>
      <c r="M43" s="10"/>
      <c r="N43" s="10"/>
      <c r="O43" s="653"/>
      <c r="P43" s="10"/>
      <c r="Q43" s="10"/>
      <c r="R43" s="10"/>
      <c r="S43" s="10"/>
      <c r="T43" s="10"/>
      <c r="U43" s="10"/>
      <c r="V43" s="10"/>
      <c r="W43" s="10"/>
      <c r="X43" s="10"/>
    </row>
    <row r="44" spans="1:24" ht="15" x14ac:dyDescent="0.2">
      <c r="A44" s="668"/>
      <c r="B44" s="645"/>
      <c r="C44" s="489"/>
      <c r="D44" s="489"/>
      <c r="E44" s="10"/>
      <c r="F44" s="10"/>
      <c r="G44" s="490" t="s">
        <v>20</v>
      </c>
      <c r="H44" s="490" t="s">
        <v>20</v>
      </c>
      <c r="I44" s="668"/>
      <c r="J44" s="118"/>
      <c r="K44" s="12"/>
      <c r="L44" s="10"/>
      <c r="M44" s="10"/>
      <c r="N44" s="10"/>
      <c r="O44" s="653"/>
      <c r="P44" s="10"/>
      <c r="Q44" s="10"/>
      <c r="R44" s="10"/>
      <c r="S44" s="10"/>
      <c r="T44" s="10"/>
      <c r="U44" s="10"/>
      <c r="V44" s="10"/>
      <c r="W44" s="10"/>
      <c r="X44" s="10"/>
    </row>
    <row r="45" spans="1:24" ht="15" x14ac:dyDescent="0.2">
      <c r="A45" s="668"/>
      <c r="B45" s="645"/>
      <c r="C45" s="489"/>
      <c r="D45" s="489"/>
      <c r="E45" s="10"/>
      <c r="F45" s="10"/>
      <c r="G45" s="490" t="s">
        <v>20</v>
      </c>
      <c r="H45" s="490" t="s">
        <v>20</v>
      </c>
      <c r="I45" s="668"/>
      <c r="J45" s="118"/>
      <c r="K45" s="12"/>
      <c r="L45" s="10"/>
      <c r="M45" s="10"/>
      <c r="N45" s="10"/>
      <c r="O45" s="653"/>
      <c r="P45" s="10"/>
      <c r="Q45" s="10"/>
      <c r="R45" s="10"/>
      <c r="S45" s="10"/>
      <c r="T45" s="10"/>
      <c r="U45" s="10"/>
      <c r="V45" s="10"/>
      <c r="W45" s="10"/>
      <c r="X45" s="10"/>
    </row>
    <row r="46" spans="1:24" ht="15" x14ac:dyDescent="0.2">
      <c r="A46" s="668"/>
      <c r="B46" s="645"/>
      <c r="C46" s="489"/>
      <c r="D46" s="489"/>
      <c r="E46" s="10"/>
      <c r="F46" s="10"/>
      <c r="G46" s="490" t="s">
        <v>20</v>
      </c>
      <c r="H46" s="490" t="s">
        <v>20</v>
      </c>
      <c r="I46" s="668"/>
      <c r="J46" s="118"/>
      <c r="K46" s="12"/>
      <c r="L46" s="10"/>
      <c r="M46" s="10"/>
      <c r="N46" s="10"/>
      <c r="O46" s="653"/>
      <c r="P46" s="10"/>
      <c r="Q46" s="10"/>
      <c r="R46" s="10"/>
      <c r="S46" s="10"/>
      <c r="T46" s="10"/>
      <c r="U46" s="10"/>
      <c r="V46" s="10"/>
      <c r="W46" s="10"/>
      <c r="X46" s="10"/>
    </row>
    <row r="47" spans="1:24" ht="15" x14ac:dyDescent="0.2">
      <c r="A47" s="668"/>
      <c r="B47" s="645"/>
      <c r="C47" s="489"/>
      <c r="D47" s="489"/>
      <c r="E47" s="10"/>
      <c r="F47" s="10"/>
      <c r="G47" s="490" t="s">
        <v>20</v>
      </c>
      <c r="H47" s="490" t="s">
        <v>20</v>
      </c>
      <c r="I47" s="668"/>
      <c r="J47" s="118"/>
      <c r="K47" s="12"/>
      <c r="L47" s="10"/>
      <c r="M47" s="10"/>
      <c r="N47" s="10"/>
      <c r="O47" s="653"/>
      <c r="P47" s="10"/>
      <c r="Q47" s="10"/>
      <c r="R47" s="10"/>
      <c r="S47" s="10"/>
      <c r="T47" s="10"/>
      <c r="U47" s="10"/>
      <c r="V47" s="10"/>
      <c r="W47" s="10"/>
      <c r="X47" s="10"/>
    </row>
    <row r="48" spans="1:24" ht="15" x14ac:dyDescent="0.2">
      <c r="A48" s="668"/>
      <c r="B48" s="645"/>
      <c r="C48" s="489"/>
      <c r="D48" s="489"/>
      <c r="E48" s="10"/>
      <c r="F48" s="10"/>
      <c r="G48" s="490" t="s">
        <v>20</v>
      </c>
      <c r="H48" s="490" t="s">
        <v>20</v>
      </c>
      <c r="I48" s="668"/>
      <c r="J48" s="118"/>
      <c r="K48" s="12"/>
      <c r="L48" s="10"/>
      <c r="M48" s="10"/>
      <c r="N48" s="10"/>
      <c r="O48" s="653"/>
      <c r="P48" s="10"/>
      <c r="Q48" s="10"/>
      <c r="R48" s="10"/>
      <c r="S48" s="10"/>
      <c r="T48" s="10"/>
      <c r="U48" s="10"/>
      <c r="V48" s="10"/>
      <c r="W48" s="10"/>
      <c r="X48" s="10"/>
    </row>
    <row r="49" spans="1:24" ht="15" x14ac:dyDescent="0.2">
      <c r="A49" s="668"/>
      <c r="B49" s="645"/>
      <c r="C49" s="489"/>
      <c r="D49" s="489"/>
      <c r="E49" s="10"/>
      <c r="F49" s="10"/>
      <c r="G49" s="490" t="s">
        <v>20</v>
      </c>
      <c r="H49" s="490" t="s">
        <v>20</v>
      </c>
      <c r="I49" s="668"/>
      <c r="J49" s="118"/>
      <c r="K49" s="12"/>
      <c r="L49" s="10"/>
      <c r="M49" s="10"/>
      <c r="N49" s="10"/>
      <c r="O49" s="653"/>
      <c r="P49" s="10"/>
      <c r="Q49" s="10"/>
      <c r="R49" s="10"/>
      <c r="S49" s="10"/>
      <c r="T49" s="10"/>
      <c r="U49" s="10"/>
      <c r="V49" s="10"/>
      <c r="W49" s="10"/>
      <c r="X49" s="10"/>
    </row>
    <row r="50" spans="1:24" ht="15" x14ac:dyDescent="0.2">
      <c r="A50" s="668"/>
      <c r="B50" s="645"/>
      <c r="C50" s="489"/>
      <c r="D50" s="489"/>
      <c r="E50" s="10"/>
      <c r="F50" s="10"/>
      <c r="G50" s="490" t="s">
        <v>20</v>
      </c>
      <c r="H50" s="490" t="s">
        <v>20</v>
      </c>
      <c r="I50" s="668"/>
      <c r="J50" s="118"/>
      <c r="K50" s="12"/>
      <c r="L50" s="10"/>
      <c r="M50" s="10"/>
      <c r="N50" s="10"/>
      <c r="O50" s="653"/>
      <c r="P50" s="10"/>
      <c r="Q50" s="10"/>
      <c r="R50" s="10"/>
      <c r="S50" s="10"/>
      <c r="T50" s="10"/>
      <c r="U50" s="10"/>
      <c r="V50" s="10"/>
      <c r="W50" s="10"/>
      <c r="X50" s="10"/>
    </row>
    <row r="51" spans="1:24" ht="15" x14ac:dyDescent="0.2">
      <c r="A51" s="668"/>
      <c r="B51" s="645"/>
      <c r="C51" s="489"/>
      <c r="D51" s="489"/>
      <c r="E51" s="10"/>
      <c r="F51" s="10"/>
      <c r="G51" s="490" t="s">
        <v>20</v>
      </c>
      <c r="H51" s="490" t="s">
        <v>20</v>
      </c>
      <c r="I51" s="668"/>
      <c r="J51" s="118"/>
      <c r="K51" s="12"/>
      <c r="L51" s="10"/>
      <c r="M51" s="10"/>
      <c r="N51" s="10"/>
      <c r="O51" s="653"/>
      <c r="P51" s="10"/>
      <c r="Q51" s="10"/>
      <c r="R51" s="10"/>
      <c r="S51" s="10"/>
      <c r="T51" s="10"/>
      <c r="U51" s="10"/>
      <c r="V51" s="10"/>
      <c r="W51" s="10"/>
      <c r="X51" s="10"/>
    </row>
    <row r="52" spans="1:24" ht="15" x14ac:dyDescent="0.2">
      <c r="A52" s="668"/>
      <c r="B52" s="645"/>
      <c r="C52" s="489"/>
      <c r="D52" s="489"/>
      <c r="E52" s="10"/>
      <c r="F52" s="10"/>
      <c r="G52" s="490" t="s">
        <v>20</v>
      </c>
      <c r="H52" s="490" t="s">
        <v>20</v>
      </c>
      <c r="I52" s="668"/>
      <c r="J52" s="118"/>
      <c r="K52" s="12"/>
      <c r="L52" s="10"/>
      <c r="M52" s="10"/>
      <c r="N52" s="10"/>
      <c r="O52" s="653"/>
      <c r="P52" s="10"/>
      <c r="Q52" s="10"/>
      <c r="R52" s="10"/>
      <c r="S52" s="10"/>
      <c r="T52" s="10"/>
      <c r="U52" s="10"/>
      <c r="V52" s="10"/>
      <c r="W52" s="10"/>
      <c r="X52" s="10"/>
    </row>
    <row r="53" spans="1:24" ht="15" x14ac:dyDescent="0.2">
      <c r="A53" s="668"/>
      <c r="B53" s="645"/>
      <c r="C53" s="489"/>
      <c r="D53" s="489"/>
      <c r="E53" s="10"/>
      <c r="F53" s="10"/>
      <c r="G53" s="490" t="s">
        <v>20</v>
      </c>
      <c r="H53" s="490" t="s">
        <v>20</v>
      </c>
      <c r="I53" s="668"/>
      <c r="J53" s="118"/>
      <c r="K53" s="12"/>
      <c r="L53" s="10"/>
      <c r="M53" s="10"/>
      <c r="N53" s="10"/>
      <c r="O53" s="653"/>
      <c r="P53" s="10"/>
      <c r="Q53" s="10"/>
      <c r="R53" s="10"/>
      <c r="S53" s="10"/>
      <c r="T53" s="10"/>
      <c r="U53" s="10"/>
      <c r="V53" s="10"/>
      <c r="W53" s="10"/>
      <c r="X53" s="10"/>
    </row>
    <row r="54" spans="1:24" ht="15" x14ac:dyDescent="0.2">
      <c r="A54" s="668"/>
      <c r="B54" s="645"/>
      <c r="C54" s="489"/>
      <c r="D54" s="489"/>
      <c r="E54" s="10"/>
      <c r="F54" s="10"/>
      <c r="G54" s="490" t="s">
        <v>20</v>
      </c>
      <c r="H54" s="490" t="s">
        <v>20</v>
      </c>
      <c r="I54" s="668"/>
      <c r="J54" s="118"/>
      <c r="K54" s="12"/>
      <c r="L54" s="10"/>
      <c r="M54" s="10"/>
      <c r="N54" s="10"/>
      <c r="O54" s="653"/>
      <c r="P54" s="10"/>
      <c r="Q54" s="10"/>
      <c r="R54" s="10"/>
      <c r="S54" s="10"/>
      <c r="T54" s="10"/>
      <c r="U54" s="10"/>
      <c r="V54" s="10"/>
      <c r="W54" s="10"/>
      <c r="X54" s="10"/>
    </row>
    <row r="55" spans="1:24" ht="15" x14ac:dyDescent="0.2">
      <c r="A55" s="668"/>
      <c r="B55" s="645"/>
      <c r="C55" s="489"/>
      <c r="D55" s="489"/>
      <c r="E55" s="10"/>
      <c r="F55" s="10"/>
      <c r="G55" s="490" t="s">
        <v>20</v>
      </c>
      <c r="H55" s="490" t="s">
        <v>20</v>
      </c>
      <c r="I55" s="668"/>
      <c r="J55" s="118"/>
      <c r="K55" s="12"/>
      <c r="L55" s="10"/>
      <c r="M55" s="10"/>
      <c r="N55" s="10"/>
      <c r="O55" s="653"/>
      <c r="P55" s="10"/>
      <c r="Q55" s="10"/>
      <c r="R55" s="10"/>
      <c r="S55" s="10"/>
      <c r="T55" s="10"/>
      <c r="U55" s="10"/>
      <c r="V55" s="10"/>
      <c r="W55" s="10"/>
      <c r="X55" s="10"/>
    </row>
    <row r="56" spans="1:24" ht="15" x14ac:dyDescent="0.2">
      <c r="A56" s="668"/>
      <c r="B56" s="645"/>
      <c r="C56" s="489"/>
      <c r="D56" s="489"/>
      <c r="E56" s="10"/>
      <c r="F56" s="10"/>
      <c r="G56" s="490" t="s">
        <v>20</v>
      </c>
      <c r="H56" s="490" t="s">
        <v>20</v>
      </c>
      <c r="I56" s="668"/>
      <c r="J56" s="118"/>
      <c r="K56" s="12"/>
      <c r="L56" s="10"/>
      <c r="M56" s="10"/>
      <c r="N56" s="10"/>
      <c r="O56" s="653"/>
      <c r="P56" s="10"/>
      <c r="Q56" s="10"/>
      <c r="R56" s="10"/>
      <c r="S56" s="10"/>
      <c r="T56" s="10"/>
      <c r="U56" s="10"/>
      <c r="V56" s="10"/>
      <c r="W56" s="10"/>
      <c r="X56" s="10"/>
    </row>
    <row r="57" spans="1:24" ht="15" x14ac:dyDescent="0.2">
      <c r="A57" s="668"/>
      <c r="B57" s="645"/>
      <c r="C57" s="489"/>
      <c r="D57" s="489"/>
      <c r="E57" s="10"/>
      <c r="F57" s="10"/>
      <c r="G57" s="490" t="s">
        <v>20</v>
      </c>
      <c r="H57" s="490" t="s">
        <v>20</v>
      </c>
      <c r="I57" s="668"/>
      <c r="J57" s="118"/>
      <c r="K57" s="12"/>
      <c r="L57" s="10"/>
      <c r="M57" s="10"/>
      <c r="N57" s="10"/>
      <c r="O57" s="653"/>
      <c r="P57" s="10"/>
      <c r="Q57" s="10"/>
      <c r="R57" s="10"/>
      <c r="S57" s="10"/>
      <c r="T57" s="10"/>
      <c r="U57" s="10"/>
      <c r="V57" s="10"/>
      <c r="W57" s="10"/>
      <c r="X57" s="10"/>
    </row>
    <row r="58" spans="1:24" ht="15" x14ac:dyDescent="0.2">
      <c r="A58" s="668"/>
      <c r="B58" s="645"/>
      <c r="C58" s="489"/>
      <c r="D58" s="489"/>
      <c r="E58" s="10"/>
      <c r="F58" s="10"/>
      <c r="G58" s="490" t="s">
        <v>20</v>
      </c>
      <c r="H58" s="490" t="s">
        <v>20</v>
      </c>
      <c r="I58" s="668"/>
      <c r="J58" s="118"/>
      <c r="K58" s="12"/>
      <c r="L58" s="10"/>
      <c r="M58" s="10"/>
      <c r="N58" s="10"/>
      <c r="O58" s="653"/>
      <c r="P58" s="10"/>
      <c r="Q58" s="10"/>
      <c r="R58" s="10"/>
      <c r="S58" s="10"/>
      <c r="T58" s="10"/>
      <c r="U58" s="10"/>
      <c r="V58" s="10"/>
      <c r="W58" s="10"/>
      <c r="X58" s="10"/>
    </row>
    <row r="59" spans="1:24" ht="15" x14ac:dyDescent="0.2">
      <c r="A59" s="668"/>
      <c r="B59" s="645"/>
      <c r="C59" s="489"/>
      <c r="D59" s="489"/>
      <c r="E59" s="10"/>
      <c r="F59" s="10"/>
      <c r="G59" s="490" t="s">
        <v>20</v>
      </c>
      <c r="H59" s="490" t="s">
        <v>20</v>
      </c>
      <c r="I59" s="668"/>
      <c r="J59" s="118"/>
      <c r="K59" s="12"/>
      <c r="L59" s="10"/>
      <c r="M59" s="10"/>
      <c r="N59" s="10"/>
      <c r="O59" s="653"/>
      <c r="P59" s="10"/>
      <c r="Q59" s="10"/>
      <c r="R59" s="10"/>
      <c r="S59" s="10"/>
      <c r="T59" s="10"/>
      <c r="U59" s="10"/>
      <c r="V59" s="10"/>
      <c r="W59" s="10"/>
      <c r="X59" s="10"/>
    </row>
    <row r="60" spans="1:24" ht="15" x14ac:dyDescent="0.2">
      <c r="A60" s="668"/>
      <c r="B60" s="645"/>
      <c r="C60" s="489"/>
      <c r="D60" s="489"/>
      <c r="E60" s="10"/>
      <c r="F60" s="10"/>
      <c r="G60" s="490" t="s">
        <v>20</v>
      </c>
      <c r="H60" s="490" t="s">
        <v>20</v>
      </c>
      <c r="I60" s="668"/>
      <c r="J60" s="118"/>
      <c r="K60" s="12"/>
      <c r="L60" s="10"/>
      <c r="M60" s="10"/>
      <c r="N60" s="10"/>
      <c r="O60" s="653"/>
      <c r="P60" s="10"/>
      <c r="Q60" s="10"/>
      <c r="R60" s="10"/>
      <c r="S60" s="10"/>
      <c r="T60" s="10"/>
      <c r="U60" s="10"/>
      <c r="V60" s="10"/>
      <c r="W60" s="10"/>
      <c r="X60" s="10"/>
    </row>
  </sheetData>
  <protectedRanges>
    <protectedRange sqref="B15" name="Диапазон1_2_2_4_1_1_1_1_1_1_1_1_1_2_1_1_1_1_2_1"/>
    <protectedRange sqref="C11:C14" name="Диапазон1_2_6_1_1_1_1_1_2_1_1_1_1_1_1_1_1_1_2_1_5"/>
    <protectedRange sqref="B11:B14" name="Диапазон1_2_2_4_1_1_1_1_1_1_1_1_1_2_1_1_1_1_2_1_2"/>
  </protectedRanges>
  <autoFilter ref="A9:Y60">
    <filterColumn colId="9" showButton="0"/>
    <filterColumn colId="10" showButton="0"/>
    <filterColumn colId="12" showButton="0"/>
    <filterColumn colId="13" showButton="0"/>
    <filterColumn colId="18" showButton="0"/>
    <filterColumn colId="19" showButton="0"/>
    <filterColumn colId="20" showButton="0"/>
    <filterColumn colId="21" showButton="0"/>
    <filterColumn colId="22" showButton="0"/>
  </autoFilter>
  <customSheetViews>
    <customSheetView guid="{2527107E-9D0B-4093-B4A8-CF38BFB15F1C}" showAutoFilter="1">
      <pane ySplit="10" topLeftCell="A11" activePane="bottomLeft" state="frozen"/>
      <selection pane="bottomLeft" activeCell="D6" sqref="D6"/>
      <pageMargins left="0.75" right="0.75" top="1" bottom="1" header="0.5" footer="0.5"/>
      <pageSetup orientation="portrait" r:id="rId1"/>
      <headerFooter alignWithMargins="0"/>
      <autoFilter ref="A9:X11">
        <filterColumn colId="9" showButton="0"/>
        <filterColumn colId="10" showButton="0"/>
        <filterColumn colId="12" showButton="0"/>
        <filterColumn colId="13" showButton="0"/>
        <filterColumn colId="17" showButton="0"/>
        <filterColumn colId="18" showButton="0"/>
        <filterColumn colId="19" showButton="0"/>
        <filterColumn colId="20" showButton="0"/>
        <filterColumn colId="21" showButton="0"/>
      </autoFilter>
    </customSheetView>
    <customSheetView guid="{7D07A65A-63F9-4A71-9039-2DCC2F4ABF4C}" showAutoFilter="1">
      <pane ySplit="10" topLeftCell="A11" activePane="bottomLeft" state="frozen"/>
      <selection pane="bottomLeft" activeCell="D6" sqref="D6"/>
      <pageMargins left="0.75" right="0.75" top="1" bottom="1" header="0.5" footer="0.5"/>
      <pageSetup orientation="portrait" r:id="rId2"/>
      <headerFooter alignWithMargins="0"/>
      <autoFilter ref="A9:X29">
        <filterColumn colId="9" showButton="0"/>
        <filterColumn colId="10" showButton="0"/>
        <filterColumn colId="12" showButton="0"/>
        <filterColumn colId="13" showButton="0"/>
        <filterColumn colId="17" showButton="0"/>
        <filterColumn colId="18" showButton="0"/>
        <filterColumn colId="19" showButton="0"/>
        <filterColumn colId="20" showButton="0"/>
        <filterColumn colId="21" showButton="0"/>
      </autoFilter>
    </customSheetView>
    <customSheetView guid="{ADE400F8-D95C-46BC-A44D-BCC9A4530169}" showAutoFilter="1">
      <pane ySplit="10" topLeftCell="A11" activePane="bottomLeft" state="frozen"/>
      <selection pane="bottomLeft" activeCell="D6" sqref="D6"/>
      <pageMargins left="0.75" right="0.75" top="1" bottom="1" header="0.5" footer="0.5"/>
      <pageSetup orientation="portrait" r:id="rId3"/>
      <headerFooter alignWithMargins="0"/>
      <autoFilter ref="A9:X29">
        <filterColumn colId="9" showButton="0"/>
        <filterColumn colId="10" showButton="0"/>
        <filterColumn colId="12" showButton="0"/>
        <filterColumn colId="13" showButton="0"/>
        <filterColumn colId="17" showButton="0"/>
        <filterColumn colId="18" showButton="0"/>
        <filterColumn colId="19" showButton="0"/>
        <filterColumn colId="20" showButton="0"/>
        <filterColumn colId="21" showButton="0"/>
      </autoFilter>
    </customSheetView>
    <customSheetView guid="{8D8F9819-0E72-417A-908C-B5A8F0F23F34}" showAutoFilter="1">
      <pane ySplit="10" topLeftCell="A11" activePane="bottomLeft" state="frozen"/>
      <selection pane="bottomLeft" activeCell="D6" sqref="D6"/>
      <pageMargins left="0.75" right="0.75" top="1" bottom="1" header="0.5" footer="0.5"/>
      <pageSetup orientation="portrait" r:id="rId4"/>
      <headerFooter alignWithMargins="0"/>
      <autoFilter ref="A9:X29">
        <filterColumn colId="9" showButton="0"/>
        <filterColumn colId="10" showButton="0"/>
        <filterColumn colId="12" showButton="0"/>
        <filterColumn colId="13" showButton="0"/>
        <filterColumn colId="17" showButton="0"/>
        <filterColumn colId="18" showButton="0"/>
        <filterColumn colId="19" showButton="0"/>
        <filterColumn colId="20" showButton="0"/>
        <filterColumn colId="21" showButton="0"/>
      </autoFilter>
    </customSheetView>
  </customSheetViews>
  <mergeCells count="7">
    <mergeCell ref="Y9:Y10"/>
    <mergeCell ref="D9:D10"/>
    <mergeCell ref="J9:L9"/>
    <mergeCell ref="M9:O9"/>
    <mergeCell ref="Q9:Q10"/>
    <mergeCell ref="R9:R10"/>
    <mergeCell ref="S9:X9"/>
  </mergeCells>
  <pageMargins left="0.75" right="0.75" top="1" bottom="1" header="0.5" footer="0.5"/>
  <pageSetup orientation="portrait" r:id="rId5"/>
  <headerFooter alignWithMargins="0"/>
  <drawing r:id="rId6"/>
  <legacyDrawing r:id="rId7"/>
  <controls>
    <mc:AlternateContent xmlns:mc="http://schemas.openxmlformats.org/markup-compatibility/2006">
      <mc:Choice Requires="x14">
        <control shapeId="38915" r:id="rId8" name="CommandButton1702">
          <controlPr defaultSize="0" autoLine="0" r:id="rId9">
            <anchor moveWithCells="1">
              <from>
                <xdr:col>5</xdr:col>
                <xdr:colOff>704850</xdr:colOff>
                <xdr:row>1</xdr:row>
                <xdr:rowOff>19050</xdr:rowOff>
              </from>
              <to>
                <xdr:col>8</xdr:col>
                <xdr:colOff>447675</xdr:colOff>
                <xdr:row>3</xdr:row>
                <xdr:rowOff>161925</xdr:rowOff>
              </to>
            </anchor>
          </controlPr>
        </control>
      </mc:Choice>
      <mc:Fallback>
        <control shapeId="38915" r:id="rId8" name="CommandButton1702"/>
      </mc:Fallback>
    </mc:AlternateContent>
    <mc:AlternateContent xmlns:mc="http://schemas.openxmlformats.org/markup-compatibility/2006">
      <mc:Choice Requires="x14">
        <control shapeId="38913" r:id="rId10" name="CommandButton1701">
          <controlPr defaultSize="0" autoLine="0" autoPict="0" r:id="rId11">
            <anchor moveWithCells="1">
              <from>
                <xdr:col>0</xdr:col>
                <xdr:colOff>9525</xdr:colOff>
                <xdr:row>1</xdr:row>
                <xdr:rowOff>19050</xdr:rowOff>
              </from>
              <to>
                <xdr:col>1</xdr:col>
                <xdr:colOff>1762125</xdr:colOff>
                <xdr:row>3</xdr:row>
                <xdr:rowOff>161925</xdr:rowOff>
              </to>
            </anchor>
          </controlPr>
        </control>
      </mc:Choice>
      <mc:Fallback>
        <control shapeId="38913" r:id="rId10" name="CommandButton1701"/>
      </mc:Fallback>
    </mc:AlternateContent>
    <mc:AlternateContent xmlns:mc="http://schemas.openxmlformats.org/markup-compatibility/2006">
      <mc:Choice Requires="x14">
        <control shapeId="38914" r:id="rId12" name="CommandButton1703">
          <controlPr defaultSize="0" autoLine="0" r:id="rId13">
            <anchor moveWithCells="1">
              <from>
                <xdr:col>11</xdr:col>
                <xdr:colOff>28575</xdr:colOff>
                <xdr:row>0</xdr:row>
                <xdr:rowOff>152400</xdr:rowOff>
              </from>
              <to>
                <xdr:col>12</xdr:col>
                <xdr:colOff>695325</xdr:colOff>
                <xdr:row>3</xdr:row>
                <xdr:rowOff>142875</xdr:rowOff>
              </to>
            </anchor>
          </controlPr>
        </control>
      </mc:Choice>
      <mc:Fallback>
        <control shapeId="38914" r:id="rId12" name="CommandButton170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U159"/>
  <sheetViews>
    <sheetView zoomScale="115" zoomScaleNormal="115" workbookViewId="0">
      <pane ySplit="10" topLeftCell="A35" activePane="bottomLeft" state="frozen"/>
      <selection pane="bottomLeft" activeCell="E24" sqref="E24"/>
    </sheetView>
  </sheetViews>
  <sheetFormatPr defaultColWidth="15.28515625" defaultRowHeight="12.75" x14ac:dyDescent="0.2"/>
  <cols>
    <col min="1" max="1" width="9.28515625" customWidth="1"/>
    <col min="2" max="2" width="14.7109375" customWidth="1"/>
    <col min="3" max="3" width="20.7109375" customWidth="1"/>
    <col min="4" max="4" width="24.7109375" customWidth="1"/>
    <col min="5" max="5" width="36" customWidth="1"/>
    <col min="6" max="6" width="25.42578125" customWidth="1"/>
    <col min="7" max="7" width="15" customWidth="1"/>
    <col min="8" max="8" width="11.85546875" customWidth="1"/>
    <col min="9" max="9" width="19.140625" customWidth="1"/>
    <col min="10" max="10" width="15.140625" customWidth="1"/>
    <col min="11" max="11" width="12.7109375" customWidth="1"/>
    <col min="12" max="12" width="14.85546875" customWidth="1"/>
    <col min="13" max="13" width="12.5703125" customWidth="1"/>
    <col min="14" max="14" width="11.28515625" customWidth="1"/>
    <col min="15" max="15" width="10.5703125" customWidth="1"/>
    <col min="16" max="16" width="11.28515625" style="457" customWidth="1"/>
    <col min="17" max="17" width="10.5703125" customWidth="1"/>
    <col min="18" max="18" width="13.7109375" customWidth="1"/>
    <col min="19" max="19" width="8.5703125" customWidth="1"/>
    <col min="20" max="20" width="7.85546875" customWidth="1"/>
    <col min="21" max="21" width="11.28515625" customWidth="1"/>
    <col min="22" max="22" width="7.5703125" customWidth="1"/>
    <col min="23" max="23" width="8.28515625" bestFit="1" customWidth="1"/>
    <col min="24" max="24" width="6.140625" customWidth="1"/>
  </cols>
  <sheetData>
    <row r="1" spans="1:255" x14ac:dyDescent="0.2">
      <c r="A1" s="1">
        <v>1</v>
      </c>
      <c r="B1" s="1">
        <v>2</v>
      </c>
      <c r="C1" s="1">
        <v>3</v>
      </c>
      <c r="D1" s="1">
        <v>4</v>
      </c>
      <c r="E1" s="1">
        <v>5</v>
      </c>
      <c r="F1" s="1">
        <v>6</v>
      </c>
      <c r="G1" s="1">
        <v>7</v>
      </c>
      <c r="H1" s="1">
        <v>8</v>
      </c>
      <c r="I1" s="1">
        <v>9</v>
      </c>
      <c r="J1" s="1">
        <v>10</v>
      </c>
      <c r="K1" s="1">
        <v>11</v>
      </c>
      <c r="L1" s="1">
        <v>12</v>
      </c>
      <c r="M1" s="1">
        <v>13</v>
      </c>
      <c r="N1" s="1">
        <v>14</v>
      </c>
      <c r="O1" s="1">
        <v>15</v>
      </c>
      <c r="P1" s="456">
        <v>16</v>
      </c>
      <c r="Q1" s="1">
        <v>17</v>
      </c>
      <c r="R1" s="1">
        <v>18</v>
      </c>
      <c r="S1" s="1">
        <v>19</v>
      </c>
      <c r="T1" s="1">
        <v>20</v>
      </c>
      <c r="U1" s="1">
        <v>21</v>
      </c>
      <c r="V1" s="1">
        <v>22</v>
      </c>
      <c r="W1" s="1">
        <v>23</v>
      </c>
      <c r="X1" s="1">
        <v>24</v>
      </c>
    </row>
    <row r="2" spans="1:255" x14ac:dyDescent="0.2">
      <c r="K2" s="118" t="s">
        <v>145</v>
      </c>
      <c r="L2" s="12" t="s">
        <v>147</v>
      </c>
      <c r="Q2" s="257" t="s">
        <v>142</v>
      </c>
      <c r="R2" s="12" t="s">
        <v>210</v>
      </c>
    </row>
    <row r="3" spans="1:255" x14ac:dyDescent="0.2">
      <c r="K3" s="118" t="s">
        <v>145</v>
      </c>
      <c r="L3" s="12" t="s">
        <v>148</v>
      </c>
      <c r="Q3" s="257" t="s">
        <v>143</v>
      </c>
      <c r="R3" s="12" t="s">
        <v>219</v>
      </c>
    </row>
    <row r="4" spans="1:255" ht="13.5" thickBot="1" x14ac:dyDescent="0.25">
      <c r="K4" s="118" t="s">
        <v>145</v>
      </c>
      <c r="L4" s="12" t="s">
        <v>149</v>
      </c>
      <c r="Y4">
        <v>1</v>
      </c>
    </row>
    <row r="5" spans="1:255" ht="13.5" thickBot="1" x14ac:dyDescent="0.25">
      <c r="C5" s="48" t="s">
        <v>72</v>
      </c>
      <c r="H5" s="109" t="s">
        <v>228</v>
      </c>
      <c r="K5" s="3" t="s">
        <v>67</v>
      </c>
      <c r="L5" s="3"/>
      <c r="Y5" s="331"/>
      <c r="Z5" s="331"/>
    </row>
    <row r="6" spans="1:255" ht="13.5" thickBot="1" x14ac:dyDescent="0.25">
      <c r="C6" s="46"/>
      <c r="D6" s="46"/>
      <c r="H6" s="199"/>
      <c r="K6" s="206" t="s">
        <v>204</v>
      </c>
      <c r="L6" s="3"/>
      <c r="Y6" s="331"/>
      <c r="Z6" s="331"/>
    </row>
    <row r="7" spans="1:255" x14ac:dyDescent="0.2">
      <c r="H7" s="198"/>
      <c r="K7" s="206" t="s">
        <v>205</v>
      </c>
      <c r="L7" s="3"/>
      <c r="Y7" s="331"/>
      <c r="Z7" s="331"/>
    </row>
    <row r="8" spans="1:255" ht="13.5" thickBot="1" x14ac:dyDescent="0.25">
      <c r="J8" s="5"/>
      <c r="K8" s="6"/>
      <c r="Y8" s="331"/>
      <c r="Z8" s="331"/>
    </row>
    <row r="9" spans="1:255" ht="13.5" thickBot="1" x14ac:dyDescent="0.25">
      <c r="A9" s="14" t="s">
        <v>21</v>
      </c>
      <c r="B9" s="43" t="s">
        <v>0</v>
      </c>
      <c r="C9" s="15" t="s">
        <v>22</v>
      </c>
      <c r="D9" s="330" t="s">
        <v>230</v>
      </c>
      <c r="E9" s="879" t="s">
        <v>16</v>
      </c>
      <c r="F9" s="15" t="s">
        <v>229</v>
      </c>
      <c r="G9" s="15" t="s">
        <v>55</v>
      </c>
      <c r="H9" s="44" t="s">
        <v>24</v>
      </c>
      <c r="I9" s="45" t="s">
        <v>25</v>
      </c>
      <c r="J9" s="16" t="s">
        <v>26</v>
      </c>
      <c r="K9" s="891" t="s">
        <v>27</v>
      </c>
      <c r="L9" s="881"/>
      <c r="M9" s="882"/>
      <c r="N9" s="883" t="s">
        <v>28</v>
      </c>
      <c r="O9" s="884"/>
      <c r="P9" s="885"/>
      <c r="Q9" s="17" t="s">
        <v>56</v>
      </c>
      <c r="R9" s="886" t="s">
        <v>29</v>
      </c>
      <c r="S9" s="877" t="s">
        <v>57</v>
      </c>
      <c r="T9" s="888" t="s">
        <v>30</v>
      </c>
      <c r="U9" s="889"/>
      <c r="V9" s="889"/>
      <c r="W9" s="890"/>
      <c r="X9" s="877" t="s">
        <v>58</v>
      </c>
      <c r="Y9" s="112"/>
      <c r="Z9" s="112"/>
      <c r="AA9" s="4"/>
      <c r="AB9" s="4"/>
      <c r="AC9" s="4"/>
      <c r="AD9" s="4"/>
      <c r="AE9" s="4"/>
      <c r="AF9" s="4"/>
      <c r="AG9" s="4"/>
      <c r="AH9" s="4"/>
      <c r="AI9" s="4"/>
      <c r="AJ9" s="4"/>
      <c r="AK9" s="4"/>
      <c r="AL9" s="4"/>
    </row>
    <row r="10" spans="1:255" ht="13.5" thickBot="1" x14ac:dyDescent="0.25">
      <c r="A10" s="18" t="s">
        <v>31</v>
      </c>
      <c r="B10" s="25" t="s">
        <v>32</v>
      </c>
      <c r="C10" s="19" t="s">
        <v>33</v>
      </c>
      <c r="D10" s="19" t="s">
        <v>33</v>
      </c>
      <c r="E10" s="880"/>
      <c r="F10" s="19" t="s">
        <v>34</v>
      </c>
      <c r="G10" s="19" t="s">
        <v>59</v>
      </c>
      <c r="H10" s="28" t="s">
        <v>21</v>
      </c>
      <c r="I10" s="26" t="s">
        <v>21</v>
      </c>
      <c r="J10" s="20" t="s">
        <v>21</v>
      </c>
      <c r="K10" s="287" t="s">
        <v>35</v>
      </c>
      <c r="L10" s="288" t="s">
        <v>36</v>
      </c>
      <c r="M10" s="23" t="s">
        <v>37</v>
      </c>
      <c r="N10" s="21" t="s">
        <v>35</v>
      </c>
      <c r="O10" s="22" t="s">
        <v>36</v>
      </c>
      <c r="P10" s="27" t="s">
        <v>37</v>
      </c>
      <c r="Q10" s="460" t="s">
        <v>38</v>
      </c>
      <c r="R10" s="892"/>
      <c r="S10" s="892"/>
      <c r="T10" s="115" t="s">
        <v>39</v>
      </c>
      <c r="U10" s="116" t="s">
        <v>40</v>
      </c>
      <c r="V10" s="202" t="s">
        <v>60</v>
      </c>
      <c r="W10" s="42" t="s">
        <v>73</v>
      </c>
      <c r="X10" s="878"/>
      <c r="Y10" s="332"/>
      <c r="Z10" s="112"/>
      <c r="AA10" s="4"/>
      <c r="AB10" s="4"/>
      <c r="AC10" s="4"/>
      <c r="AD10" s="4"/>
      <c r="AE10" s="4"/>
      <c r="AF10" s="4"/>
      <c r="AG10" s="4"/>
      <c r="AH10" s="4"/>
      <c r="AI10" s="4"/>
      <c r="AJ10" s="4"/>
      <c r="AK10" s="4"/>
      <c r="AL10" s="4"/>
    </row>
    <row r="11" spans="1:255" s="627" customFormat="1" ht="12.75" customHeight="1" thickBot="1" x14ac:dyDescent="0.25">
      <c r="A11" s="644" t="s">
        <v>17</v>
      </c>
      <c r="B11" s="679">
        <v>42580</v>
      </c>
      <c r="C11" s="489"/>
      <c r="D11" s="489"/>
      <c r="E11" s="678" t="s">
        <v>356</v>
      </c>
      <c r="F11" s="489"/>
      <c r="G11" s="623"/>
      <c r="H11" s="676">
        <v>26275</v>
      </c>
      <c r="I11" s="678" t="s">
        <v>370</v>
      </c>
      <c r="J11" s="615" t="s">
        <v>17</v>
      </c>
      <c r="K11" s="257" t="s">
        <v>143</v>
      </c>
      <c r="L11" s="12" t="s">
        <v>219</v>
      </c>
      <c r="M11" s="12"/>
      <c r="N11" s="499"/>
      <c r="O11" s="499"/>
      <c r="P11" s="658">
        <v>24.02</v>
      </c>
      <c r="Q11" s="509"/>
      <c r="R11" s="509"/>
      <c r="S11" s="623"/>
      <c r="T11" s="677">
        <v>11.7</v>
      </c>
      <c r="U11" s="677">
        <v>1.68</v>
      </c>
      <c r="V11" s="123"/>
      <c r="W11" s="123"/>
      <c r="X11" s="123"/>
      <c r="Y11" s="624"/>
      <c r="Z11" s="625"/>
      <c r="AA11" s="625"/>
      <c r="AB11" s="625"/>
      <c r="AC11" s="625"/>
      <c r="AD11" s="625"/>
      <c r="AE11" s="625"/>
      <c r="AF11" s="625"/>
      <c r="AG11" s="625"/>
      <c r="AH11" s="625"/>
      <c r="AI11" s="625"/>
      <c r="AJ11" s="625"/>
      <c r="AK11" s="625"/>
      <c r="AL11" s="625"/>
      <c r="AM11" s="625"/>
      <c r="AN11" s="625"/>
      <c r="AO11" s="625"/>
      <c r="AP11" s="625"/>
      <c r="AQ11" s="625"/>
      <c r="AR11" s="625"/>
      <c r="AS11" s="625"/>
      <c r="AT11" s="625"/>
      <c r="AU11" s="625"/>
      <c r="AV11" s="625"/>
      <c r="AW11" s="625"/>
      <c r="AX11" s="625"/>
      <c r="AY11" s="625"/>
      <c r="AZ11" s="625"/>
      <c r="BA11" s="625"/>
      <c r="BB11" s="625"/>
      <c r="BC11" s="625"/>
      <c r="BD11" s="625"/>
      <c r="BE11" s="625"/>
      <c r="BF11" s="626"/>
      <c r="BG11" s="626"/>
      <c r="BH11" s="626"/>
      <c r="BI11" s="626"/>
      <c r="BJ11" s="626"/>
      <c r="BK11" s="626"/>
      <c r="BL11" s="626"/>
      <c r="BM11" s="626"/>
      <c r="BN11" s="626"/>
      <c r="BO11" s="626"/>
      <c r="BP11" s="626"/>
      <c r="BQ11" s="626"/>
      <c r="BR11" s="626"/>
      <c r="BS11" s="626"/>
      <c r="BT11" s="626"/>
      <c r="BU11" s="626"/>
      <c r="BV11" s="626"/>
      <c r="BW11" s="626"/>
      <c r="BX11" s="626"/>
      <c r="BY11" s="626"/>
      <c r="BZ11" s="626"/>
      <c r="CA11" s="626"/>
      <c r="CB11" s="626"/>
      <c r="CC11" s="626"/>
      <c r="CD11" s="626"/>
      <c r="CE11" s="626"/>
      <c r="CF11" s="626"/>
      <c r="CG11" s="626"/>
      <c r="CH11" s="626"/>
      <c r="CI11" s="626"/>
      <c r="CJ11" s="626"/>
      <c r="CK11" s="626"/>
      <c r="CL11" s="626"/>
      <c r="CM11" s="626"/>
      <c r="CN11" s="626"/>
      <c r="CO11" s="626"/>
      <c r="CP11" s="626"/>
      <c r="CQ11" s="626"/>
      <c r="CR11" s="626"/>
      <c r="CS11" s="626"/>
      <c r="CT11" s="626"/>
      <c r="CU11" s="626"/>
      <c r="CV11" s="626"/>
      <c r="CW11" s="626"/>
      <c r="CX11" s="626"/>
      <c r="CY11" s="626"/>
      <c r="CZ11" s="626"/>
      <c r="DA11" s="626"/>
      <c r="DB11" s="626"/>
      <c r="DC11" s="626"/>
      <c r="DD11" s="626"/>
      <c r="DE11" s="626"/>
      <c r="DF11" s="626"/>
      <c r="DG11" s="626"/>
      <c r="DH11" s="626"/>
      <c r="DI11" s="626"/>
      <c r="DJ11" s="626"/>
      <c r="DK11" s="626"/>
      <c r="DL11" s="626"/>
      <c r="DM11" s="626"/>
      <c r="DN11" s="626"/>
      <c r="DO11" s="626"/>
      <c r="DP11" s="626"/>
      <c r="DQ11" s="626"/>
      <c r="DR11" s="626"/>
      <c r="DS11" s="626"/>
      <c r="DT11" s="626"/>
      <c r="DU11" s="626"/>
      <c r="DV11" s="626"/>
      <c r="DW11" s="626"/>
      <c r="DX11" s="626"/>
      <c r="DY11" s="626"/>
      <c r="DZ11" s="626"/>
      <c r="EA11" s="626"/>
      <c r="EB11" s="626"/>
      <c r="EC11" s="626"/>
      <c r="ED11" s="626"/>
      <c r="EE11" s="626"/>
      <c r="EF11" s="626"/>
      <c r="EG11" s="626"/>
      <c r="EH11" s="626"/>
      <c r="EI11" s="626"/>
      <c r="EJ11" s="626"/>
      <c r="EK11" s="626"/>
      <c r="EL11" s="626"/>
      <c r="EM11" s="626"/>
      <c r="EN11" s="626"/>
      <c r="EO11" s="626"/>
      <c r="EP11" s="626"/>
      <c r="EQ11" s="626"/>
      <c r="ER11" s="626"/>
      <c r="ES11" s="626"/>
      <c r="ET11" s="626"/>
      <c r="EU11" s="626"/>
      <c r="EV11" s="626"/>
      <c r="EW11" s="626"/>
      <c r="EX11" s="626"/>
      <c r="EY11" s="626"/>
      <c r="EZ11" s="626"/>
      <c r="FA11" s="626"/>
      <c r="FB11" s="626"/>
      <c r="FC11" s="626"/>
      <c r="FD11" s="626"/>
      <c r="FE11" s="626"/>
      <c r="FF11" s="626"/>
      <c r="FG11" s="626"/>
      <c r="FH11" s="626"/>
      <c r="FI11" s="626"/>
      <c r="FJ11" s="626"/>
      <c r="FK11" s="626"/>
      <c r="FL11" s="626"/>
      <c r="FM11" s="626"/>
      <c r="FN11" s="626"/>
      <c r="FO11" s="626"/>
      <c r="FP11" s="626"/>
      <c r="FQ11" s="626"/>
      <c r="FR11" s="626"/>
      <c r="FS11" s="626"/>
      <c r="FT11" s="626"/>
      <c r="FU11" s="626"/>
      <c r="FV11" s="626"/>
      <c r="FW11" s="626"/>
      <c r="FX11" s="626"/>
      <c r="FY11" s="626"/>
      <c r="FZ11" s="626"/>
      <c r="GA11" s="626"/>
      <c r="GB11" s="626"/>
      <c r="GC11" s="626"/>
      <c r="GD11" s="626"/>
      <c r="GE11" s="626"/>
      <c r="GF11" s="626"/>
      <c r="GG11" s="626"/>
      <c r="GH11" s="626"/>
      <c r="GI11" s="626"/>
      <c r="GJ11" s="626"/>
      <c r="GK11" s="626"/>
      <c r="GL11" s="626"/>
      <c r="GM11" s="626"/>
      <c r="GN11" s="626"/>
      <c r="GO11" s="626"/>
      <c r="GP11" s="626"/>
      <c r="GQ11" s="626"/>
      <c r="GR11" s="626"/>
      <c r="GS11" s="626"/>
      <c r="GT11" s="626"/>
      <c r="GU11" s="626"/>
      <c r="GV11" s="626"/>
      <c r="GW11" s="626"/>
      <c r="GX11" s="626"/>
      <c r="GY11" s="626"/>
      <c r="GZ11" s="626"/>
      <c r="HA11" s="626"/>
      <c r="HB11" s="626"/>
      <c r="HC11" s="626"/>
      <c r="HD11" s="626"/>
      <c r="HE11" s="626"/>
      <c r="HF11" s="626"/>
      <c r="HG11" s="626"/>
      <c r="HH11" s="626"/>
      <c r="HI11" s="626"/>
      <c r="HJ11" s="626"/>
      <c r="HK11" s="626"/>
      <c r="HL11" s="626"/>
      <c r="HM11" s="626"/>
      <c r="HN11" s="626"/>
      <c r="HO11" s="626"/>
      <c r="HP11" s="626"/>
      <c r="HQ11" s="626"/>
      <c r="HR11" s="626"/>
      <c r="HS11" s="626"/>
      <c r="HT11" s="626"/>
      <c r="HU11" s="626"/>
      <c r="HV11" s="626"/>
      <c r="HW11" s="626"/>
      <c r="HX11" s="626"/>
      <c r="HY11" s="626"/>
      <c r="HZ11" s="626"/>
      <c r="IA11" s="626"/>
      <c r="IB11" s="626"/>
      <c r="IC11" s="626"/>
      <c r="ID11" s="626"/>
      <c r="IE11" s="626"/>
      <c r="IF11" s="626"/>
      <c r="IG11" s="626"/>
      <c r="IH11" s="626"/>
      <c r="II11" s="626"/>
      <c r="IJ11" s="626"/>
      <c r="IK11" s="626"/>
      <c r="IL11" s="626"/>
      <c r="IM11" s="626"/>
      <c r="IN11" s="626"/>
      <c r="IO11" s="626"/>
      <c r="IP11" s="626"/>
      <c r="IQ11" s="626"/>
      <c r="IR11" s="626"/>
      <c r="IS11" s="626"/>
      <c r="IT11" s="626"/>
      <c r="IU11" s="626"/>
    </row>
    <row r="12" spans="1:255" s="627" customFormat="1" ht="12.75" customHeight="1" thickBot="1" x14ac:dyDescent="0.25">
      <c r="A12" s="644" t="s">
        <v>17</v>
      </c>
      <c r="B12" s="679">
        <v>42580</v>
      </c>
      <c r="C12" s="489"/>
      <c r="D12" s="489"/>
      <c r="E12" s="678" t="s">
        <v>356</v>
      </c>
      <c r="F12" s="489"/>
      <c r="G12" s="623"/>
      <c r="H12" s="676">
        <v>26276</v>
      </c>
      <c r="I12" s="678" t="s">
        <v>367</v>
      </c>
      <c r="J12" s="615" t="s">
        <v>17</v>
      </c>
      <c r="K12" s="257" t="s">
        <v>143</v>
      </c>
      <c r="L12" s="12" t="s">
        <v>219</v>
      </c>
      <c r="M12" s="12"/>
      <c r="N12" s="499"/>
      <c r="O12" s="499"/>
      <c r="P12" s="658">
        <v>24.86</v>
      </c>
      <c r="Q12" s="509"/>
      <c r="R12" s="509"/>
      <c r="S12" s="623"/>
      <c r="T12" s="677">
        <v>11.8</v>
      </c>
      <c r="U12" s="677">
        <v>0.96</v>
      </c>
      <c r="V12" s="123"/>
      <c r="W12" s="123"/>
      <c r="X12" s="123"/>
      <c r="Y12" s="624"/>
      <c r="Z12" s="625"/>
      <c r="AA12" s="625"/>
      <c r="AB12" s="625"/>
      <c r="AC12" s="625"/>
      <c r="AD12" s="625"/>
      <c r="AE12" s="625"/>
      <c r="AF12" s="625"/>
      <c r="AG12" s="625"/>
      <c r="AH12" s="625"/>
      <c r="AI12" s="625"/>
      <c r="AJ12" s="625"/>
      <c r="AK12" s="625"/>
      <c r="AL12" s="625"/>
      <c r="AM12" s="625"/>
      <c r="AN12" s="625"/>
      <c r="AO12" s="625"/>
      <c r="AP12" s="625"/>
      <c r="AQ12" s="625"/>
      <c r="AR12" s="625"/>
      <c r="AS12" s="625"/>
      <c r="AT12" s="625"/>
      <c r="AU12" s="625"/>
      <c r="AV12" s="625"/>
      <c r="AW12" s="625"/>
      <c r="AX12" s="625"/>
      <c r="AY12" s="625"/>
      <c r="AZ12" s="625"/>
      <c r="BA12" s="625"/>
      <c r="BB12" s="625"/>
      <c r="BC12" s="625"/>
      <c r="BD12" s="625"/>
      <c r="BE12" s="625"/>
      <c r="BF12" s="626"/>
      <c r="BG12" s="626"/>
      <c r="BH12" s="626"/>
      <c r="BI12" s="626"/>
      <c r="BJ12" s="626"/>
      <c r="BK12" s="626"/>
      <c r="BL12" s="626"/>
      <c r="BM12" s="626"/>
      <c r="BN12" s="626"/>
      <c r="BO12" s="626"/>
      <c r="BP12" s="626"/>
      <c r="BQ12" s="626"/>
      <c r="BR12" s="626"/>
      <c r="BS12" s="626"/>
      <c r="BT12" s="626"/>
      <c r="BU12" s="626"/>
      <c r="BV12" s="626"/>
      <c r="BW12" s="626"/>
      <c r="BX12" s="626"/>
      <c r="BY12" s="626"/>
      <c r="BZ12" s="626"/>
      <c r="CA12" s="626"/>
      <c r="CB12" s="626"/>
      <c r="CC12" s="626"/>
      <c r="CD12" s="626"/>
      <c r="CE12" s="626"/>
      <c r="CF12" s="626"/>
      <c r="CG12" s="626"/>
      <c r="CH12" s="626"/>
      <c r="CI12" s="626"/>
      <c r="CJ12" s="626"/>
      <c r="CK12" s="626"/>
      <c r="CL12" s="626"/>
      <c r="CM12" s="626"/>
      <c r="CN12" s="626"/>
      <c r="CO12" s="626"/>
      <c r="CP12" s="626"/>
      <c r="CQ12" s="626"/>
      <c r="CR12" s="626"/>
      <c r="CS12" s="626"/>
      <c r="CT12" s="626"/>
      <c r="CU12" s="626"/>
      <c r="CV12" s="626"/>
      <c r="CW12" s="626"/>
      <c r="CX12" s="626"/>
      <c r="CY12" s="626"/>
      <c r="CZ12" s="626"/>
      <c r="DA12" s="626"/>
      <c r="DB12" s="626"/>
      <c r="DC12" s="626"/>
      <c r="DD12" s="626"/>
      <c r="DE12" s="626"/>
      <c r="DF12" s="626"/>
      <c r="DG12" s="626"/>
      <c r="DH12" s="626"/>
      <c r="DI12" s="626"/>
      <c r="DJ12" s="626"/>
      <c r="DK12" s="626"/>
      <c r="DL12" s="626"/>
      <c r="DM12" s="626"/>
      <c r="DN12" s="626"/>
      <c r="DO12" s="626"/>
      <c r="DP12" s="626"/>
      <c r="DQ12" s="626"/>
      <c r="DR12" s="626"/>
      <c r="DS12" s="626"/>
      <c r="DT12" s="626"/>
      <c r="DU12" s="626"/>
      <c r="DV12" s="626"/>
      <c r="DW12" s="626"/>
      <c r="DX12" s="626"/>
      <c r="DY12" s="626"/>
      <c r="DZ12" s="626"/>
      <c r="EA12" s="626"/>
      <c r="EB12" s="626"/>
      <c r="EC12" s="626"/>
      <c r="ED12" s="626"/>
      <c r="EE12" s="626"/>
      <c r="EF12" s="626"/>
      <c r="EG12" s="626"/>
      <c r="EH12" s="626"/>
      <c r="EI12" s="626"/>
      <c r="EJ12" s="626"/>
      <c r="EK12" s="626"/>
      <c r="EL12" s="626"/>
      <c r="EM12" s="626"/>
      <c r="EN12" s="626"/>
      <c r="EO12" s="626"/>
      <c r="EP12" s="626"/>
      <c r="EQ12" s="626"/>
      <c r="ER12" s="626"/>
      <c r="ES12" s="626"/>
      <c r="ET12" s="626"/>
      <c r="EU12" s="626"/>
      <c r="EV12" s="626"/>
      <c r="EW12" s="626"/>
      <c r="EX12" s="626"/>
      <c r="EY12" s="626"/>
      <c r="EZ12" s="626"/>
      <c r="FA12" s="626"/>
      <c r="FB12" s="626"/>
      <c r="FC12" s="626"/>
      <c r="FD12" s="626"/>
      <c r="FE12" s="626"/>
      <c r="FF12" s="626"/>
      <c r="FG12" s="626"/>
      <c r="FH12" s="626"/>
      <c r="FI12" s="626"/>
      <c r="FJ12" s="626"/>
      <c r="FK12" s="626"/>
      <c r="FL12" s="626"/>
      <c r="FM12" s="626"/>
      <c r="FN12" s="626"/>
      <c r="FO12" s="626"/>
      <c r="FP12" s="626"/>
      <c r="FQ12" s="626"/>
      <c r="FR12" s="626"/>
      <c r="FS12" s="626"/>
      <c r="FT12" s="626"/>
      <c r="FU12" s="626"/>
      <c r="FV12" s="626"/>
      <c r="FW12" s="626"/>
      <c r="FX12" s="626"/>
      <c r="FY12" s="626"/>
      <c r="FZ12" s="626"/>
      <c r="GA12" s="626"/>
      <c r="GB12" s="626"/>
      <c r="GC12" s="626"/>
      <c r="GD12" s="626"/>
      <c r="GE12" s="626"/>
      <c r="GF12" s="626"/>
      <c r="GG12" s="626"/>
      <c r="GH12" s="626"/>
      <c r="GI12" s="626"/>
      <c r="GJ12" s="626"/>
      <c r="GK12" s="626"/>
      <c r="GL12" s="626"/>
      <c r="GM12" s="626"/>
      <c r="GN12" s="626"/>
      <c r="GO12" s="626"/>
      <c r="GP12" s="626"/>
      <c r="GQ12" s="626"/>
      <c r="GR12" s="626"/>
      <c r="GS12" s="626"/>
      <c r="GT12" s="626"/>
      <c r="GU12" s="626"/>
      <c r="GV12" s="626"/>
      <c r="GW12" s="626"/>
      <c r="GX12" s="626"/>
      <c r="GY12" s="626"/>
      <c r="GZ12" s="626"/>
      <c r="HA12" s="626"/>
      <c r="HB12" s="626"/>
      <c r="HC12" s="626"/>
      <c r="HD12" s="626"/>
      <c r="HE12" s="626"/>
      <c r="HF12" s="626"/>
      <c r="HG12" s="626"/>
      <c r="HH12" s="626"/>
      <c r="HI12" s="626"/>
      <c r="HJ12" s="626"/>
      <c r="HK12" s="626"/>
      <c r="HL12" s="626"/>
      <c r="HM12" s="626"/>
      <c r="HN12" s="626"/>
      <c r="HO12" s="626"/>
      <c r="HP12" s="626"/>
      <c r="HQ12" s="626"/>
      <c r="HR12" s="626"/>
      <c r="HS12" s="626"/>
      <c r="HT12" s="626"/>
      <c r="HU12" s="626"/>
      <c r="HV12" s="626"/>
      <c r="HW12" s="626"/>
      <c r="HX12" s="626"/>
      <c r="HY12" s="626"/>
      <c r="HZ12" s="626"/>
      <c r="IA12" s="626"/>
      <c r="IB12" s="626"/>
      <c r="IC12" s="626"/>
      <c r="ID12" s="626"/>
      <c r="IE12" s="626"/>
      <c r="IF12" s="626"/>
      <c r="IG12" s="626"/>
      <c r="IH12" s="626"/>
      <c r="II12" s="626"/>
      <c r="IJ12" s="626"/>
      <c r="IK12" s="626"/>
      <c r="IL12" s="626"/>
      <c r="IM12" s="626"/>
      <c r="IN12" s="626"/>
      <c r="IO12" s="626"/>
      <c r="IP12" s="626"/>
      <c r="IQ12" s="626"/>
      <c r="IR12" s="626"/>
      <c r="IS12" s="626"/>
      <c r="IT12" s="626"/>
      <c r="IU12" s="626"/>
    </row>
    <row r="13" spans="1:255" s="627" customFormat="1" ht="12.75" customHeight="1" thickBot="1" x14ac:dyDescent="0.25">
      <c r="A13" s="644" t="s">
        <v>17</v>
      </c>
      <c r="B13" s="679">
        <v>42580</v>
      </c>
      <c r="C13" s="489"/>
      <c r="D13" s="489"/>
      <c r="E13" s="678" t="s">
        <v>356</v>
      </c>
      <c r="F13" s="489"/>
      <c r="G13" s="623"/>
      <c r="H13" s="676">
        <v>26278</v>
      </c>
      <c r="I13" s="678" t="s">
        <v>369</v>
      </c>
      <c r="J13" s="615" t="s">
        <v>17</v>
      </c>
      <c r="K13" s="257" t="s">
        <v>143</v>
      </c>
      <c r="L13" s="12" t="s">
        <v>219</v>
      </c>
      <c r="M13" s="12"/>
      <c r="N13" s="499"/>
      <c r="O13" s="499"/>
      <c r="P13" s="658">
        <v>11.1</v>
      </c>
      <c r="Q13" s="509"/>
      <c r="R13" s="509"/>
      <c r="S13" s="623"/>
      <c r="T13" s="677">
        <v>11.7</v>
      </c>
      <c r="U13" s="677">
        <v>1.38</v>
      </c>
      <c r="V13" s="123"/>
      <c r="W13" s="123"/>
      <c r="X13" s="123"/>
      <c r="Y13" s="624"/>
      <c r="Z13" s="625"/>
      <c r="AA13" s="625"/>
      <c r="AB13" s="625"/>
      <c r="AC13" s="625"/>
      <c r="AD13" s="625"/>
      <c r="AE13" s="625"/>
      <c r="AF13" s="625"/>
      <c r="AG13" s="625"/>
      <c r="AH13" s="625"/>
      <c r="AI13" s="625"/>
      <c r="AJ13" s="625"/>
      <c r="AK13" s="625"/>
      <c r="AL13" s="625"/>
      <c r="AM13" s="625"/>
      <c r="AN13" s="625"/>
      <c r="AO13" s="625"/>
      <c r="AP13" s="625"/>
      <c r="AQ13" s="625"/>
      <c r="AR13" s="625"/>
      <c r="AS13" s="625"/>
      <c r="AT13" s="625"/>
      <c r="AU13" s="625"/>
      <c r="AV13" s="625"/>
      <c r="AW13" s="625"/>
      <c r="AX13" s="625"/>
      <c r="AY13" s="625"/>
      <c r="AZ13" s="625"/>
      <c r="BA13" s="625"/>
      <c r="BB13" s="625"/>
      <c r="BC13" s="625"/>
      <c r="BD13" s="625"/>
      <c r="BE13" s="625"/>
      <c r="BF13" s="626"/>
      <c r="BG13" s="626"/>
      <c r="BH13" s="626"/>
      <c r="BI13" s="626"/>
      <c r="BJ13" s="626"/>
      <c r="BK13" s="626"/>
      <c r="BL13" s="626"/>
      <c r="BM13" s="626"/>
      <c r="BN13" s="626"/>
      <c r="BO13" s="626"/>
      <c r="BP13" s="626"/>
      <c r="BQ13" s="626"/>
      <c r="BR13" s="626"/>
      <c r="BS13" s="626"/>
      <c r="BT13" s="626"/>
      <c r="BU13" s="626"/>
      <c r="BV13" s="626"/>
      <c r="BW13" s="626"/>
      <c r="BX13" s="626"/>
      <c r="BY13" s="626"/>
      <c r="BZ13" s="626"/>
      <c r="CA13" s="626"/>
      <c r="CB13" s="626"/>
      <c r="CC13" s="626"/>
      <c r="CD13" s="626"/>
      <c r="CE13" s="626"/>
      <c r="CF13" s="626"/>
      <c r="CG13" s="626"/>
      <c r="CH13" s="626"/>
      <c r="CI13" s="626"/>
      <c r="CJ13" s="626"/>
      <c r="CK13" s="626"/>
      <c r="CL13" s="626"/>
      <c r="CM13" s="626"/>
      <c r="CN13" s="626"/>
      <c r="CO13" s="626"/>
      <c r="CP13" s="626"/>
      <c r="CQ13" s="626"/>
      <c r="CR13" s="626"/>
      <c r="CS13" s="626"/>
      <c r="CT13" s="626"/>
      <c r="CU13" s="626"/>
      <c r="CV13" s="626"/>
      <c r="CW13" s="626"/>
      <c r="CX13" s="626"/>
      <c r="CY13" s="626"/>
      <c r="CZ13" s="626"/>
      <c r="DA13" s="626"/>
      <c r="DB13" s="626"/>
      <c r="DC13" s="626"/>
      <c r="DD13" s="626"/>
      <c r="DE13" s="626"/>
      <c r="DF13" s="626"/>
      <c r="DG13" s="626"/>
      <c r="DH13" s="626"/>
      <c r="DI13" s="626"/>
      <c r="DJ13" s="626"/>
      <c r="DK13" s="626"/>
      <c r="DL13" s="626"/>
      <c r="DM13" s="626"/>
      <c r="DN13" s="626"/>
      <c r="DO13" s="626"/>
      <c r="DP13" s="626"/>
      <c r="DQ13" s="626"/>
      <c r="DR13" s="626"/>
      <c r="DS13" s="626"/>
      <c r="DT13" s="626"/>
      <c r="DU13" s="626"/>
      <c r="DV13" s="626"/>
      <c r="DW13" s="626"/>
      <c r="DX13" s="626"/>
      <c r="DY13" s="626"/>
      <c r="DZ13" s="626"/>
      <c r="EA13" s="626"/>
      <c r="EB13" s="626"/>
      <c r="EC13" s="626"/>
      <c r="ED13" s="626"/>
      <c r="EE13" s="626"/>
      <c r="EF13" s="626"/>
      <c r="EG13" s="626"/>
      <c r="EH13" s="626"/>
      <c r="EI13" s="626"/>
      <c r="EJ13" s="626"/>
      <c r="EK13" s="626"/>
      <c r="EL13" s="626"/>
      <c r="EM13" s="626"/>
      <c r="EN13" s="626"/>
      <c r="EO13" s="626"/>
      <c r="EP13" s="626"/>
      <c r="EQ13" s="626"/>
      <c r="ER13" s="626"/>
      <c r="ES13" s="626"/>
      <c r="ET13" s="626"/>
      <c r="EU13" s="626"/>
      <c r="EV13" s="626"/>
      <c r="EW13" s="626"/>
      <c r="EX13" s="626"/>
      <c r="EY13" s="626"/>
      <c r="EZ13" s="626"/>
      <c r="FA13" s="626"/>
      <c r="FB13" s="626"/>
      <c r="FC13" s="626"/>
      <c r="FD13" s="626"/>
      <c r="FE13" s="626"/>
      <c r="FF13" s="626"/>
      <c r="FG13" s="626"/>
      <c r="FH13" s="626"/>
      <c r="FI13" s="626"/>
      <c r="FJ13" s="626"/>
      <c r="FK13" s="626"/>
      <c r="FL13" s="626"/>
      <c r="FM13" s="626"/>
      <c r="FN13" s="626"/>
      <c r="FO13" s="626"/>
      <c r="FP13" s="626"/>
      <c r="FQ13" s="626"/>
      <c r="FR13" s="626"/>
      <c r="FS13" s="626"/>
      <c r="FT13" s="626"/>
      <c r="FU13" s="626"/>
      <c r="FV13" s="626"/>
      <c r="FW13" s="626"/>
      <c r="FX13" s="626"/>
      <c r="FY13" s="626"/>
      <c r="FZ13" s="626"/>
      <c r="GA13" s="626"/>
      <c r="GB13" s="626"/>
      <c r="GC13" s="626"/>
      <c r="GD13" s="626"/>
      <c r="GE13" s="626"/>
      <c r="GF13" s="626"/>
      <c r="GG13" s="626"/>
      <c r="GH13" s="626"/>
      <c r="GI13" s="626"/>
      <c r="GJ13" s="626"/>
      <c r="GK13" s="626"/>
      <c r="GL13" s="626"/>
      <c r="GM13" s="626"/>
      <c r="GN13" s="626"/>
      <c r="GO13" s="626"/>
      <c r="GP13" s="626"/>
      <c r="GQ13" s="626"/>
      <c r="GR13" s="626"/>
      <c r="GS13" s="626"/>
      <c r="GT13" s="626"/>
      <c r="GU13" s="626"/>
      <c r="GV13" s="626"/>
      <c r="GW13" s="626"/>
      <c r="GX13" s="626"/>
      <c r="GY13" s="626"/>
      <c r="GZ13" s="626"/>
      <c r="HA13" s="626"/>
      <c r="HB13" s="626"/>
      <c r="HC13" s="626"/>
      <c r="HD13" s="626"/>
      <c r="HE13" s="626"/>
      <c r="HF13" s="626"/>
      <c r="HG13" s="626"/>
      <c r="HH13" s="626"/>
      <c r="HI13" s="626"/>
      <c r="HJ13" s="626"/>
      <c r="HK13" s="626"/>
      <c r="HL13" s="626"/>
      <c r="HM13" s="626"/>
      <c r="HN13" s="626"/>
      <c r="HO13" s="626"/>
      <c r="HP13" s="626"/>
      <c r="HQ13" s="626"/>
      <c r="HR13" s="626"/>
      <c r="HS13" s="626"/>
      <c r="HT13" s="626"/>
      <c r="HU13" s="626"/>
      <c r="HV13" s="626"/>
      <c r="HW13" s="626"/>
      <c r="HX13" s="626"/>
      <c r="HY13" s="626"/>
      <c r="HZ13" s="626"/>
      <c r="IA13" s="626"/>
      <c r="IB13" s="626"/>
      <c r="IC13" s="626"/>
      <c r="ID13" s="626"/>
      <c r="IE13" s="626"/>
      <c r="IF13" s="626"/>
      <c r="IG13" s="626"/>
      <c r="IH13" s="626"/>
      <c r="II13" s="626"/>
      <c r="IJ13" s="626"/>
      <c r="IK13" s="626"/>
      <c r="IL13" s="626"/>
      <c r="IM13" s="626"/>
      <c r="IN13" s="626"/>
      <c r="IO13" s="626"/>
      <c r="IP13" s="626"/>
      <c r="IQ13" s="626"/>
      <c r="IR13" s="626"/>
      <c r="IS13" s="626"/>
      <c r="IT13" s="626"/>
      <c r="IU13" s="626"/>
    </row>
    <row r="14" spans="1:255" s="627" customFormat="1" ht="12.75" customHeight="1" thickBot="1" x14ac:dyDescent="0.25">
      <c r="A14" s="644" t="s">
        <v>17</v>
      </c>
      <c r="B14" s="679">
        <v>42580</v>
      </c>
      <c r="C14" s="489"/>
      <c r="D14" s="489"/>
      <c r="E14" s="678" t="s">
        <v>356</v>
      </c>
      <c r="F14" s="489"/>
      <c r="G14" s="623"/>
      <c r="H14" s="676">
        <v>26280</v>
      </c>
      <c r="I14" s="678" t="s">
        <v>368</v>
      </c>
      <c r="J14" s="615" t="s">
        <v>17</v>
      </c>
      <c r="K14" s="257" t="s">
        <v>143</v>
      </c>
      <c r="L14" s="12" t="s">
        <v>219</v>
      </c>
      <c r="M14" s="12"/>
      <c r="N14" s="499"/>
      <c r="O14" s="499"/>
      <c r="P14" s="658">
        <v>26.12</v>
      </c>
      <c r="Q14" s="509"/>
      <c r="R14" s="509"/>
      <c r="S14" s="623"/>
      <c r="T14" s="677">
        <v>11.8</v>
      </c>
      <c r="U14" s="677">
        <v>1.22</v>
      </c>
      <c r="V14" s="123"/>
      <c r="W14" s="123"/>
      <c r="X14" s="123"/>
      <c r="Y14" s="624"/>
      <c r="Z14" s="625"/>
      <c r="AA14" s="625"/>
      <c r="AB14" s="625"/>
      <c r="AC14" s="625"/>
      <c r="AD14" s="625"/>
      <c r="AE14" s="625"/>
      <c r="AF14" s="625"/>
      <c r="AG14" s="625"/>
      <c r="AH14" s="625"/>
      <c r="AI14" s="625"/>
      <c r="AJ14" s="625"/>
      <c r="AK14" s="625"/>
      <c r="AL14" s="625"/>
      <c r="AM14" s="625"/>
      <c r="AN14" s="625"/>
      <c r="AO14" s="625"/>
      <c r="AP14" s="625"/>
      <c r="AQ14" s="625"/>
      <c r="AR14" s="625"/>
      <c r="AS14" s="625"/>
      <c r="AT14" s="625"/>
      <c r="AU14" s="625"/>
      <c r="AV14" s="625"/>
      <c r="AW14" s="625"/>
      <c r="AX14" s="625"/>
      <c r="AY14" s="625"/>
      <c r="AZ14" s="625"/>
      <c r="BA14" s="625"/>
      <c r="BB14" s="625"/>
      <c r="BC14" s="625"/>
      <c r="BD14" s="625"/>
      <c r="BE14" s="625"/>
      <c r="BF14" s="626"/>
      <c r="BG14" s="626"/>
      <c r="BH14" s="626"/>
      <c r="BI14" s="626"/>
      <c r="BJ14" s="626"/>
      <c r="BK14" s="626"/>
      <c r="BL14" s="626"/>
      <c r="BM14" s="626"/>
      <c r="BN14" s="626"/>
      <c r="BO14" s="626"/>
      <c r="BP14" s="626"/>
      <c r="BQ14" s="626"/>
      <c r="BR14" s="626"/>
      <c r="BS14" s="626"/>
      <c r="BT14" s="626"/>
      <c r="BU14" s="626"/>
      <c r="BV14" s="626"/>
      <c r="BW14" s="626"/>
      <c r="BX14" s="626"/>
      <c r="BY14" s="626"/>
      <c r="BZ14" s="626"/>
      <c r="CA14" s="626"/>
      <c r="CB14" s="626"/>
      <c r="CC14" s="626"/>
      <c r="CD14" s="626"/>
      <c r="CE14" s="626"/>
      <c r="CF14" s="626"/>
      <c r="CG14" s="626"/>
      <c r="CH14" s="626"/>
      <c r="CI14" s="626"/>
      <c r="CJ14" s="626"/>
      <c r="CK14" s="626"/>
      <c r="CL14" s="626"/>
      <c r="CM14" s="626"/>
      <c r="CN14" s="626"/>
      <c r="CO14" s="626"/>
      <c r="CP14" s="626"/>
      <c r="CQ14" s="626"/>
      <c r="CR14" s="626"/>
      <c r="CS14" s="626"/>
      <c r="CT14" s="626"/>
      <c r="CU14" s="626"/>
      <c r="CV14" s="626"/>
      <c r="CW14" s="626"/>
      <c r="CX14" s="626"/>
      <c r="CY14" s="626"/>
      <c r="CZ14" s="626"/>
      <c r="DA14" s="626"/>
      <c r="DB14" s="626"/>
      <c r="DC14" s="626"/>
      <c r="DD14" s="626"/>
      <c r="DE14" s="626"/>
      <c r="DF14" s="626"/>
      <c r="DG14" s="626"/>
      <c r="DH14" s="626"/>
      <c r="DI14" s="626"/>
      <c r="DJ14" s="626"/>
      <c r="DK14" s="626"/>
      <c r="DL14" s="626"/>
      <c r="DM14" s="626"/>
      <c r="DN14" s="626"/>
      <c r="DO14" s="626"/>
      <c r="DP14" s="626"/>
      <c r="DQ14" s="626"/>
      <c r="DR14" s="626"/>
      <c r="DS14" s="626"/>
      <c r="DT14" s="626"/>
      <c r="DU14" s="626"/>
      <c r="DV14" s="626"/>
      <c r="DW14" s="626"/>
      <c r="DX14" s="626"/>
      <c r="DY14" s="626"/>
      <c r="DZ14" s="626"/>
      <c r="EA14" s="626"/>
      <c r="EB14" s="626"/>
      <c r="EC14" s="626"/>
      <c r="ED14" s="626"/>
      <c r="EE14" s="626"/>
      <c r="EF14" s="626"/>
      <c r="EG14" s="626"/>
      <c r="EH14" s="626"/>
      <c r="EI14" s="626"/>
      <c r="EJ14" s="626"/>
      <c r="EK14" s="626"/>
      <c r="EL14" s="626"/>
      <c r="EM14" s="626"/>
      <c r="EN14" s="626"/>
      <c r="EO14" s="626"/>
      <c r="EP14" s="626"/>
      <c r="EQ14" s="626"/>
      <c r="ER14" s="626"/>
      <c r="ES14" s="626"/>
      <c r="ET14" s="626"/>
      <c r="EU14" s="626"/>
      <c r="EV14" s="626"/>
      <c r="EW14" s="626"/>
      <c r="EX14" s="626"/>
      <c r="EY14" s="626"/>
      <c r="EZ14" s="626"/>
      <c r="FA14" s="626"/>
      <c r="FB14" s="626"/>
      <c r="FC14" s="626"/>
      <c r="FD14" s="626"/>
      <c r="FE14" s="626"/>
      <c r="FF14" s="626"/>
      <c r="FG14" s="626"/>
      <c r="FH14" s="626"/>
      <c r="FI14" s="626"/>
      <c r="FJ14" s="626"/>
      <c r="FK14" s="626"/>
      <c r="FL14" s="626"/>
      <c r="FM14" s="626"/>
      <c r="FN14" s="626"/>
      <c r="FO14" s="626"/>
      <c r="FP14" s="626"/>
      <c r="FQ14" s="626"/>
      <c r="FR14" s="626"/>
      <c r="FS14" s="626"/>
      <c r="FT14" s="626"/>
      <c r="FU14" s="626"/>
      <c r="FV14" s="626"/>
      <c r="FW14" s="626"/>
      <c r="FX14" s="626"/>
      <c r="FY14" s="626"/>
      <c r="FZ14" s="626"/>
      <c r="GA14" s="626"/>
      <c r="GB14" s="626"/>
      <c r="GC14" s="626"/>
      <c r="GD14" s="626"/>
      <c r="GE14" s="626"/>
      <c r="GF14" s="626"/>
      <c r="GG14" s="626"/>
      <c r="GH14" s="626"/>
      <c r="GI14" s="626"/>
      <c r="GJ14" s="626"/>
      <c r="GK14" s="626"/>
      <c r="GL14" s="626"/>
      <c r="GM14" s="626"/>
      <c r="GN14" s="626"/>
      <c r="GO14" s="626"/>
      <c r="GP14" s="626"/>
      <c r="GQ14" s="626"/>
      <c r="GR14" s="626"/>
      <c r="GS14" s="626"/>
      <c r="GT14" s="626"/>
      <c r="GU14" s="626"/>
      <c r="GV14" s="626"/>
      <c r="GW14" s="626"/>
      <c r="GX14" s="626"/>
      <c r="GY14" s="626"/>
      <c r="GZ14" s="626"/>
      <c r="HA14" s="626"/>
      <c r="HB14" s="626"/>
      <c r="HC14" s="626"/>
      <c r="HD14" s="626"/>
      <c r="HE14" s="626"/>
      <c r="HF14" s="626"/>
      <c r="HG14" s="626"/>
      <c r="HH14" s="626"/>
      <c r="HI14" s="626"/>
      <c r="HJ14" s="626"/>
      <c r="HK14" s="626"/>
      <c r="HL14" s="626"/>
      <c r="HM14" s="626"/>
      <c r="HN14" s="626"/>
      <c r="HO14" s="626"/>
      <c r="HP14" s="626"/>
      <c r="HQ14" s="626"/>
      <c r="HR14" s="626"/>
      <c r="HS14" s="626"/>
      <c r="HT14" s="626"/>
      <c r="HU14" s="626"/>
      <c r="HV14" s="626"/>
      <c r="HW14" s="626"/>
      <c r="HX14" s="626"/>
      <c r="HY14" s="626"/>
      <c r="HZ14" s="626"/>
      <c r="IA14" s="626"/>
      <c r="IB14" s="626"/>
      <c r="IC14" s="626"/>
      <c r="ID14" s="626"/>
      <c r="IE14" s="626"/>
      <c r="IF14" s="626"/>
      <c r="IG14" s="626"/>
      <c r="IH14" s="626"/>
      <c r="II14" s="626"/>
      <c r="IJ14" s="626"/>
      <c r="IK14" s="626"/>
      <c r="IL14" s="626"/>
      <c r="IM14" s="626"/>
      <c r="IN14" s="626"/>
      <c r="IO14" s="626"/>
      <c r="IP14" s="626"/>
      <c r="IQ14" s="626"/>
      <c r="IR14" s="626"/>
      <c r="IS14" s="626"/>
      <c r="IT14" s="626"/>
      <c r="IU14" s="626"/>
    </row>
    <row r="15" spans="1:255" s="627" customFormat="1" ht="12.75" customHeight="1" thickBot="1" x14ac:dyDescent="0.25">
      <c r="A15" s="644" t="s">
        <v>17</v>
      </c>
      <c r="B15" s="679">
        <v>42581</v>
      </c>
      <c r="C15" s="489"/>
      <c r="D15" s="489"/>
      <c r="E15" s="292" t="s">
        <v>386</v>
      </c>
      <c r="F15" s="489"/>
      <c r="G15" s="623"/>
      <c r="H15" s="676">
        <v>42537704</v>
      </c>
      <c r="I15" s="676">
        <v>95681680</v>
      </c>
      <c r="J15" s="615" t="s">
        <v>17</v>
      </c>
      <c r="K15" s="257" t="s">
        <v>143</v>
      </c>
      <c r="L15" s="12" t="s">
        <v>219</v>
      </c>
      <c r="M15" s="12"/>
      <c r="N15" s="499"/>
      <c r="O15" s="499"/>
      <c r="P15" s="658">
        <v>69.650000000000006</v>
      </c>
      <c r="Q15" s="509"/>
      <c r="R15" s="509"/>
      <c r="S15" s="623"/>
      <c r="T15" s="677">
        <v>10.5</v>
      </c>
      <c r="U15" s="677">
        <v>0.98</v>
      </c>
      <c r="V15" s="123"/>
      <c r="W15" s="123"/>
      <c r="X15" s="123"/>
      <c r="Y15" s="624"/>
      <c r="Z15" s="625"/>
      <c r="AA15" s="625"/>
      <c r="AB15" s="625"/>
      <c r="AC15" s="625"/>
      <c r="AD15" s="625"/>
      <c r="AE15" s="625"/>
      <c r="AF15" s="625"/>
      <c r="AG15" s="625"/>
      <c r="AH15" s="625"/>
      <c r="AI15" s="625"/>
      <c r="AJ15" s="625"/>
      <c r="AK15" s="625"/>
      <c r="AL15" s="625"/>
      <c r="AM15" s="625"/>
      <c r="AN15" s="625"/>
      <c r="AO15" s="625"/>
      <c r="AP15" s="625"/>
      <c r="AQ15" s="625"/>
      <c r="AR15" s="625"/>
      <c r="AS15" s="625"/>
      <c r="AT15" s="625"/>
      <c r="AU15" s="625"/>
      <c r="AV15" s="625"/>
      <c r="AW15" s="625"/>
      <c r="AX15" s="625"/>
      <c r="AY15" s="625"/>
      <c r="AZ15" s="625"/>
      <c r="BA15" s="625"/>
      <c r="BB15" s="625"/>
      <c r="BC15" s="625"/>
      <c r="BD15" s="625"/>
      <c r="BE15" s="625"/>
      <c r="BF15" s="626"/>
      <c r="BG15" s="626"/>
      <c r="BH15" s="626"/>
      <c r="BI15" s="626"/>
      <c r="BJ15" s="626"/>
      <c r="BK15" s="626"/>
      <c r="BL15" s="626"/>
      <c r="BM15" s="626"/>
      <c r="BN15" s="626"/>
      <c r="BO15" s="626"/>
      <c r="BP15" s="626"/>
      <c r="BQ15" s="626"/>
      <c r="BR15" s="626"/>
      <c r="BS15" s="626"/>
      <c r="BT15" s="626"/>
      <c r="BU15" s="626"/>
      <c r="BV15" s="626"/>
      <c r="BW15" s="626"/>
      <c r="BX15" s="626"/>
      <c r="BY15" s="626"/>
      <c r="BZ15" s="626"/>
      <c r="CA15" s="626"/>
      <c r="CB15" s="626"/>
      <c r="CC15" s="626"/>
      <c r="CD15" s="626"/>
      <c r="CE15" s="626"/>
      <c r="CF15" s="626"/>
      <c r="CG15" s="626"/>
      <c r="CH15" s="626"/>
      <c r="CI15" s="626"/>
      <c r="CJ15" s="626"/>
      <c r="CK15" s="626"/>
      <c r="CL15" s="626"/>
      <c r="CM15" s="626"/>
      <c r="CN15" s="626"/>
      <c r="CO15" s="626"/>
      <c r="CP15" s="626"/>
      <c r="CQ15" s="626"/>
      <c r="CR15" s="626"/>
      <c r="CS15" s="626"/>
      <c r="CT15" s="626"/>
      <c r="CU15" s="626"/>
      <c r="CV15" s="626"/>
      <c r="CW15" s="626"/>
      <c r="CX15" s="626"/>
      <c r="CY15" s="626"/>
      <c r="CZ15" s="626"/>
      <c r="DA15" s="626"/>
      <c r="DB15" s="626"/>
      <c r="DC15" s="626"/>
      <c r="DD15" s="626"/>
      <c r="DE15" s="626"/>
      <c r="DF15" s="626"/>
      <c r="DG15" s="626"/>
      <c r="DH15" s="626"/>
      <c r="DI15" s="626"/>
      <c r="DJ15" s="626"/>
      <c r="DK15" s="626"/>
      <c r="DL15" s="626"/>
      <c r="DM15" s="626"/>
      <c r="DN15" s="626"/>
      <c r="DO15" s="626"/>
      <c r="DP15" s="626"/>
      <c r="DQ15" s="626"/>
      <c r="DR15" s="626"/>
      <c r="DS15" s="626"/>
      <c r="DT15" s="626"/>
      <c r="DU15" s="626"/>
      <c r="DV15" s="626"/>
      <c r="DW15" s="626"/>
      <c r="DX15" s="626"/>
      <c r="DY15" s="626"/>
      <c r="DZ15" s="626"/>
      <c r="EA15" s="626"/>
      <c r="EB15" s="626"/>
      <c r="EC15" s="626"/>
      <c r="ED15" s="626"/>
      <c r="EE15" s="626"/>
      <c r="EF15" s="626"/>
      <c r="EG15" s="626"/>
      <c r="EH15" s="626"/>
      <c r="EI15" s="626"/>
      <c r="EJ15" s="626"/>
      <c r="EK15" s="626"/>
      <c r="EL15" s="626"/>
      <c r="EM15" s="626"/>
      <c r="EN15" s="626"/>
      <c r="EO15" s="626"/>
      <c r="EP15" s="626"/>
      <c r="EQ15" s="626"/>
      <c r="ER15" s="626"/>
      <c r="ES15" s="626"/>
      <c r="ET15" s="626"/>
      <c r="EU15" s="626"/>
      <c r="EV15" s="626"/>
      <c r="EW15" s="626"/>
      <c r="EX15" s="626"/>
      <c r="EY15" s="626"/>
      <c r="EZ15" s="626"/>
      <c r="FA15" s="626"/>
      <c r="FB15" s="626"/>
      <c r="FC15" s="626"/>
      <c r="FD15" s="626"/>
      <c r="FE15" s="626"/>
      <c r="FF15" s="626"/>
      <c r="FG15" s="626"/>
      <c r="FH15" s="626"/>
      <c r="FI15" s="626"/>
      <c r="FJ15" s="626"/>
      <c r="FK15" s="626"/>
      <c r="FL15" s="626"/>
      <c r="FM15" s="626"/>
      <c r="FN15" s="626"/>
      <c r="FO15" s="626"/>
      <c r="FP15" s="626"/>
      <c r="FQ15" s="626"/>
      <c r="FR15" s="626"/>
      <c r="FS15" s="626"/>
      <c r="FT15" s="626"/>
      <c r="FU15" s="626"/>
      <c r="FV15" s="626"/>
      <c r="FW15" s="626"/>
      <c r="FX15" s="626"/>
      <c r="FY15" s="626"/>
      <c r="FZ15" s="626"/>
      <c r="GA15" s="626"/>
      <c r="GB15" s="626"/>
      <c r="GC15" s="626"/>
      <c r="GD15" s="626"/>
      <c r="GE15" s="626"/>
      <c r="GF15" s="626"/>
      <c r="GG15" s="626"/>
      <c r="GH15" s="626"/>
      <c r="GI15" s="626"/>
      <c r="GJ15" s="626"/>
      <c r="GK15" s="626"/>
      <c r="GL15" s="626"/>
      <c r="GM15" s="626"/>
      <c r="GN15" s="626"/>
      <c r="GO15" s="626"/>
      <c r="GP15" s="626"/>
      <c r="GQ15" s="626"/>
      <c r="GR15" s="626"/>
      <c r="GS15" s="626"/>
      <c r="GT15" s="626"/>
      <c r="GU15" s="626"/>
      <c r="GV15" s="626"/>
      <c r="GW15" s="626"/>
      <c r="GX15" s="626"/>
      <c r="GY15" s="626"/>
      <c r="GZ15" s="626"/>
      <c r="HA15" s="626"/>
      <c r="HB15" s="626"/>
      <c r="HC15" s="626"/>
      <c r="HD15" s="626"/>
      <c r="HE15" s="626"/>
      <c r="HF15" s="626"/>
      <c r="HG15" s="626"/>
      <c r="HH15" s="626"/>
      <c r="HI15" s="626"/>
      <c r="HJ15" s="626"/>
      <c r="HK15" s="626"/>
      <c r="HL15" s="626"/>
      <c r="HM15" s="626"/>
      <c r="HN15" s="626"/>
      <c r="HO15" s="626"/>
      <c r="HP15" s="626"/>
      <c r="HQ15" s="626"/>
      <c r="HR15" s="626"/>
      <c r="HS15" s="626"/>
      <c r="HT15" s="626"/>
      <c r="HU15" s="626"/>
      <c r="HV15" s="626"/>
      <c r="HW15" s="626"/>
      <c r="HX15" s="626"/>
      <c r="HY15" s="626"/>
      <c r="HZ15" s="626"/>
      <c r="IA15" s="626"/>
      <c r="IB15" s="626"/>
      <c r="IC15" s="626"/>
      <c r="ID15" s="626"/>
      <c r="IE15" s="626"/>
      <c r="IF15" s="626"/>
      <c r="IG15" s="626"/>
      <c r="IH15" s="626"/>
      <c r="II15" s="626"/>
      <c r="IJ15" s="626"/>
      <c r="IK15" s="626"/>
      <c r="IL15" s="626"/>
      <c r="IM15" s="626"/>
      <c r="IN15" s="626"/>
      <c r="IO15" s="626"/>
      <c r="IP15" s="626"/>
      <c r="IQ15" s="626"/>
      <c r="IR15" s="626"/>
      <c r="IS15" s="626"/>
      <c r="IT15" s="626"/>
      <c r="IU15" s="626"/>
    </row>
    <row r="16" spans="1:255" s="627" customFormat="1" ht="12.75" customHeight="1" thickBot="1" x14ac:dyDescent="0.25">
      <c r="A16" s="644" t="s">
        <v>17</v>
      </c>
      <c r="B16" s="679">
        <v>42581</v>
      </c>
      <c r="C16" s="489"/>
      <c r="D16" s="489"/>
      <c r="E16" s="678" t="s">
        <v>320</v>
      </c>
      <c r="F16" s="489"/>
      <c r="G16" s="623"/>
      <c r="H16" s="676">
        <v>222</v>
      </c>
      <c r="I16" s="678" t="s">
        <v>323</v>
      </c>
      <c r="J16" s="615" t="s">
        <v>17</v>
      </c>
      <c r="K16" s="257" t="s">
        <v>143</v>
      </c>
      <c r="L16" s="12" t="s">
        <v>219</v>
      </c>
      <c r="M16" s="12"/>
      <c r="N16" s="499"/>
      <c r="O16" s="499"/>
      <c r="P16" s="658">
        <v>46.36</v>
      </c>
      <c r="Q16" s="509"/>
      <c r="R16" s="509"/>
      <c r="S16" s="623"/>
      <c r="T16" s="677">
        <v>13.1</v>
      </c>
      <c r="U16" s="677">
        <v>1.04</v>
      </c>
      <c r="V16" s="123"/>
      <c r="W16" s="123"/>
      <c r="X16" s="123"/>
      <c r="Y16" s="624"/>
      <c r="Z16" s="625"/>
      <c r="AA16" s="625"/>
      <c r="AB16" s="625"/>
      <c r="AC16" s="625"/>
      <c r="AD16" s="625"/>
      <c r="AE16" s="625"/>
      <c r="AF16" s="625"/>
      <c r="AG16" s="625"/>
      <c r="AH16" s="625"/>
      <c r="AI16" s="625"/>
      <c r="AJ16" s="625"/>
      <c r="AK16" s="625"/>
      <c r="AL16" s="625"/>
      <c r="AM16" s="625"/>
      <c r="AN16" s="625"/>
      <c r="AO16" s="625"/>
      <c r="AP16" s="625"/>
      <c r="AQ16" s="625"/>
      <c r="AR16" s="625"/>
      <c r="AS16" s="625"/>
      <c r="AT16" s="625"/>
      <c r="AU16" s="625"/>
      <c r="AV16" s="625"/>
      <c r="AW16" s="625"/>
      <c r="AX16" s="625"/>
      <c r="AY16" s="625"/>
      <c r="AZ16" s="625"/>
      <c r="BA16" s="625"/>
      <c r="BB16" s="625"/>
      <c r="BC16" s="625"/>
      <c r="BD16" s="625"/>
      <c r="BE16" s="625"/>
      <c r="BF16" s="626"/>
      <c r="BG16" s="626"/>
      <c r="BH16" s="626"/>
      <c r="BI16" s="626"/>
      <c r="BJ16" s="626"/>
      <c r="BK16" s="626"/>
      <c r="BL16" s="626"/>
      <c r="BM16" s="626"/>
      <c r="BN16" s="626"/>
      <c r="BO16" s="626"/>
      <c r="BP16" s="626"/>
      <c r="BQ16" s="626"/>
      <c r="BR16" s="626"/>
      <c r="BS16" s="626"/>
      <c r="BT16" s="626"/>
      <c r="BU16" s="626"/>
      <c r="BV16" s="626"/>
      <c r="BW16" s="626"/>
      <c r="BX16" s="626"/>
      <c r="BY16" s="626"/>
      <c r="BZ16" s="626"/>
      <c r="CA16" s="626"/>
      <c r="CB16" s="626"/>
      <c r="CC16" s="626"/>
      <c r="CD16" s="626"/>
      <c r="CE16" s="626"/>
      <c r="CF16" s="626"/>
      <c r="CG16" s="626"/>
      <c r="CH16" s="626"/>
      <c r="CI16" s="626"/>
      <c r="CJ16" s="626"/>
      <c r="CK16" s="626"/>
      <c r="CL16" s="626"/>
      <c r="CM16" s="626"/>
      <c r="CN16" s="626"/>
      <c r="CO16" s="626"/>
      <c r="CP16" s="626"/>
      <c r="CQ16" s="626"/>
      <c r="CR16" s="626"/>
      <c r="CS16" s="626"/>
      <c r="CT16" s="626"/>
      <c r="CU16" s="626"/>
      <c r="CV16" s="626"/>
      <c r="CW16" s="626"/>
      <c r="CX16" s="626"/>
      <c r="CY16" s="626"/>
      <c r="CZ16" s="626"/>
      <c r="DA16" s="626"/>
      <c r="DB16" s="626"/>
      <c r="DC16" s="626"/>
      <c r="DD16" s="626"/>
      <c r="DE16" s="626"/>
      <c r="DF16" s="626"/>
      <c r="DG16" s="626"/>
      <c r="DH16" s="626"/>
      <c r="DI16" s="626"/>
      <c r="DJ16" s="626"/>
      <c r="DK16" s="626"/>
      <c r="DL16" s="626"/>
      <c r="DM16" s="626"/>
      <c r="DN16" s="626"/>
      <c r="DO16" s="626"/>
      <c r="DP16" s="626"/>
      <c r="DQ16" s="626"/>
      <c r="DR16" s="626"/>
      <c r="DS16" s="626"/>
      <c r="DT16" s="626"/>
      <c r="DU16" s="626"/>
      <c r="DV16" s="626"/>
      <c r="DW16" s="626"/>
      <c r="DX16" s="626"/>
      <c r="DY16" s="626"/>
      <c r="DZ16" s="626"/>
      <c r="EA16" s="626"/>
      <c r="EB16" s="626"/>
      <c r="EC16" s="626"/>
      <c r="ED16" s="626"/>
      <c r="EE16" s="626"/>
      <c r="EF16" s="626"/>
      <c r="EG16" s="626"/>
      <c r="EH16" s="626"/>
      <c r="EI16" s="626"/>
      <c r="EJ16" s="626"/>
      <c r="EK16" s="626"/>
      <c r="EL16" s="626"/>
      <c r="EM16" s="626"/>
      <c r="EN16" s="626"/>
      <c r="EO16" s="626"/>
      <c r="EP16" s="626"/>
      <c r="EQ16" s="626"/>
      <c r="ER16" s="626"/>
      <c r="ES16" s="626"/>
      <c r="ET16" s="626"/>
      <c r="EU16" s="626"/>
      <c r="EV16" s="626"/>
      <c r="EW16" s="626"/>
      <c r="EX16" s="626"/>
      <c r="EY16" s="626"/>
      <c r="EZ16" s="626"/>
      <c r="FA16" s="626"/>
      <c r="FB16" s="626"/>
      <c r="FC16" s="626"/>
      <c r="FD16" s="626"/>
      <c r="FE16" s="626"/>
      <c r="FF16" s="626"/>
      <c r="FG16" s="626"/>
      <c r="FH16" s="626"/>
      <c r="FI16" s="626"/>
      <c r="FJ16" s="626"/>
      <c r="FK16" s="626"/>
      <c r="FL16" s="626"/>
      <c r="FM16" s="626"/>
      <c r="FN16" s="626"/>
      <c r="FO16" s="626"/>
      <c r="FP16" s="626"/>
      <c r="FQ16" s="626"/>
      <c r="FR16" s="626"/>
      <c r="FS16" s="626"/>
      <c r="FT16" s="626"/>
      <c r="FU16" s="626"/>
      <c r="FV16" s="626"/>
      <c r="FW16" s="626"/>
      <c r="FX16" s="626"/>
      <c r="FY16" s="626"/>
      <c r="FZ16" s="626"/>
      <c r="GA16" s="626"/>
      <c r="GB16" s="626"/>
      <c r="GC16" s="626"/>
      <c r="GD16" s="626"/>
      <c r="GE16" s="626"/>
      <c r="GF16" s="626"/>
      <c r="GG16" s="626"/>
      <c r="GH16" s="626"/>
      <c r="GI16" s="626"/>
      <c r="GJ16" s="626"/>
      <c r="GK16" s="626"/>
      <c r="GL16" s="626"/>
      <c r="GM16" s="626"/>
      <c r="GN16" s="626"/>
      <c r="GO16" s="626"/>
      <c r="GP16" s="626"/>
      <c r="GQ16" s="626"/>
      <c r="GR16" s="626"/>
      <c r="GS16" s="626"/>
      <c r="GT16" s="626"/>
      <c r="GU16" s="626"/>
      <c r="GV16" s="626"/>
      <c r="GW16" s="626"/>
      <c r="GX16" s="626"/>
      <c r="GY16" s="626"/>
      <c r="GZ16" s="626"/>
      <c r="HA16" s="626"/>
      <c r="HB16" s="626"/>
      <c r="HC16" s="626"/>
      <c r="HD16" s="626"/>
      <c r="HE16" s="626"/>
      <c r="HF16" s="626"/>
      <c r="HG16" s="626"/>
      <c r="HH16" s="626"/>
      <c r="HI16" s="626"/>
      <c r="HJ16" s="626"/>
      <c r="HK16" s="626"/>
      <c r="HL16" s="626"/>
      <c r="HM16" s="626"/>
      <c r="HN16" s="626"/>
      <c r="HO16" s="626"/>
      <c r="HP16" s="626"/>
      <c r="HQ16" s="626"/>
      <c r="HR16" s="626"/>
      <c r="HS16" s="626"/>
      <c r="HT16" s="626"/>
      <c r="HU16" s="626"/>
      <c r="HV16" s="626"/>
      <c r="HW16" s="626"/>
      <c r="HX16" s="626"/>
      <c r="HY16" s="626"/>
      <c r="HZ16" s="626"/>
      <c r="IA16" s="626"/>
      <c r="IB16" s="626"/>
      <c r="IC16" s="626"/>
      <c r="ID16" s="626"/>
      <c r="IE16" s="626"/>
      <c r="IF16" s="626"/>
      <c r="IG16" s="626"/>
      <c r="IH16" s="626"/>
      <c r="II16" s="626"/>
      <c r="IJ16" s="626"/>
      <c r="IK16" s="626"/>
      <c r="IL16" s="626"/>
      <c r="IM16" s="626"/>
      <c r="IN16" s="626"/>
      <c r="IO16" s="626"/>
      <c r="IP16" s="626"/>
      <c r="IQ16" s="626"/>
      <c r="IR16" s="626"/>
      <c r="IS16" s="626"/>
      <c r="IT16" s="626"/>
      <c r="IU16" s="626"/>
    </row>
    <row r="17" spans="1:255" s="627" customFormat="1" ht="12.75" customHeight="1" thickBot="1" x14ac:dyDescent="0.25">
      <c r="A17" s="644" t="s">
        <v>17</v>
      </c>
      <c r="B17" s="679">
        <v>42581</v>
      </c>
      <c r="C17" s="489"/>
      <c r="D17" s="489"/>
      <c r="E17" s="292" t="s">
        <v>386</v>
      </c>
      <c r="F17" s="489"/>
      <c r="G17" s="623"/>
      <c r="H17" s="676">
        <v>49701295</v>
      </c>
      <c r="I17" s="676">
        <v>59764498</v>
      </c>
      <c r="J17" s="615" t="s">
        <v>17</v>
      </c>
      <c r="K17" s="257" t="s">
        <v>143</v>
      </c>
      <c r="L17" s="12" t="s">
        <v>219</v>
      </c>
      <c r="M17" s="12"/>
      <c r="N17" s="499"/>
      <c r="O17" s="499"/>
      <c r="P17" s="658">
        <v>69.8</v>
      </c>
      <c r="Q17" s="509"/>
      <c r="R17" s="509"/>
      <c r="S17" s="623"/>
      <c r="T17" s="677">
        <v>10.6</v>
      </c>
      <c r="U17" s="677">
        <v>1.2</v>
      </c>
      <c r="V17" s="123"/>
      <c r="W17" s="123"/>
      <c r="X17" s="123"/>
      <c r="Y17" s="624"/>
      <c r="Z17" s="625"/>
      <c r="AA17" s="625"/>
      <c r="AB17" s="625"/>
      <c r="AC17" s="625"/>
      <c r="AD17" s="625"/>
      <c r="AE17" s="625"/>
      <c r="AF17" s="625"/>
      <c r="AG17" s="625"/>
      <c r="AH17" s="625"/>
      <c r="AI17" s="625"/>
      <c r="AJ17" s="625"/>
      <c r="AK17" s="625"/>
      <c r="AL17" s="625"/>
      <c r="AM17" s="625"/>
      <c r="AN17" s="625"/>
      <c r="AO17" s="625"/>
      <c r="AP17" s="625"/>
      <c r="AQ17" s="625"/>
      <c r="AR17" s="625"/>
      <c r="AS17" s="625"/>
      <c r="AT17" s="625"/>
      <c r="AU17" s="625"/>
      <c r="AV17" s="625"/>
      <c r="AW17" s="625"/>
      <c r="AX17" s="625"/>
      <c r="AY17" s="625"/>
      <c r="AZ17" s="625"/>
      <c r="BA17" s="625"/>
      <c r="BB17" s="625"/>
      <c r="BC17" s="625"/>
      <c r="BD17" s="625"/>
      <c r="BE17" s="625"/>
      <c r="BF17" s="626"/>
      <c r="BG17" s="626"/>
      <c r="BH17" s="626"/>
      <c r="BI17" s="626"/>
      <c r="BJ17" s="626"/>
      <c r="BK17" s="626"/>
      <c r="BL17" s="626"/>
      <c r="BM17" s="626"/>
      <c r="BN17" s="626"/>
      <c r="BO17" s="626"/>
      <c r="BP17" s="626"/>
      <c r="BQ17" s="626"/>
      <c r="BR17" s="626"/>
      <c r="BS17" s="626"/>
      <c r="BT17" s="626"/>
      <c r="BU17" s="626"/>
      <c r="BV17" s="626"/>
      <c r="BW17" s="626"/>
      <c r="BX17" s="626"/>
      <c r="BY17" s="626"/>
      <c r="BZ17" s="626"/>
      <c r="CA17" s="626"/>
      <c r="CB17" s="626"/>
      <c r="CC17" s="626"/>
      <c r="CD17" s="626"/>
      <c r="CE17" s="626"/>
      <c r="CF17" s="626"/>
      <c r="CG17" s="626"/>
      <c r="CH17" s="626"/>
      <c r="CI17" s="626"/>
      <c r="CJ17" s="626"/>
      <c r="CK17" s="626"/>
      <c r="CL17" s="626"/>
      <c r="CM17" s="626"/>
      <c r="CN17" s="626"/>
      <c r="CO17" s="626"/>
      <c r="CP17" s="626"/>
      <c r="CQ17" s="626"/>
      <c r="CR17" s="626"/>
      <c r="CS17" s="626"/>
      <c r="CT17" s="626"/>
      <c r="CU17" s="626"/>
      <c r="CV17" s="626"/>
      <c r="CW17" s="626"/>
      <c r="CX17" s="626"/>
      <c r="CY17" s="626"/>
      <c r="CZ17" s="626"/>
      <c r="DA17" s="626"/>
      <c r="DB17" s="626"/>
      <c r="DC17" s="626"/>
      <c r="DD17" s="626"/>
      <c r="DE17" s="626"/>
      <c r="DF17" s="626"/>
      <c r="DG17" s="626"/>
      <c r="DH17" s="626"/>
      <c r="DI17" s="626"/>
      <c r="DJ17" s="626"/>
      <c r="DK17" s="626"/>
      <c r="DL17" s="626"/>
      <c r="DM17" s="626"/>
      <c r="DN17" s="626"/>
      <c r="DO17" s="626"/>
      <c r="DP17" s="626"/>
      <c r="DQ17" s="626"/>
      <c r="DR17" s="626"/>
      <c r="DS17" s="626"/>
      <c r="DT17" s="626"/>
      <c r="DU17" s="626"/>
      <c r="DV17" s="626"/>
      <c r="DW17" s="626"/>
      <c r="DX17" s="626"/>
      <c r="DY17" s="626"/>
      <c r="DZ17" s="626"/>
      <c r="EA17" s="626"/>
      <c r="EB17" s="626"/>
      <c r="EC17" s="626"/>
      <c r="ED17" s="626"/>
      <c r="EE17" s="626"/>
      <c r="EF17" s="626"/>
      <c r="EG17" s="626"/>
      <c r="EH17" s="626"/>
      <c r="EI17" s="626"/>
      <c r="EJ17" s="626"/>
      <c r="EK17" s="626"/>
      <c r="EL17" s="626"/>
      <c r="EM17" s="626"/>
      <c r="EN17" s="626"/>
      <c r="EO17" s="626"/>
      <c r="EP17" s="626"/>
      <c r="EQ17" s="626"/>
      <c r="ER17" s="626"/>
      <c r="ES17" s="626"/>
      <c r="ET17" s="626"/>
      <c r="EU17" s="626"/>
      <c r="EV17" s="626"/>
      <c r="EW17" s="626"/>
      <c r="EX17" s="626"/>
      <c r="EY17" s="626"/>
      <c r="EZ17" s="626"/>
      <c r="FA17" s="626"/>
      <c r="FB17" s="626"/>
      <c r="FC17" s="626"/>
      <c r="FD17" s="626"/>
      <c r="FE17" s="626"/>
      <c r="FF17" s="626"/>
      <c r="FG17" s="626"/>
      <c r="FH17" s="626"/>
      <c r="FI17" s="626"/>
      <c r="FJ17" s="626"/>
      <c r="FK17" s="626"/>
      <c r="FL17" s="626"/>
      <c r="FM17" s="626"/>
      <c r="FN17" s="626"/>
      <c r="FO17" s="626"/>
      <c r="FP17" s="626"/>
      <c r="FQ17" s="626"/>
      <c r="FR17" s="626"/>
      <c r="FS17" s="626"/>
      <c r="FT17" s="626"/>
      <c r="FU17" s="626"/>
      <c r="FV17" s="626"/>
      <c r="FW17" s="626"/>
      <c r="FX17" s="626"/>
      <c r="FY17" s="626"/>
      <c r="FZ17" s="626"/>
      <c r="GA17" s="626"/>
      <c r="GB17" s="626"/>
      <c r="GC17" s="626"/>
      <c r="GD17" s="626"/>
      <c r="GE17" s="626"/>
      <c r="GF17" s="626"/>
      <c r="GG17" s="626"/>
      <c r="GH17" s="626"/>
      <c r="GI17" s="626"/>
      <c r="GJ17" s="626"/>
      <c r="GK17" s="626"/>
      <c r="GL17" s="626"/>
      <c r="GM17" s="626"/>
      <c r="GN17" s="626"/>
      <c r="GO17" s="626"/>
      <c r="GP17" s="626"/>
      <c r="GQ17" s="626"/>
      <c r="GR17" s="626"/>
      <c r="GS17" s="626"/>
      <c r="GT17" s="626"/>
      <c r="GU17" s="626"/>
      <c r="GV17" s="626"/>
      <c r="GW17" s="626"/>
      <c r="GX17" s="626"/>
      <c r="GY17" s="626"/>
      <c r="GZ17" s="626"/>
      <c r="HA17" s="626"/>
      <c r="HB17" s="626"/>
      <c r="HC17" s="626"/>
      <c r="HD17" s="626"/>
      <c r="HE17" s="626"/>
      <c r="HF17" s="626"/>
      <c r="HG17" s="626"/>
      <c r="HH17" s="626"/>
      <c r="HI17" s="626"/>
      <c r="HJ17" s="626"/>
      <c r="HK17" s="626"/>
      <c r="HL17" s="626"/>
      <c r="HM17" s="626"/>
      <c r="HN17" s="626"/>
      <c r="HO17" s="626"/>
      <c r="HP17" s="626"/>
      <c r="HQ17" s="626"/>
      <c r="HR17" s="626"/>
      <c r="HS17" s="626"/>
      <c r="HT17" s="626"/>
      <c r="HU17" s="626"/>
      <c r="HV17" s="626"/>
      <c r="HW17" s="626"/>
      <c r="HX17" s="626"/>
      <c r="HY17" s="626"/>
      <c r="HZ17" s="626"/>
      <c r="IA17" s="626"/>
      <c r="IB17" s="626"/>
      <c r="IC17" s="626"/>
      <c r="ID17" s="626"/>
      <c r="IE17" s="626"/>
      <c r="IF17" s="626"/>
      <c r="IG17" s="626"/>
      <c r="IH17" s="626"/>
      <c r="II17" s="626"/>
      <c r="IJ17" s="626"/>
      <c r="IK17" s="626"/>
      <c r="IL17" s="626"/>
      <c r="IM17" s="626"/>
      <c r="IN17" s="626"/>
      <c r="IO17" s="626"/>
      <c r="IP17" s="626"/>
      <c r="IQ17" s="626"/>
      <c r="IR17" s="626"/>
      <c r="IS17" s="626"/>
      <c r="IT17" s="626"/>
      <c r="IU17" s="626"/>
    </row>
    <row r="18" spans="1:255" s="627" customFormat="1" ht="12.75" customHeight="1" thickBot="1" x14ac:dyDescent="0.25">
      <c r="A18" s="644" t="s">
        <v>17</v>
      </c>
      <c r="B18" s="679">
        <v>42581</v>
      </c>
      <c r="C18" s="489"/>
      <c r="D18" s="489"/>
      <c r="E18" s="292" t="s">
        <v>386</v>
      </c>
      <c r="F18" s="489"/>
      <c r="G18" s="623"/>
      <c r="H18" s="676">
        <v>49701295</v>
      </c>
      <c r="I18" s="676">
        <v>53202743</v>
      </c>
      <c r="J18" s="615" t="s">
        <v>17</v>
      </c>
      <c r="K18" s="257" t="s">
        <v>143</v>
      </c>
      <c r="L18" s="12" t="s">
        <v>219</v>
      </c>
      <c r="M18" s="12"/>
      <c r="N18" s="499"/>
      <c r="O18" s="499"/>
      <c r="P18" s="658">
        <v>69.3</v>
      </c>
      <c r="Q18" s="509"/>
      <c r="R18" s="509"/>
      <c r="S18" s="623"/>
      <c r="T18" s="677">
        <v>10.9</v>
      </c>
      <c r="U18" s="677">
        <v>1.4</v>
      </c>
      <c r="V18" s="123"/>
      <c r="W18" s="123"/>
      <c r="X18" s="123"/>
      <c r="Y18" s="624"/>
      <c r="Z18" s="625"/>
      <c r="AA18" s="625"/>
      <c r="AB18" s="625"/>
      <c r="AC18" s="625"/>
      <c r="AD18" s="625"/>
      <c r="AE18" s="625"/>
      <c r="AF18" s="625"/>
      <c r="AG18" s="625"/>
      <c r="AH18" s="625"/>
      <c r="AI18" s="625"/>
      <c r="AJ18" s="625"/>
      <c r="AK18" s="625"/>
      <c r="AL18" s="625"/>
      <c r="AM18" s="625"/>
      <c r="AN18" s="625"/>
      <c r="AO18" s="625"/>
      <c r="AP18" s="625"/>
      <c r="AQ18" s="625"/>
      <c r="AR18" s="625"/>
      <c r="AS18" s="625"/>
      <c r="AT18" s="625"/>
      <c r="AU18" s="625"/>
      <c r="AV18" s="625"/>
      <c r="AW18" s="625"/>
      <c r="AX18" s="625"/>
      <c r="AY18" s="625"/>
      <c r="AZ18" s="625"/>
      <c r="BA18" s="625"/>
      <c r="BB18" s="625"/>
      <c r="BC18" s="625"/>
      <c r="BD18" s="625"/>
      <c r="BE18" s="625"/>
      <c r="BF18" s="626"/>
      <c r="BG18" s="626"/>
      <c r="BH18" s="626"/>
      <c r="BI18" s="626"/>
      <c r="BJ18" s="626"/>
      <c r="BK18" s="626"/>
      <c r="BL18" s="626"/>
      <c r="BM18" s="626"/>
      <c r="BN18" s="626"/>
      <c r="BO18" s="626"/>
      <c r="BP18" s="626"/>
      <c r="BQ18" s="626"/>
      <c r="BR18" s="626"/>
      <c r="BS18" s="626"/>
      <c r="BT18" s="626"/>
      <c r="BU18" s="626"/>
      <c r="BV18" s="626"/>
      <c r="BW18" s="626"/>
      <c r="BX18" s="626"/>
      <c r="BY18" s="626"/>
      <c r="BZ18" s="626"/>
      <c r="CA18" s="626"/>
      <c r="CB18" s="626"/>
      <c r="CC18" s="626"/>
      <c r="CD18" s="626"/>
      <c r="CE18" s="626"/>
      <c r="CF18" s="626"/>
      <c r="CG18" s="626"/>
      <c r="CH18" s="626"/>
      <c r="CI18" s="626"/>
      <c r="CJ18" s="626"/>
      <c r="CK18" s="626"/>
      <c r="CL18" s="626"/>
      <c r="CM18" s="626"/>
      <c r="CN18" s="626"/>
      <c r="CO18" s="626"/>
      <c r="CP18" s="626"/>
      <c r="CQ18" s="626"/>
      <c r="CR18" s="626"/>
      <c r="CS18" s="626"/>
      <c r="CT18" s="626"/>
      <c r="CU18" s="626"/>
      <c r="CV18" s="626"/>
      <c r="CW18" s="626"/>
      <c r="CX18" s="626"/>
      <c r="CY18" s="626"/>
      <c r="CZ18" s="626"/>
      <c r="DA18" s="626"/>
      <c r="DB18" s="626"/>
      <c r="DC18" s="626"/>
      <c r="DD18" s="626"/>
      <c r="DE18" s="626"/>
      <c r="DF18" s="626"/>
      <c r="DG18" s="626"/>
      <c r="DH18" s="626"/>
      <c r="DI18" s="626"/>
      <c r="DJ18" s="626"/>
      <c r="DK18" s="626"/>
      <c r="DL18" s="626"/>
      <c r="DM18" s="626"/>
      <c r="DN18" s="626"/>
      <c r="DO18" s="626"/>
      <c r="DP18" s="626"/>
      <c r="DQ18" s="626"/>
      <c r="DR18" s="626"/>
      <c r="DS18" s="626"/>
      <c r="DT18" s="626"/>
      <c r="DU18" s="626"/>
      <c r="DV18" s="626"/>
      <c r="DW18" s="626"/>
      <c r="DX18" s="626"/>
      <c r="DY18" s="626"/>
      <c r="DZ18" s="626"/>
      <c r="EA18" s="626"/>
      <c r="EB18" s="626"/>
      <c r="EC18" s="626"/>
      <c r="ED18" s="626"/>
      <c r="EE18" s="626"/>
      <c r="EF18" s="626"/>
      <c r="EG18" s="626"/>
      <c r="EH18" s="626"/>
      <c r="EI18" s="626"/>
      <c r="EJ18" s="626"/>
      <c r="EK18" s="626"/>
      <c r="EL18" s="626"/>
      <c r="EM18" s="626"/>
      <c r="EN18" s="626"/>
      <c r="EO18" s="626"/>
      <c r="EP18" s="626"/>
      <c r="EQ18" s="626"/>
      <c r="ER18" s="626"/>
      <c r="ES18" s="626"/>
      <c r="ET18" s="626"/>
      <c r="EU18" s="626"/>
      <c r="EV18" s="626"/>
      <c r="EW18" s="626"/>
      <c r="EX18" s="626"/>
      <c r="EY18" s="626"/>
      <c r="EZ18" s="626"/>
      <c r="FA18" s="626"/>
      <c r="FB18" s="626"/>
      <c r="FC18" s="626"/>
      <c r="FD18" s="626"/>
      <c r="FE18" s="626"/>
      <c r="FF18" s="626"/>
      <c r="FG18" s="626"/>
      <c r="FH18" s="626"/>
      <c r="FI18" s="626"/>
      <c r="FJ18" s="626"/>
      <c r="FK18" s="626"/>
      <c r="FL18" s="626"/>
      <c r="FM18" s="626"/>
      <c r="FN18" s="626"/>
      <c r="FO18" s="626"/>
      <c r="FP18" s="626"/>
      <c r="FQ18" s="626"/>
      <c r="FR18" s="626"/>
      <c r="FS18" s="626"/>
      <c r="FT18" s="626"/>
      <c r="FU18" s="626"/>
      <c r="FV18" s="626"/>
      <c r="FW18" s="626"/>
      <c r="FX18" s="626"/>
      <c r="FY18" s="626"/>
      <c r="FZ18" s="626"/>
      <c r="GA18" s="626"/>
      <c r="GB18" s="626"/>
      <c r="GC18" s="626"/>
      <c r="GD18" s="626"/>
      <c r="GE18" s="626"/>
      <c r="GF18" s="626"/>
      <c r="GG18" s="626"/>
      <c r="GH18" s="626"/>
      <c r="GI18" s="626"/>
      <c r="GJ18" s="626"/>
      <c r="GK18" s="626"/>
      <c r="GL18" s="626"/>
      <c r="GM18" s="626"/>
      <c r="GN18" s="626"/>
      <c r="GO18" s="626"/>
      <c r="GP18" s="626"/>
      <c r="GQ18" s="626"/>
      <c r="GR18" s="626"/>
      <c r="GS18" s="626"/>
      <c r="GT18" s="626"/>
      <c r="GU18" s="626"/>
      <c r="GV18" s="626"/>
      <c r="GW18" s="626"/>
      <c r="GX18" s="626"/>
      <c r="GY18" s="626"/>
      <c r="GZ18" s="626"/>
      <c r="HA18" s="626"/>
      <c r="HB18" s="626"/>
      <c r="HC18" s="626"/>
      <c r="HD18" s="626"/>
      <c r="HE18" s="626"/>
      <c r="HF18" s="626"/>
      <c r="HG18" s="626"/>
      <c r="HH18" s="626"/>
      <c r="HI18" s="626"/>
      <c r="HJ18" s="626"/>
      <c r="HK18" s="626"/>
      <c r="HL18" s="626"/>
      <c r="HM18" s="626"/>
      <c r="HN18" s="626"/>
      <c r="HO18" s="626"/>
      <c r="HP18" s="626"/>
      <c r="HQ18" s="626"/>
      <c r="HR18" s="626"/>
      <c r="HS18" s="626"/>
      <c r="HT18" s="626"/>
      <c r="HU18" s="626"/>
      <c r="HV18" s="626"/>
      <c r="HW18" s="626"/>
      <c r="HX18" s="626"/>
      <c r="HY18" s="626"/>
      <c r="HZ18" s="626"/>
      <c r="IA18" s="626"/>
      <c r="IB18" s="626"/>
      <c r="IC18" s="626"/>
      <c r="ID18" s="626"/>
      <c r="IE18" s="626"/>
      <c r="IF18" s="626"/>
      <c r="IG18" s="626"/>
      <c r="IH18" s="626"/>
      <c r="II18" s="626"/>
      <c r="IJ18" s="626"/>
      <c r="IK18" s="626"/>
      <c r="IL18" s="626"/>
      <c r="IM18" s="626"/>
      <c r="IN18" s="626"/>
      <c r="IO18" s="626"/>
      <c r="IP18" s="626"/>
      <c r="IQ18" s="626"/>
      <c r="IR18" s="626"/>
      <c r="IS18" s="626"/>
      <c r="IT18" s="626"/>
      <c r="IU18" s="626"/>
    </row>
    <row r="19" spans="1:255" s="627" customFormat="1" ht="12.75" customHeight="1" thickBot="1" x14ac:dyDescent="0.25">
      <c r="A19" s="644" t="s">
        <v>17</v>
      </c>
      <c r="B19" s="679">
        <v>42581</v>
      </c>
      <c r="C19" s="489"/>
      <c r="D19" s="489"/>
      <c r="E19" s="292" t="s">
        <v>386</v>
      </c>
      <c r="F19" s="489"/>
      <c r="G19" s="623"/>
      <c r="H19" s="676">
        <v>49701295</v>
      </c>
      <c r="I19" s="676">
        <v>53203543</v>
      </c>
      <c r="J19" s="615" t="s">
        <v>17</v>
      </c>
      <c r="K19" s="257" t="s">
        <v>143</v>
      </c>
      <c r="L19" s="12" t="s">
        <v>219</v>
      </c>
      <c r="M19" s="12"/>
      <c r="N19" s="499"/>
      <c r="O19" s="499"/>
      <c r="P19" s="658">
        <v>68.5</v>
      </c>
      <c r="Q19" s="509"/>
      <c r="R19" s="509"/>
      <c r="S19" s="623"/>
      <c r="T19" s="677">
        <v>11.1</v>
      </c>
      <c r="U19" s="677">
        <v>1.32</v>
      </c>
      <c r="V19" s="123"/>
      <c r="W19" s="123"/>
      <c r="X19" s="123"/>
      <c r="Y19" s="624"/>
      <c r="Z19" s="625"/>
      <c r="AA19" s="625"/>
      <c r="AB19" s="625"/>
      <c r="AC19" s="625"/>
      <c r="AD19" s="625"/>
      <c r="AE19" s="625"/>
      <c r="AF19" s="625"/>
      <c r="AG19" s="625"/>
      <c r="AH19" s="625"/>
      <c r="AI19" s="625"/>
      <c r="AJ19" s="625"/>
      <c r="AK19" s="625"/>
      <c r="AL19" s="625"/>
      <c r="AM19" s="625"/>
      <c r="AN19" s="625"/>
      <c r="AO19" s="625"/>
      <c r="AP19" s="625"/>
      <c r="AQ19" s="625"/>
      <c r="AR19" s="625"/>
      <c r="AS19" s="625"/>
      <c r="AT19" s="625"/>
      <c r="AU19" s="625"/>
      <c r="AV19" s="625"/>
      <c r="AW19" s="625"/>
      <c r="AX19" s="625"/>
      <c r="AY19" s="625"/>
      <c r="AZ19" s="625"/>
      <c r="BA19" s="625"/>
      <c r="BB19" s="625"/>
      <c r="BC19" s="625"/>
      <c r="BD19" s="625"/>
      <c r="BE19" s="625"/>
      <c r="BF19" s="626"/>
      <c r="BG19" s="626"/>
      <c r="BH19" s="626"/>
      <c r="BI19" s="626"/>
      <c r="BJ19" s="626"/>
      <c r="BK19" s="626"/>
      <c r="BL19" s="626"/>
      <c r="BM19" s="626"/>
      <c r="BN19" s="626"/>
      <c r="BO19" s="626"/>
      <c r="BP19" s="626"/>
      <c r="BQ19" s="626"/>
      <c r="BR19" s="626"/>
      <c r="BS19" s="626"/>
      <c r="BT19" s="626"/>
      <c r="BU19" s="626"/>
      <c r="BV19" s="626"/>
      <c r="BW19" s="626"/>
      <c r="BX19" s="626"/>
      <c r="BY19" s="626"/>
      <c r="BZ19" s="626"/>
      <c r="CA19" s="626"/>
      <c r="CB19" s="626"/>
      <c r="CC19" s="626"/>
      <c r="CD19" s="626"/>
      <c r="CE19" s="626"/>
      <c r="CF19" s="626"/>
      <c r="CG19" s="626"/>
      <c r="CH19" s="626"/>
      <c r="CI19" s="626"/>
      <c r="CJ19" s="626"/>
      <c r="CK19" s="626"/>
      <c r="CL19" s="626"/>
      <c r="CM19" s="626"/>
      <c r="CN19" s="626"/>
      <c r="CO19" s="626"/>
      <c r="CP19" s="626"/>
      <c r="CQ19" s="626"/>
      <c r="CR19" s="626"/>
      <c r="CS19" s="626"/>
      <c r="CT19" s="626"/>
      <c r="CU19" s="626"/>
      <c r="CV19" s="626"/>
      <c r="CW19" s="626"/>
      <c r="CX19" s="626"/>
      <c r="CY19" s="626"/>
      <c r="CZ19" s="626"/>
      <c r="DA19" s="626"/>
      <c r="DB19" s="626"/>
      <c r="DC19" s="626"/>
      <c r="DD19" s="626"/>
      <c r="DE19" s="626"/>
      <c r="DF19" s="626"/>
      <c r="DG19" s="626"/>
      <c r="DH19" s="626"/>
      <c r="DI19" s="626"/>
      <c r="DJ19" s="626"/>
      <c r="DK19" s="626"/>
      <c r="DL19" s="626"/>
      <c r="DM19" s="626"/>
      <c r="DN19" s="626"/>
      <c r="DO19" s="626"/>
      <c r="DP19" s="626"/>
      <c r="DQ19" s="626"/>
      <c r="DR19" s="626"/>
      <c r="DS19" s="626"/>
      <c r="DT19" s="626"/>
      <c r="DU19" s="626"/>
      <c r="DV19" s="626"/>
      <c r="DW19" s="626"/>
      <c r="DX19" s="626"/>
      <c r="DY19" s="626"/>
      <c r="DZ19" s="626"/>
      <c r="EA19" s="626"/>
      <c r="EB19" s="626"/>
      <c r="EC19" s="626"/>
      <c r="ED19" s="626"/>
      <c r="EE19" s="626"/>
      <c r="EF19" s="626"/>
      <c r="EG19" s="626"/>
      <c r="EH19" s="626"/>
      <c r="EI19" s="626"/>
      <c r="EJ19" s="626"/>
      <c r="EK19" s="626"/>
      <c r="EL19" s="626"/>
      <c r="EM19" s="626"/>
      <c r="EN19" s="626"/>
      <c r="EO19" s="626"/>
      <c r="EP19" s="626"/>
      <c r="EQ19" s="626"/>
      <c r="ER19" s="626"/>
      <c r="ES19" s="626"/>
      <c r="ET19" s="626"/>
      <c r="EU19" s="626"/>
      <c r="EV19" s="626"/>
      <c r="EW19" s="626"/>
      <c r="EX19" s="626"/>
      <c r="EY19" s="626"/>
      <c r="EZ19" s="626"/>
      <c r="FA19" s="626"/>
      <c r="FB19" s="626"/>
      <c r="FC19" s="626"/>
      <c r="FD19" s="626"/>
      <c r="FE19" s="626"/>
      <c r="FF19" s="626"/>
      <c r="FG19" s="626"/>
      <c r="FH19" s="626"/>
      <c r="FI19" s="626"/>
      <c r="FJ19" s="626"/>
      <c r="FK19" s="626"/>
      <c r="FL19" s="626"/>
      <c r="FM19" s="626"/>
      <c r="FN19" s="626"/>
      <c r="FO19" s="626"/>
      <c r="FP19" s="626"/>
      <c r="FQ19" s="626"/>
      <c r="FR19" s="626"/>
      <c r="FS19" s="626"/>
      <c r="FT19" s="626"/>
      <c r="FU19" s="626"/>
      <c r="FV19" s="626"/>
      <c r="FW19" s="626"/>
      <c r="FX19" s="626"/>
      <c r="FY19" s="626"/>
      <c r="FZ19" s="626"/>
      <c r="GA19" s="626"/>
      <c r="GB19" s="626"/>
      <c r="GC19" s="626"/>
      <c r="GD19" s="626"/>
      <c r="GE19" s="626"/>
      <c r="GF19" s="626"/>
      <c r="GG19" s="626"/>
      <c r="GH19" s="626"/>
      <c r="GI19" s="626"/>
      <c r="GJ19" s="626"/>
      <c r="GK19" s="626"/>
      <c r="GL19" s="626"/>
      <c r="GM19" s="626"/>
      <c r="GN19" s="626"/>
      <c r="GO19" s="626"/>
      <c r="GP19" s="626"/>
      <c r="GQ19" s="626"/>
      <c r="GR19" s="626"/>
      <c r="GS19" s="626"/>
      <c r="GT19" s="626"/>
      <c r="GU19" s="626"/>
      <c r="GV19" s="626"/>
      <c r="GW19" s="626"/>
      <c r="GX19" s="626"/>
      <c r="GY19" s="626"/>
      <c r="GZ19" s="626"/>
      <c r="HA19" s="626"/>
      <c r="HB19" s="626"/>
      <c r="HC19" s="626"/>
      <c r="HD19" s="626"/>
      <c r="HE19" s="626"/>
      <c r="HF19" s="626"/>
      <c r="HG19" s="626"/>
      <c r="HH19" s="626"/>
      <c r="HI19" s="626"/>
      <c r="HJ19" s="626"/>
      <c r="HK19" s="626"/>
      <c r="HL19" s="626"/>
      <c r="HM19" s="626"/>
      <c r="HN19" s="626"/>
      <c r="HO19" s="626"/>
      <c r="HP19" s="626"/>
      <c r="HQ19" s="626"/>
      <c r="HR19" s="626"/>
      <c r="HS19" s="626"/>
      <c r="HT19" s="626"/>
      <c r="HU19" s="626"/>
      <c r="HV19" s="626"/>
      <c r="HW19" s="626"/>
      <c r="HX19" s="626"/>
      <c r="HY19" s="626"/>
      <c r="HZ19" s="626"/>
      <c r="IA19" s="626"/>
      <c r="IB19" s="626"/>
      <c r="IC19" s="626"/>
      <c r="ID19" s="626"/>
      <c r="IE19" s="626"/>
      <c r="IF19" s="626"/>
      <c r="IG19" s="626"/>
      <c r="IH19" s="626"/>
      <c r="II19" s="626"/>
      <c r="IJ19" s="626"/>
      <c r="IK19" s="626"/>
      <c r="IL19" s="626"/>
      <c r="IM19" s="626"/>
      <c r="IN19" s="626"/>
      <c r="IO19" s="626"/>
      <c r="IP19" s="626"/>
      <c r="IQ19" s="626"/>
      <c r="IR19" s="626"/>
      <c r="IS19" s="626"/>
      <c r="IT19" s="626"/>
      <c r="IU19" s="626"/>
    </row>
    <row r="20" spans="1:255" s="627" customFormat="1" ht="12.75" customHeight="1" thickBot="1" x14ac:dyDescent="0.25">
      <c r="A20" s="644" t="s">
        <v>17</v>
      </c>
      <c r="B20" s="679">
        <v>42581</v>
      </c>
      <c r="C20" s="489"/>
      <c r="D20" s="489"/>
      <c r="E20" s="292" t="s">
        <v>386</v>
      </c>
      <c r="F20" s="489"/>
      <c r="G20" s="623"/>
      <c r="H20" s="676">
        <v>49701295</v>
      </c>
      <c r="I20" s="676">
        <v>53203550</v>
      </c>
      <c r="J20" s="615" t="s">
        <v>17</v>
      </c>
      <c r="K20" s="257" t="s">
        <v>143</v>
      </c>
      <c r="L20" s="12" t="s">
        <v>219</v>
      </c>
      <c r="M20" s="12"/>
      <c r="N20" s="499"/>
      <c r="O20" s="499"/>
      <c r="P20" s="658">
        <v>70</v>
      </c>
      <c r="Q20" s="509"/>
      <c r="R20" s="509"/>
      <c r="S20" s="623"/>
      <c r="T20" s="677">
        <v>11.5</v>
      </c>
      <c r="U20" s="677">
        <v>1.28</v>
      </c>
      <c r="V20" s="123"/>
      <c r="W20" s="123"/>
      <c r="X20" s="123"/>
      <c r="Y20" s="624"/>
      <c r="Z20" s="625"/>
      <c r="AA20" s="625"/>
      <c r="AB20" s="625"/>
      <c r="AC20" s="625"/>
      <c r="AD20" s="625"/>
      <c r="AE20" s="625"/>
      <c r="AF20" s="625"/>
      <c r="AG20" s="625"/>
      <c r="AH20" s="625"/>
      <c r="AI20" s="625"/>
      <c r="AJ20" s="625"/>
      <c r="AK20" s="625"/>
      <c r="AL20" s="625"/>
      <c r="AM20" s="625"/>
      <c r="AN20" s="625"/>
      <c r="AO20" s="625"/>
      <c r="AP20" s="625"/>
      <c r="AQ20" s="625"/>
      <c r="AR20" s="625"/>
      <c r="AS20" s="625"/>
      <c r="AT20" s="625"/>
      <c r="AU20" s="625"/>
      <c r="AV20" s="625"/>
      <c r="AW20" s="625"/>
      <c r="AX20" s="625"/>
      <c r="AY20" s="625"/>
      <c r="AZ20" s="625"/>
      <c r="BA20" s="625"/>
      <c r="BB20" s="625"/>
      <c r="BC20" s="625"/>
      <c r="BD20" s="625"/>
      <c r="BE20" s="625"/>
      <c r="BF20" s="626"/>
      <c r="BG20" s="626"/>
      <c r="BH20" s="626"/>
      <c r="BI20" s="626"/>
      <c r="BJ20" s="626"/>
      <c r="BK20" s="626"/>
      <c r="BL20" s="626"/>
      <c r="BM20" s="626"/>
      <c r="BN20" s="626"/>
      <c r="BO20" s="626"/>
      <c r="BP20" s="626"/>
      <c r="BQ20" s="626"/>
      <c r="BR20" s="626"/>
      <c r="BS20" s="626"/>
      <c r="BT20" s="626"/>
      <c r="BU20" s="626"/>
      <c r="BV20" s="626"/>
      <c r="BW20" s="626"/>
      <c r="BX20" s="626"/>
      <c r="BY20" s="626"/>
      <c r="BZ20" s="626"/>
      <c r="CA20" s="626"/>
      <c r="CB20" s="626"/>
      <c r="CC20" s="626"/>
      <c r="CD20" s="626"/>
      <c r="CE20" s="626"/>
      <c r="CF20" s="626"/>
      <c r="CG20" s="626"/>
      <c r="CH20" s="626"/>
      <c r="CI20" s="626"/>
      <c r="CJ20" s="626"/>
      <c r="CK20" s="626"/>
      <c r="CL20" s="626"/>
      <c r="CM20" s="626"/>
      <c r="CN20" s="626"/>
      <c r="CO20" s="626"/>
      <c r="CP20" s="626"/>
      <c r="CQ20" s="626"/>
      <c r="CR20" s="626"/>
      <c r="CS20" s="626"/>
      <c r="CT20" s="626"/>
      <c r="CU20" s="626"/>
      <c r="CV20" s="626"/>
      <c r="CW20" s="626"/>
      <c r="CX20" s="626"/>
      <c r="CY20" s="626"/>
      <c r="CZ20" s="626"/>
      <c r="DA20" s="626"/>
      <c r="DB20" s="626"/>
      <c r="DC20" s="626"/>
      <c r="DD20" s="626"/>
      <c r="DE20" s="626"/>
      <c r="DF20" s="626"/>
      <c r="DG20" s="626"/>
      <c r="DH20" s="626"/>
      <c r="DI20" s="626"/>
      <c r="DJ20" s="626"/>
      <c r="DK20" s="626"/>
      <c r="DL20" s="626"/>
      <c r="DM20" s="626"/>
      <c r="DN20" s="626"/>
      <c r="DO20" s="626"/>
      <c r="DP20" s="626"/>
      <c r="DQ20" s="626"/>
      <c r="DR20" s="626"/>
      <c r="DS20" s="626"/>
      <c r="DT20" s="626"/>
      <c r="DU20" s="626"/>
      <c r="DV20" s="626"/>
      <c r="DW20" s="626"/>
      <c r="DX20" s="626"/>
      <c r="DY20" s="626"/>
      <c r="DZ20" s="626"/>
      <c r="EA20" s="626"/>
      <c r="EB20" s="626"/>
      <c r="EC20" s="626"/>
      <c r="ED20" s="626"/>
      <c r="EE20" s="626"/>
      <c r="EF20" s="626"/>
      <c r="EG20" s="626"/>
      <c r="EH20" s="626"/>
      <c r="EI20" s="626"/>
      <c r="EJ20" s="626"/>
      <c r="EK20" s="626"/>
      <c r="EL20" s="626"/>
      <c r="EM20" s="626"/>
      <c r="EN20" s="626"/>
      <c r="EO20" s="626"/>
      <c r="EP20" s="626"/>
      <c r="EQ20" s="626"/>
      <c r="ER20" s="626"/>
      <c r="ES20" s="626"/>
      <c r="ET20" s="626"/>
      <c r="EU20" s="626"/>
      <c r="EV20" s="626"/>
      <c r="EW20" s="626"/>
      <c r="EX20" s="626"/>
      <c r="EY20" s="626"/>
      <c r="EZ20" s="626"/>
      <c r="FA20" s="626"/>
      <c r="FB20" s="626"/>
      <c r="FC20" s="626"/>
      <c r="FD20" s="626"/>
      <c r="FE20" s="626"/>
      <c r="FF20" s="626"/>
      <c r="FG20" s="626"/>
      <c r="FH20" s="626"/>
      <c r="FI20" s="626"/>
      <c r="FJ20" s="626"/>
      <c r="FK20" s="626"/>
      <c r="FL20" s="626"/>
      <c r="FM20" s="626"/>
      <c r="FN20" s="626"/>
      <c r="FO20" s="626"/>
      <c r="FP20" s="626"/>
      <c r="FQ20" s="626"/>
      <c r="FR20" s="626"/>
      <c r="FS20" s="626"/>
      <c r="FT20" s="626"/>
      <c r="FU20" s="626"/>
      <c r="FV20" s="626"/>
      <c r="FW20" s="626"/>
      <c r="FX20" s="626"/>
      <c r="FY20" s="626"/>
      <c r="FZ20" s="626"/>
      <c r="GA20" s="626"/>
      <c r="GB20" s="626"/>
      <c r="GC20" s="626"/>
      <c r="GD20" s="626"/>
      <c r="GE20" s="626"/>
      <c r="GF20" s="626"/>
      <c r="GG20" s="626"/>
      <c r="GH20" s="626"/>
      <c r="GI20" s="626"/>
      <c r="GJ20" s="626"/>
      <c r="GK20" s="626"/>
      <c r="GL20" s="626"/>
      <c r="GM20" s="626"/>
      <c r="GN20" s="626"/>
      <c r="GO20" s="626"/>
      <c r="GP20" s="626"/>
      <c r="GQ20" s="626"/>
      <c r="GR20" s="626"/>
      <c r="GS20" s="626"/>
      <c r="GT20" s="626"/>
      <c r="GU20" s="626"/>
      <c r="GV20" s="626"/>
      <c r="GW20" s="626"/>
      <c r="GX20" s="626"/>
      <c r="GY20" s="626"/>
      <c r="GZ20" s="626"/>
      <c r="HA20" s="626"/>
      <c r="HB20" s="626"/>
      <c r="HC20" s="626"/>
      <c r="HD20" s="626"/>
      <c r="HE20" s="626"/>
      <c r="HF20" s="626"/>
      <c r="HG20" s="626"/>
      <c r="HH20" s="626"/>
      <c r="HI20" s="626"/>
      <c r="HJ20" s="626"/>
      <c r="HK20" s="626"/>
      <c r="HL20" s="626"/>
      <c r="HM20" s="626"/>
      <c r="HN20" s="626"/>
      <c r="HO20" s="626"/>
      <c r="HP20" s="626"/>
      <c r="HQ20" s="626"/>
      <c r="HR20" s="626"/>
      <c r="HS20" s="626"/>
      <c r="HT20" s="626"/>
      <c r="HU20" s="626"/>
      <c r="HV20" s="626"/>
      <c r="HW20" s="626"/>
      <c r="HX20" s="626"/>
      <c r="HY20" s="626"/>
      <c r="HZ20" s="626"/>
      <c r="IA20" s="626"/>
      <c r="IB20" s="626"/>
      <c r="IC20" s="626"/>
      <c r="ID20" s="626"/>
      <c r="IE20" s="626"/>
      <c r="IF20" s="626"/>
      <c r="IG20" s="626"/>
      <c r="IH20" s="626"/>
      <c r="II20" s="626"/>
      <c r="IJ20" s="626"/>
      <c r="IK20" s="626"/>
      <c r="IL20" s="626"/>
      <c r="IM20" s="626"/>
      <c r="IN20" s="626"/>
      <c r="IO20" s="626"/>
      <c r="IP20" s="626"/>
      <c r="IQ20" s="626"/>
      <c r="IR20" s="626"/>
      <c r="IS20" s="626"/>
      <c r="IT20" s="626"/>
      <c r="IU20" s="626"/>
    </row>
    <row r="21" spans="1:255" s="627" customFormat="1" ht="12.75" customHeight="1" thickBot="1" x14ac:dyDescent="0.25">
      <c r="A21" s="644" t="s">
        <v>17</v>
      </c>
      <c r="B21" s="679">
        <v>42581</v>
      </c>
      <c r="C21" s="489"/>
      <c r="D21" s="489"/>
      <c r="E21" s="292" t="s">
        <v>386</v>
      </c>
      <c r="F21" s="489"/>
      <c r="G21" s="623"/>
      <c r="H21" s="676">
        <v>49701303</v>
      </c>
      <c r="I21" s="676">
        <v>95681417</v>
      </c>
      <c r="J21" s="615" t="s">
        <v>17</v>
      </c>
      <c r="K21" s="257" t="s">
        <v>143</v>
      </c>
      <c r="L21" s="12" t="s">
        <v>219</v>
      </c>
      <c r="M21" s="12"/>
      <c r="N21" s="499"/>
      <c r="O21" s="499"/>
      <c r="P21" s="658">
        <v>68.650000000000006</v>
      </c>
      <c r="Q21" s="509"/>
      <c r="R21" s="509"/>
      <c r="S21" s="623"/>
      <c r="T21" s="677">
        <v>11.7</v>
      </c>
      <c r="U21" s="677">
        <v>1.4</v>
      </c>
      <c r="V21" s="123"/>
      <c r="W21" s="123"/>
      <c r="X21" s="123"/>
      <c r="Y21" s="624"/>
      <c r="Z21" s="625"/>
      <c r="AA21" s="625"/>
      <c r="AB21" s="625"/>
      <c r="AC21" s="625"/>
      <c r="AD21" s="625"/>
      <c r="AE21" s="625"/>
      <c r="AF21" s="625"/>
      <c r="AG21" s="625"/>
      <c r="AH21" s="625"/>
      <c r="AI21" s="625"/>
      <c r="AJ21" s="625"/>
      <c r="AK21" s="625"/>
      <c r="AL21" s="625"/>
      <c r="AM21" s="625"/>
      <c r="AN21" s="625"/>
      <c r="AO21" s="625"/>
      <c r="AP21" s="625"/>
      <c r="AQ21" s="625"/>
      <c r="AR21" s="625"/>
      <c r="AS21" s="625"/>
      <c r="AT21" s="625"/>
      <c r="AU21" s="625"/>
      <c r="AV21" s="625"/>
      <c r="AW21" s="625"/>
      <c r="AX21" s="625"/>
      <c r="AY21" s="625"/>
      <c r="AZ21" s="625"/>
      <c r="BA21" s="625"/>
      <c r="BB21" s="625"/>
      <c r="BC21" s="625"/>
      <c r="BD21" s="625"/>
      <c r="BE21" s="625"/>
      <c r="BF21" s="626"/>
      <c r="BG21" s="626"/>
      <c r="BH21" s="626"/>
      <c r="BI21" s="626"/>
      <c r="BJ21" s="626"/>
      <c r="BK21" s="626"/>
      <c r="BL21" s="626"/>
      <c r="BM21" s="626"/>
      <c r="BN21" s="626"/>
      <c r="BO21" s="626"/>
      <c r="BP21" s="626"/>
      <c r="BQ21" s="626"/>
      <c r="BR21" s="626"/>
      <c r="BS21" s="626"/>
      <c r="BT21" s="626"/>
      <c r="BU21" s="626"/>
      <c r="BV21" s="626"/>
      <c r="BW21" s="626"/>
      <c r="BX21" s="626"/>
      <c r="BY21" s="626"/>
      <c r="BZ21" s="626"/>
      <c r="CA21" s="626"/>
      <c r="CB21" s="626"/>
      <c r="CC21" s="626"/>
      <c r="CD21" s="626"/>
      <c r="CE21" s="626"/>
      <c r="CF21" s="626"/>
      <c r="CG21" s="626"/>
      <c r="CH21" s="626"/>
      <c r="CI21" s="626"/>
      <c r="CJ21" s="626"/>
      <c r="CK21" s="626"/>
      <c r="CL21" s="626"/>
      <c r="CM21" s="626"/>
      <c r="CN21" s="626"/>
      <c r="CO21" s="626"/>
      <c r="CP21" s="626"/>
      <c r="CQ21" s="626"/>
      <c r="CR21" s="626"/>
      <c r="CS21" s="626"/>
      <c r="CT21" s="626"/>
      <c r="CU21" s="626"/>
      <c r="CV21" s="626"/>
      <c r="CW21" s="626"/>
      <c r="CX21" s="626"/>
      <c r="CY21" s="626"/>
      <c r="CZ21" s="626"/>
      <c r="DA21" s="626"/>
      <c r="DB21" s="626"/>
      <c r="DC21" s="626"/>
      <c r="DD21" s="626"/>
      <c r="DE21" s="626"/>
      <c r="DF21" s="626"/>
      <c r="DG21" s="626"/>
      <c r="DH21" s="626"/>
      <c r="DI21" s="626"/>
      <c r="DJ21" s="626"/>
      <c r="DK21" s="626"/>
      <c r="DL21" s="626"/>
      <c r="DM21" s="626"/>
      <c r="DN21" s="626"/>
      <c r="DO21" s="626"/>
      <c r="DP21" s="626"/>
      <c r="DQ21" s="626"/>
      <c r="DR21" s="626"/>
      <c r="DS21" s="626"/>
      <c r="DT21" s="626"/>
      <c r="DU21" s="626"/>
      <c r="DV21" s="626"/>
      <c r="DW21" s="626"/>
      <c r="DX21" s="626"/>
      <c r="DY21" s="626"/>
      <c r="DZ21" s="626"/>
      <c r="EA21" s="626"/>
      <c r="EB21" s="626"/>
      <c r="EC21" s="626"/>
      <c r="ED21" s="626"/>
      <c r="EE21" s="626"/>
      <c r="EF21" s="626"/>
      <c r="EG21" s="626"/>
      <c r="EH21" s="626"/>
      <c r="EI21" s="626"/>
      <c r="EJ21" s="626"/>
      <c r="EK21" s="626"/>
      <c r="EL21" s="626"/>
      <c r="EM21" s="626"/>
      <c r="EN21" s="626"/>
      <c r="EO21" s="626"/>
      <c r="EP21" s="626"/>
      <c r="EQ21" s="626"/>
      <c r="ER21" s="626"/>
      <c r="ES21" s="626"/>
      <c r="ET21" s="626"/>
      <c r="EU21" s="626"/>
      <c r="EV21" s="626"/>
      <c r="EW21" s="626"/>
      <c r="EX21" s="626"/>
      <c r="EY21" s="626"/>
      <c r="EZ21" s="626"/>
      <c r="FA21" s="626"/>
      <c r="FB21" s="626"/>
      <c r="FC21" s="626"/>
      <c r="FD21" s="626"/>
      <c r="FE21" s="626"/>
      <c r="FF21" s="626"/>
      <c r="FG21" s="626"/>
      <c r="FH21" s="626"/>
      <c r="FI21" s="626"/>
      <c r="FJ21" s="626"/>
      <c r="FK21" s="626"/>
      <c r="FL21" s="626"/>
      <c r="FM21" s="626"/>
      <c r="FN21" s="626"/>
      <c r="FO21" s="626"/>
      <c r="FP21" s="626"/>
      <c r="FQ21" s="626"/>
      <c r="FR21" s="626"/>
      <c r="FS21" s="626"/>
      <c r="FT21" s="626"/>
      <c r="FU21" s="626"/>
      <c r="FV21" s="626"/>
      <c r="FW21" s="626"/>
      <c r="FX21" s="626"/>
      <c r="FY21" s="626"/>
      <c r="FZ21" s="626"/>
      <c r="GA21" s="626"/>
      <c r="GB21" s="626"/>
      <c r="GC21" s="626"/>
      <c r="GD21" s="626"/>
      <c r="GE21" s="626"/>
      <c r="GF21" s="626"/>
      <c r="GG21" s="626"/>
      <c r="GH21" s="626"/>
      <c r="GI21" s="626"/>
      <c r="GJ21" s="626"/>
      <c r="GK21" s="626"/>
      <c r="GL21" s="626"/>
      <c r="GM21" s="626"/>
      <c r="GN21" s="626"/>
      <c r="GO21" s="626"/>
      <c r="GP21" s="626"/>
      <c r="GQ21" s="626"/>
      <c r="GR21" s="626"/>
      <c r="GS21" s="626"/>
      <c r="GT21" s="626"/>
      <c r="GU21" s="626"/>
      <c r="GV21" s="626"/>
      <c r="GW21" s="626"/>
      <c r="GX21" s="626"/>
      <c r="GY21" s="626"/>
      <c r="GZ21" s="626"/>
      <c r="HA21" s="626"/>
      <c r="HB21" s="626"/>
      <c r="HC21" s="626"/>
      <c r="HD21" s="626"/>
      <c r="HE21" s="626"/>
      <c r="HF21" s="626"/>
      <c r="HG21" s="626"/>
      <c r="HH21" s="626"/>
      <c r="HI21" s="626"/>
      <c r="HJ21" s="626"/>
      <c r="HK21" s="626"/>
      <c r="HL21" s="626"/>
      <c r="HM21" s="626"/>
      <c r="HN21" s="626"/>
      <c r="HO21" s="626"/>
      <c r="HP21" s="626"/>
      <c r="HQ21" s="626"/>
      <c r="HR21" s="626"/>
      <c r="HS21" s="626"/>
      <c r="HT21" s="626"/>
      <c r="HU21" s="626"/>
      <c r="HV21" s="626"/>
      <c r="HW21" s="626"/>
      <c r="HX21" s="626"/>
      <c r="HY21" s="626"/>
      <c r="HZ21" s="626"/>
      <c r="IA21" s="626"/>
      <c r="IB21" s="626"/>
      <c r="IC21" s="626"/>
      <c r="ID21" s="626"/>
      <c r="IE21" s="626"/>
      <c r="IF21" s="626"/>
      <c r="IG21" s="626"/>
      <c r="IH21" s="626"/>
      <c r="II21" s="626"/>
      <c r="IJ21" s="626"/>
      <c r="IK21" s="626"/>
      <c r="IL21" s="626"/>
      <c r="IM21" s="626"/>
      <c r="IN21" s="626"/>
      <c r="IO21" s="626"/>
      <c r="IP21" s="626"/>
      <c r="IQ21" s="626"/>
      <c r="IR21" s="626"/>
      <c r="IS21" s="626"/>
      <c r="IT21" s="626"/>
      <c r="IU21" s="626"/>
    </row>
    <row r="22" spans="1:255" s="627" customFormat="1" ht="12.75" customHeight="1" thickBot="1" x14ac:dyDescent="0.25">
      <c r="A22" s="644" t="s">
        <v>17</v>
      </c>
      <c r="B22" s="679">
        <v>42581</v>
      </c>
      <c r="C22" s="489"/>
      <c r="D22" s="489"/>
      <c r="E22" s="292" t="s">
        <v>386</v>
      </c>
      <c r="F22" s="489"/>
      <c r="G22" s="623"/>
      <c r="H22" s="676">
        <v>49701303</v>
      </c>
      <c r="I22" s="676">
        <v>95395570</v>
      </c>
      <c r="J22" s="615" t="s">
        <v>17</v>
      </c>
      <c r="K22" s="257" t="s">
        <v>143</v>
      </c>
      <c r="L22" s="12" t="s">
        <v>219</v>
      </c>
      <c r="M22" s="12"/>
      <c r="N22" s="499"/>
      <c r="O22" s="499"/>
      <c r="P22" s="658">
        <v>69.25</v>
      </c>
      <c r="Q22" s="509"/>
      <c r="R22" s="509"/>
      <c r="S22" s="623"/>
      <c r="T22" s="677">
        <v>11.6</v>
      </c>
      <c r="U22" s="677">
        <v>1.38</v>
      </c>
      <c r="V22" s="123"/>
      <c r="W22" s="123"/>
      <c r="X22" s="123"/>
      <c r="Y22" s="624"/>
      <c r="Z22" s="625"/>
      <c r="AA22" s="625"/>
      <c r="AB22" s="625"/>
      <c r="AC22" s="625"/>
      <c r="AD22" s="625"/>
      <c r="AE22" s="625"/>
      <c r="AF22" s="625"/>
      <c r="AG22" s="625"/>
      <c r="AH22" s="625"/>
      <c r="AI22" s="625"/>
      <c r="AJ22" s="625"/>
      <c r="AK22" s="625"/>
      <c r="AL22" s="625"/>
      <c r="AM22" s="625"/>
      <c r="AN22" s="625"/>
      <c r="AO22" s="625"/>
      <c r="AP22" s="625"/>
      <c r="AQ22" s="625"/>
      <c r="AR22" s="625"/>
      <c r="AS22" s="625"/>
      <c r="AT22" s="625"/>
      <c r="AU22" s="625"/>
      <c r="AV22" s="625"/>
      <c r="AW22" s="625"/>
      <c r="AX22" s="625"/>
      <c r="AY22" s="625"/>
      <c r="AZ22" s="625"/>
      <c r="BA22" s="625"/>
      <c r="BB22" s="625"/>
      <c r="BC22" s="625"/>
      <c r="BD22" s="625"/>
      <c r="BE22" s="625"/>
      <c r="BF22" s="626"/>
      <c r="BG22" s="626"/>
      <c r="BH22" s="626"/>
      <c r="BI22" s="626"/>
      <c r="BJ22" s="626"/>
      <c r="BK22" s="626"/>
      <c r="BL22" s="626"/>
      <c r="BM22" s="626"/>
      <c r="BN22" s="626"/>
      <c r="BO22" s="626"/>
      <c r="BP22" s="626"/>
      <c r="BQ22" s="626"/>
      <c r="BR22" s="626"/>
      <c r="BS22" s="626"/>
      <c r="BT22" s="626"/>
      <c r="BU22" s="626"/>
      <c r="BV22" s="626"/>
      <c r="BW22" s="626"/>
      <c r="BX22" s="626"/>
      <c r="BY22" s="626"/>
      <c r="BZ22" s="626"/>
      <c r="CA22" s="626"/>
      <c r="CB22" s="626"/>
      <c r="CC22" s="626"/>
      <c r="CD22" s="626"/>
      <c r="CE22" s="626"/>
      <c r="CF22" s="626"/>
      <c r="CG22" s="626"/>
      <c r="CH22" s="626"/>
      <c r="CI22" s="626"/>
      <c r="CJ22" s="626"/>
      <c r="CK22" s="626"/>
      <c r="CL22" s="626"/>
      <c r="CM22" s="626"/>
      <c r="CN22" s="626"/>
      <c r="CO22" s="626"/>
      <c r="CP22" s="626"/>
      <c r="CQ22" s="626"/>
      <c r="CR22" s="626"/>
      <c r="CS22" s="626"/>
      <c r="CT22" s="626"/>
      <c r="CU22" s="626"/>
      <c r="CV22" s="626"/>
      <c r="CW22" s="626"/>
      <c r="CX22" s="626"/>
      <c r="CY22" s="626"/>
      <c r="CZ22" s="626"/>
      <c r="DA22" s="626"/>
      <c r="DB22" s="626"/>
      <c r="DC22" s="626"/>
      <c r="DD22" s="626"/>
      <c r="DE22" s="626"/>
      <c r="DF22" s="626"/>
      <c r="DG22" s="626"/>
      <c r="DH22" s="626"/>
      <c r="DI22" s="626"/>
      <c r="DJ22" s="626"/>
      <c r="DK22" s="626"/>
      <c r="DL22" s="626"/>
      <c r="DM22" s="626"/>
      <c r="DN22" s="626"/>
      <c r="DO22" s="626"/>
      <c r="DP22" s="626"/>
      <c r="DQ22" s="626"/>
      <c r="DR22" s="626"/>
      <c r="DS22" s="626"/>
      <c r="DT22" s="626"/>
      <c r="DU22" s="626"/>
      <c r="DV22" s="626"/>
      <c r="DW22" s="626"/>
      <c r="DX22" s="626"/>
      <c r="DY22" s="626"/>
      <c r="DZ22" s="626"/>
      <c r="EA22" s="626"/>
      <c r="EB22" s="626"/>
      <c r="EC22" s="626"/>
      <c r="ED22" s="626"/>
      <c r="EE22" s="626"/>
      <c r="EF22" s="626"/>
      <c r="EG22" s="626"/>
      <c r="EH22" s="626"/>
      <c r="EI22" s="626"/>
      <c r="EJ22" s="626"/>
      <c r="EK22" s="626"/>
      <c r="EL22" s="626"/>
      <c r="EM22" s="626"/>
      <c r="EN22" s="626"/>
      <c r="EO22" s="626"/>
      <c r="EP22" s="626"/>
      <c r="EQ22" s="626"/>
      <c r="ER22" s="626"/>
      <c r="ES22" s="626"/>
      <c r="ET22" s="626"/>
      <c r="EU22" s="626"/>
      <c r="EV22" s="626"/>
      <c r="EW22" s="626"/>
      <c r="EX22" s="626"/>
      <c r="EY22" s="626"/>
      <c r="EZ22" s="626"/>
      <c r="FA22" s="626"/>
      <c r="FB22" s="626"/>
      <c r="FC22" s="626"/>
      <c r="FD22" s="626"/>
      <c r="FE22" s="626"/>
      <c r="FF22" s="626"/>
      <c r="FG22" s="626"/>
      <c r="FH22" s="626"/>
      <c r="FI22" s="626"/>
      <c r="FJ22" s="626"/>
      <c r="FK22" s="626"/>
      <c r="FL22" s="626"/>
      <c r="FM22" s="626"/>
      <c r="FN22" s="626"/>
      <c r="FO22" s="626"/>
      <c r="FP22" s="626"/>
      <c r="FQ22" s="626"/>
      <c r="FR22" s="626"/>
      <c r="FS22" s="626"/>
      <c r="FT22" s="626"/>
      <c r="FU22" s="626"/>
      <c r="FV22" s="626"/>
      <c r="FW22" s="626"/>
      <c r="FX22" s="626"/>
      <c r="FY22" s="626"/>
      <c r="FZ22" s="626"/>
      <c r="GA22" s="626"/>
      <c r="GB22" s="626"/>
      <c r="GC22" s="626"/>
      <c r="GD22" s="626"/>
      <c r="GE22" s="626"/>
      <c r="GF22" s="626"/>
      <c r="GG22" s="626"/>
      <c r="GH22" s="626"/>
      <c r="GI22" s="626"/>
      <c r="GJ22" s="626"/>
      <c r="GK22" s="626"/>
      <c r="GL22" s="626"/>
      <c r="GM22" s="626"/>
      <c r="GN22" s="626"/>
      <c r="GO22" s="626"/>
      <c r="GP22" s="626"/>
      <c r="GQ22" s="626"/>
      <c r="GR22" s="626"/>
      <c r="GS22" s="626"/>
      <c r="GT22" s="626"/>
      <c r="GU22" s="626"/>
      <c r="GV22" s="626"/>
      <c r="GW22" s="626"/>
      <c r="GX22" s="626"/>
      <c r="GY22" s="626"/>
      <c r="GZ22" s="626"/>
      <c r="HA22" s="626"/>
      <c r="HB22" s="626"/>
      <c r="HC22" s="626"/>
      <c r="HD22" s="626"/>
      <c r="HE22" s="626"/>
      <c r="HF22" s="626"/>
      <c r="HG22" s="626"/>
      <c r="HH22" s="626"/>
      <c r="HI22" s="626"/>
      <c r="HJ22" s="626"/>
      <c r="HK22" s="626"/>
      <c r="HL22" s="626"/>
      <c r="HM22" s="626"/>
      <c r="HN22" s="626"/>
      <c r="HO22" s="626"/>
      <c r="HP22" s="626"/>
      <c r="HQ22" s="626"/>
      <c r="HR22" s="626"/>
      <c r="HS22" s="626"/>
      <c r="HT22" s="626"/>
      <c r="HU22" s="626"/>
      <c r="HV22" s="626"/>
      <c r="HW22" s="626"/>
      <c r="HX22" s="626"/>
      <c r="HY22" s="626"/>
      <c r="HZ22" s="626"/>
      <c r="IA22" s="626"/>
      <c r="IB22" s="626"/>
      <c r="IC22" s="626"/>
      <c r="ID22" s="626"/>
      <c r="IE22" s="626"/>
      <c r="IF22" s="626"/>
      <c r="IG22" s="626"/>
      <c r="IH22" s="626"/>
      <c r="II22" s="626"/>
      <c r="IJ22" s="626"/>
      <c r="IK22" s="626"/>
      <c r="IL22" s="626"/>
      <c r="IM22" s="626"/>
      <c r="IN22" s="626"/>
      <c r="IO22" s="626"/>
      <c r="IP22" s="626"/>
      <c r="IQ22" s="626"/>
      <c r="IR22" s="626"/>
      <c r="IS22" s="626"/>
      <c r="IT22" s="626"/>
      <c r="IU22" s="626"/>
    </row>
    <row r="23" spans="1:255" s="627" customFormat="1" ht="12.75" customHeight="1" thickBot="1" x14ac:dyDescent="0.25">
      <c r="A23" s="644" t="s">
        <v>17</v>
      </c>
      <c r="B23" s="679">
        <v>42581</v>
      </c>
      <c r="C23" s="489"/>
      <c r="D23" s="489"/>
      <c r="E23" s="292" t="s">
        <v>386</v>
      </c>
      <c r="F23" s="489"/>
      <c r="G23" s="623"/>
      <c r="H23" s="676">
        <v>49701303</v>
      </c>
      <c r="I23" s="676">
        <v>95361358</v>
      </c>
      <c r="J23" s="615" t="s">
        <v>17</v>
      </c>
      <c r="K23" s="257" t="s">
        <v>143</v>
      </c>
      <c r="L23" s="12" t="s">
        <v>219</v>
      </c>
      <c r="M23" s="12"/>
      <c r="N23" s="499"/>
      <c r="O23" s="499"/>
      <c r="P23" s="658">
        <v>69.599999999999994</v>
      </c>
      <c r="Q23" s="509"/>
      <c r="R23" s="509"/>
      <c r="S23" s="623"/>
      <c r="T23" s="677">
        <v>11.4</v>
      </c>
      <c r="U23" s="677">
        <v>1.38</v>
      </c>
      <c r="V23" s="123"/>
      <c r="W23" s="123"/>
      <c r="X23" s="123"/>
      <c r="Y23" s="624"/>
      <c r="Z23" s="625"/>
      <c r="AA23" s="625"/>
      <c r="AB23" s="625"/>
      <c r="AC23" s="625"/>
      <c r="AD23" s="625"/>
      <c r="AE23" s="625"/>
      <c r="AF23" s="625"/>
      <c r="AG23" s="625"/>
      <c r="AH23" s="625"/>
      <c r="AI23" s="625"/>
      <c r="AJ23" s="625"/>
      <c r="AK23" s="625"/>
      <c r="AL23" s="625"/>
      <c r="AM23" s="625"/>
      <c r="AN23" s="625"/>
      <c r="AO23" s="625"/>
      <c r="AP23" s="625"/>
      <c r="AQ23" s="625"/>
      <c r="AR23" s="625"/>
      <c r="AS23" s="625"/>
      <c r="AT23" s="625"/>
      <c r="AU23" s="625"/>
      <c r="AV23" s="625"/>
      <c r="AW23" s="625"/>
      <c r="AX23" s="625"/>
      <c r="AY23" s="625"/>
      <c r="AZ23" s="625"/>
      <c r="BA23" s="625"/>
      <c r="BB23" s="625"/>
      <c r="BC23" s="625"/>
      <c r="BD23" s="625"/>
      <c r="BE23" s="625"/>
      <c r="BF23" s="626"/>
      <c r="BG23" s="626"/>
      <c r="BH23" s="626"/>
      <c r="BI23" s="626"/>
      <c r="BJ23" s="626"/>
      <c r="BK23" s="626"/>
      <c r="BL23" s="626"/>
      <c r="BM23" s="626"/>
      <c r="BN23" s="626"/>
      <c r="BO23" s="626"/>
      <c r="BP23" s="626"/>
      <c r="BQ23" s="626"/>
      <c r="BR23" s="626"/>
      <c r="BS23" s="626"/>
      <c r="BT23" s="626"/>
      <c r="BU23" s="626"/>
      <c r="BV23" s="626"/>
      <c r="BW23" s="626"/>
      <c r="BX23" s="626"/>
      <c r="BY23" s="626"/>
      <c r="BZ23" s="626"/>
      <c r="CA23" s="626"/>
      <c r="CB23" s="626"/>
      <c r="CC23" s="626"/>
      <c r="CD23" s="626"/>
      <c r="CE23" s="626"/>
      <c r="CF23" s="626"/>
      <c r="CG23" s="626"/>
      <c r="CH23" s="626"/>
      <c r="CI23" s="626"/>
      <c r="CJ23" s="626"/>
      <c r="CK23" s="626"/>
      <c r="CL23" s="626"/>
      <c r="CM23" s="626"/>
      <c r="CN23" s="626"/>
      <c r="CO23" s="626"/>
      <c r="CP23" s="626"/>
      <c r="CQ23" s="626"/>
      <c r="CR23" s="626"/>
      <c r="CS23" s="626"/>
      <c r="CT23" s="626"/>
      <c r="CU23" s="626"/>
      <c r="CV23" s="626"/>
      <c r="CW23" s="626"/>
      <c r="CX23" s="626"/>
      <c r="CY23" s="626"/>
      <c r="CZ23" s="626"/>
      <c r="DA23" s="626"/>
      <c r="DB23" s="626"/>
      <c r="DC23" s="626"/>
      <c r="DD23" s="626"/>
      <c r="DE23" s="626"/>
      <c r="DF23" s="626"/>
      <c r="DG23" s="626"/>
      <c r="DH23" s="626"/>
      <c r="DI23" s="626"/>
      <c r="DJ23" s="626"/>
      <c r="DK23" s="626"/>
      <c r="DL23" s="626"/>
      <c r="DM23" s="626"/>
      <c r="DN23" s="626"/>
      <c r="DO23" s="626"/>
      <c r="DP23" s="626"/>
      <c r="DQ23" s="626"/>
      <c r="DR23" s="626"/>
      <c r="DS23" s="626"/>
      <c r="DT23" s="626"/>
      <c r="DU23" s="626"/>
      <c r="DV23" s="626"/>
      <c r="DW23" s="626"/>
      <c r="DX23" s="626"/>
      <c r="DY23" s="626"/>
      <c r="DZ23" s="626"/>
      <c r="EA23" s="626"/>
      <c r="EB23" s="626"/>
      <c r="EC23" s="626"/>
      <c r="ED23" s="626"/>
      <c r="EE23" s="626"/>
      <c r="EF23" s="626"/>
      <c r="EG23" s="626"/>
      <c r="EH23" s="626"/>
      <c r="EI23" s="626"/>
      <c r="EJ23" s="626"/>
      <c r="EK23" s="626"/>
      <c r="EL23" s="626"/>
      <c r="EM23" s="626"/>
      <c r="EN23" s="626"/>
      <c r="EO23" s="626"/>
      <c r="EP23" s="626"/>
      <c r="EQ23" s="626"/>
      <c r="ER23" s="626"/>
      <c r="ES23" s="626"/>
      <c r="ET23" s="626"/>
      <c r="EU23" s="626"/>
      <c r="EV23" s="626"/>
      <c r="EW23" s="626"/>
      <c r="EX23" s="626"/>
      <c r="EY23" s="626"/>
      <c r="EZ23" s="626"/>
      <c r="FA23" s="626"/>
      <c r="FB23" s="626"/>
      <c r="FC23" s="626"/>
      <c r="FD23" s="626"/>
      <c r="FE23" s="626"/>
      <c r="FF23" s="626"/>
      <c r="FG23" s="626"/>
      <c r="FH23" s="626"/>
      <c r="FI23" s="626"/>
      <c r="FJ23" s="626"/>
      <c r="FK23" s="626"/>
      <c r="FL23" s="626"/>
      <c r="FM23" s="626"/>
      <c r="FN23" s="626"/>
      <c r="FO23" s="626"/>
      <c r="FP23" s="626"/>
      <c r="FQ23" s="626"/>
      <c r="FR23" s="626"/>
      <c r="FS23" s="626"/>
      <c r="FT23" s="626"/>
      <c r="FU23" s="626"/>
      <c r="FV23" s="626"/>
      <c r="FW23" s="626"/>
      <c r="FX23" s="626"/>
      <c r="FY23" s="626"/>
      <c r="FZ23" s="626"/>
      <c r="GA23" s="626"/>
      <c r="GB23" s="626"/>
      <c r="GC23" s="626"/>
      <c r="GD23" s="626"/>
      <c r="GE23" s="626"/>
      <c r="GF23" s="626"/>
      <c r="GG23" s="626"/>
      <c r="GH23" s="626"/>
      <c r="GI23" s="626"/>
      <c r="GJ23" s="626"/>
      <c r="GK23" s="626"/>
      <c r="GL23" s="626"/>
      <c r="GM23" s="626"/>
      <c r="GN23" s="626"/>
      <c r="GO23" s="626"/>
      <c r="GP23" s="626"/>
      <c r="GQ23" s="626"/>
      <c r="GR23" s="626"/>
      <c r="GS23" s="626"/>
      <c r="GT23" s="626"/>
      <c r="GU23" s="626"/>
      <c r="GV23" s="626"/>
      <c r="GW23" s="626"/>
      <c r="GX23" s="626"/>
      <c r="GY23" s="626"/>
      <c r="GZ23" s="626"/>
      <c r="HA23" s="626"/>
      <c r="HB23" s="626"/>
      <c r="HC23" s="626"/>
      <c r="HD23" s="626"/>
      <c r="HE23" s="626"/>
      <c r="HF23" s="626"/>
      <c r="HG23" s="626"/>
      <c r="HH23" s="626"/>
      <c r="HI23" s="626"/>
      <c r="HJ23" s="626"/>
      <c r="HK23" s="626"/>
      <c r="HL23" s="626"/>
      <c r="HM23" s="626"/>
      <c r="HN23" s="626"/>
      <c r="HO23" s="626"/>
      <c r="HP23" s="626"/>
      <c r="HQ23" s="626"/>
      <c r="HR23" s="626"/>
      <c r="HS23" s="626"/>
      <c r="HT23" s="626"/>
      <c r="HU23" s="626"/>
      <c r="HV23" s="626"/>
      <c r="HW23" s="626"/>
      <c r="HX23" s="626"/>
      <c r="HY23" s="626"/>
      <c r="HZ23" s="626"/>
      <c r="IA23" s="626"/>
      <c r="IB23" s="626"/>
      <c r="IC23" s="626"/>
      <c r="ID23" s="626"/>
      <c r="IE23" s="626"/>
      <c r="IF23" s="626"/>
      <c r="IG23" s="626"/>
      <c r="IH23" s="626"/>
      <c r="II23" s="626"/>
      <c r="IJ23" s="626"/>
      <c r="IK23" s="626"/>
      <c r="IL23" s="626"/>
      <c r="IM23" s="626"/>
      <c r="IN23" s="626"/>
      <c r="IO23" s="626"/>
      <c r="IP23" s="626"/>
      <c r="IQ23" s="626"/>
      <c r="IR23" s="626"/>
      <c r="IS23" s="626"/>
      <c r="IT23" s="626"/>
      <c r="IU23" s="626"/>
    </row>
    <row r="24" spans="1:255" s="627" customFormat="1" ht="12.75" customHeight="1" thickBot="1" x14ac:dyDescent="0.25">
      <c r="A24" s="644" t="s">
        <v>17</v>
      </c>
      <c r="B24" s="679">
        <v>42581</v>
      </c>
      <c r="C24" s="489"/>
      <c r="D24" s="489"/>
      <c r="E24" s="678" t="s">
        <v>356</v>
      </c>
      <c r="F24" s="489"/>
      <c r="G24" s="623"/>
      <c r="H24" s="676">
        <v>26283</v>
      </c>
      <c r="I24" s="678" t="s">
        <v>367</v>
      </c>
      <c r="J24" s="615" t="s">
        <v>17</v>
      </c>
      <c r="K24" s="257" t="s">
        <v>143</v>
      </c>
      <c r="L24" s="12" t="s">
        <v>219</v>
      </c>
      <c r="M24" s="12"/>
      <c r="N24" s="499"/>
      <c r="O24" s="499"/>
      <c r="P24" s="658">
        <v>25.68</v>
      </c>
      <c r="Q24" s="509"/>
      <c r="R24" s="509"/>
      <c r="S24" s="623"/>
      <c r="T24" s="677">
        <v>12.2</v>
      </c>
      <c r="U24" s="677">
        <v>1.08</v>
      </c>
      <c r="V24" s="123"/>
      <c r="W24" s="123"/>
      <c r="X24" s="123"/>
      <c r="Y24" s="624"/>
      <c r="Z24" s="625"/>
      <c r="AA24" s="625"/>
      <c r="AB24" s="625"/>
      <c r="AC24" s="625"/>
      <c r="AD24" s="625"/>
      <c r="AE24" s="625"/>
      <c r="AF24" s="625"/>
      <c r="AG24" s="625"/>
      <c r="AH24" s="625"/>
      <c r="AI24" s="625"/>
      <c r="AJ24" s="625"/>
      <c r="AK24" s="625"/>
      <c r="AL24" s="625"/>
      <c r="AM24" s="625"/>
      <c r="AN24" s="625"/>
      <c r="AO24" s="625"/>
      <c r="AP24" s="625"/>
      <c r="AQ24" s="625"/>
      <c r="AR24" s="625"/>
      <c r="AS24" s="625"/>
      <c r="AT24" s="625"/>
      <c r="AU24" s="625"/>
      <c r="AV24" s="625"/>
      <c r="AW24" s="625"/>
      <c r="AX24" s="625"/>
      <c r="AY24" s="625"/>
      <c r="AZ24" s="625"/>
      <c r="BA24" s="625"/>
      <c r="BB24" s="625"/>
      <c r="BC24" s="625"/>
      <c r="BD24" s="625"/>
      <c r="BE24" s="625"/>
      <c r="BF24" s="626"/>
      <c r="BG24" s="626"/>
      <c r="BH24" s="626"/>
      <c r="BI24" s="626"/>
      <c r="BJ24" s="626"/>
      <c r="BK24" s="626"/>
      <c r="BL24" s="626"/>
      <c r="BM24" s="626"/>
      <c r="BN24" s="626"/>
      <c r="BO24" s="626"/>
      <c r="BP24" s="626"/>
      <c r="BQ24" s="626"/>
      <c r="BR24" s="626"/>
      <c r="BS24" s="626"/>
      <c r="BT24" s="626"/>
      <c r="BU24" s="626"/>
      <c r="BV24" s="626"/>
      <c r="BW24" s="626"/>
      <c r="BX24" s="626"/>
      <c r="BY24" s="626"/>
      <c r="BZ24" s="626"/>
      <c r="CA24" s="626"/>
      <c r="CB24" s="626"/>
      <c r="CC24" s="626"/>
      <c r="CD24" s="626"/>
      <c r="CE24" s="626"/>
      <c r="CF24" s="626"/>
      <c r="CG24" s="626"/>
      <c r="CH24" s="626"/>
      <c r="CI24" s="626"/>
      <c r="CJ24" s="626"/>
      <c r="CK24" s="626"/>
      <c r="CL24" s="626"/>
      <c r="CM24" s="626"/>
      <c r="CN24" s="626"/>
      <c r="CO24" s="626"/>
      <c r="CP24" s="626"/>
      <c r="CQ24" s="626"/>
      <c r="CR24" s="626"/>
      <c r="CS24" s="626"/>
      <c r="CT24" s="626"/>
      <c r="CU24" s="626"/>
      <c r="CV24" s="626"/>
      <c r="CW24" s="626"/>
      <c r="CX24" s="626"/>
      <c r="CY24" s="626"/>
      <c r="CZ24" s="626"/>
      <c r="DA24" s="626"/>
      <c r="DB24" s="626"/>
      <c r="DC24" s="626"/>
      <c r="DD24" s="626"/>
      <c r="DE24" s="626"/>
      <c r="DF24" s="626"/>
      <c r="DG24" s="626"/>
      <c r="DH24" s="626"/>
      <c r="DI24" s="626"/>
      <c r="DJ24" s="626"/>
      <c r="DK24" s="626"/>
      <c r="DL24" s="626"/>
      <c r="DM24" s="626"/>
      <c r="DN24" s="626"/>
      <c r="DO24" s="626"/>
      <c r="DP24" s="626"/>
      <c r="DQ24" s="626"/>
      <c r="DR24" s="626"/>
      <c r="DS24" s="626"/>
      <c r="DT24" s="626"/>
      <c r="DU24" s="626"/>
      <c r="DV24" s="626"/>
      <c r="DW24" s="626"/>
      <c r="DX24" s="626"/>
      <c r="DY24" s="626"/>
      <c r="DZ24" s="626"/>
      <c r="EA24" s="626"/>
      <c r="EB24" s="626"/>
      <c r="EC24" s="626"/>
      <c r="ED24" s="626"/>
      <c r="EE24" s="626"/>
      <c r="EF24" s="626"/>
      <c r="EG24" s="626"/>
      <c r="EH24" s="626"/>
      <c r="EI24" s="626"/>
      <c r="EJ24" s="626"/>
      <c r="EK24" s="626"/>
      <c r="EL24" s="626"/>
      <c r="EM24" s="626"/>
      <c r="EN24" s="626"/>
      <c r="EO24" s="626"/>
      <c r="EP24" s="626"/>
      <c r="EQ24" s="626"/>
      <c r="ER24" s="626"/>
      <c r="ES24" s="626"/>
      <c r="ET24" s="626"/>
      <c r="EU24" s="626"/>
      <c r="EV24" s="626"/>
      <c r="EW24" s="626"/>
      <c r="EX24" s="626"/>
      <c r="EY24" s="626"/>
      <c r="EZ24" s="626"/>
      <c r="FA24" s="626"/>
      <c r="FB24" s="626"/>
      <c r="FC24" s="626"/>
      <c r="FD24" s="626"/>
      <c r="FE24" s="626"/>
      <c r="FF24" s="626"/>
      <c r="FG24" s="626"/>
      <c r="FH24" s="626"/>
      <c r="FI24" s="626"/>
      <c r="FJ24" s="626"/>
      <c r="FK24" s="626"/>
      <c r="FL24" s="626"/>
      <c r="FM24" s="626"/>
      <c r="FN24" s="626"/>
      <c r="FO24" s="626"/>
      <c r="FP24" s="626"/>
      <c r="FQ24" s="626"/>
      <c r="FR24" s="626"/>
      <c r="FS24" s="626"/>
      <c r="FT24" s="626"/>
      <c r="FU24" s="626"/>
      <c r="FV24" s="626"/>
      <c r="FW24" s="626"/>
      <c r="FX24" s="626"/>
      <c r="FY24" s="626"/>
      <c r="FZ24" s="626"/>
      <c r="GA24" s="626"/>
      <c r="GB24" s="626"/>
      <c r="GC24" s="626"/>
      <c r="GD24" s="626"/>
      <c r="GE24" s="626"/>
      <c r="GF24" s="626"/>
      <c r="GG24" s="626"/>
      <c r="GH24" s="626"/>
      <c r="GI24" s="626"/>
      <c r="GJ24" s="626"/>
      <c r="GK24" s="626"/>
      <c r="GL24" s="626"/>
      <c r="GM24" s="626"/>
      <c r="GN24" s="626"/>
      <c r="GO24" s="626"/>
      <c r="GP24" s="626"/>
      <c r="GQ24" s="626"/>
      <c r="GR24" s="626"/>
      <c r="GS24" s="626"/>
      <c r="GT24" s="626"/>
      <c r="GU24" s="626"/>
      <c r="GV24" s="626"/>
      <c r="GW24" s="626"/>
      <c r="GX24" s="626"/>
      <c r="GY24" s="626"/>
      <c r="GZ24" s="626"/>
      <c r="HA24" s="626"/>
      <c r="HB24" s="626"/>
      <c r="HC24" s="626"/>
      <c r="HD24" s="626"/>
      <c r="HE24" s="626"/>
      <c r="HF24" s="626"/>
      <c r="HG24" s="626"/>
      <c r="HH24" s="626"/>
      <c r="HI24" s="626"/>
      <c r="HJ24" s="626"/>
      <c r="HK24" s="626"/>
      <c r="HL24" s="626"/>
      <c r="HM24" s="626"/>
      <c r="HN24" s="626"/>
      <c r="HO24" s="626"/>
      <c r="HP24" s="626"/>
      <c r="HQ24" s="626"/>
      <c r="HR24" s="626"/>
      <c r="HS24" s="626"/>
      <c r="HT24" s="626"/>
      <c r="HU24" s="626"/>
      <c r="HV24" s="626"/>
      <c r="HW24" s="626"/>
      <c r="HX24" s="626"/>
      <c r="HY24" s="626"/>
      <c r="HZ24" s="626"/>
      <c r="IA24" s="626"/>
      <c r="IB24" s="626"/>
      <c r="IC24" s="626"/>
      <c r="ID24" s="626"/>
      <c r="IE24" s="626"/>
      <c r="IF24" s="626"/>
      <c r="IG24" s="626"/>
      <c r="IH24" s="626"/>
      <c r="II24" s="626"/>
      <c r="IJ24" s="626"/>
      <c r="IK24" s="626"/>
      <c r="IL24" s="626"/>
      <c r="IM24" s="626"/>
      <c r="IN24" s="626"/>
      <c r="IO24" s="626"/>
      <c r="IP24" s="626"/>
      <c r="IQ24" s="626"/>
      <c r="IR24" s="626"/>
      <c r="IS24" s="626"/>
      <c r="IT24" s="626"/>
      <c r="IU24" s="626"/>
    </row>
    <row r="25" spans="1:255" s="627" customFormat="1" ht="12.75" customHeight="1" thickBot="1" x14ac:dyDescent="0.25">
      <c r="A25" s="644" t="s">
        <v>17</v>
      </c>
      <c r="B25" s="679">
        <v>42581</v>
      </c>
      <c r="C25" s="489"/>
      <c r="D25" s="489"/>
      <c r="E25" s="678" t="s">
        <v>356</v>
      </c>
      <c r="F25" s="489"/>
      <c r="G25" s="623"/>
      <c r="H25" s="676">
        <v>26281</v>
      </c>
      <c r="I25" s="678" t="s">
        <v>370</v>
      </c>
      <c r="J25" s="615" t="s">
        <v>17</v>
      </c>
      <c r="K25" s="257" t="s">
        <v>143</v>
      </c>
      <c r="L25" s="12" t="s">
        <v>219</v>
      </c>
      <c r="M25" s="12"/>
      <c r="N25" s="499"/>
      <c r="O25" s="499"/>
      <c r="P25" s="658">
        <v>25.5</v>
      </c>
      <c r="Q25" s="509"/>
      <c r="R25" s="509"/>
      <c r="S25" s="623"/>
      <c r="T25" s="677">
        <v>11.9</v>
      </c>
      <c r="U25" s="677">
        <v>1.5</v>
      </c>
      <c r="V25" s="123"/>
      <c r="W25" s="123"/>
      <c r="X25" s="123"/>
      <c r="Y25" s="624"/>
      <c r="Z25" s="625"/>
      <c r="AA25" s="625"/>
      <c r="AB25" s="625"/>
      <c r="AC25" s="625"/>
      <c r="AD25" s="625"/>
      <c r="AE25" s="625"/>
      <c r="AF25" s="625"/>
      <c r="AG25" s="625"/>
      <c r="AH25" s="625"/>
      <c r="AI25" s="625"/>
      <c r="AJ25" s="625"/>
      <c r="AK25" s="625"/>
      <c r="AL25" s="625"/>
      <c r="AM25" s="625"/>
      <c r="AN25" s="625"/>
      <c r="AO25" s="625"/>
      <c r="AP25" s="625"/>
      <c r="AQ25" s="625"/>
      <c r="AR25" s="625"/>
      <c r="AS25" s="625"/>
      <c r="AT25" s="625"/>
      <c r="AU25" s="625"/>
      <c r="AV25" s="625"/>
      <c r="AW25" s="625"/>
      <c r="AX25" s="625"/>
      <c r="AY25" s="625"/>
      <c r="AZ25" s="625"/>
      <c r="BA25" s="625"/>
      <c r="BB25" s="625"/>
      <c r="BC25" s="625"/>
      <c r="BD25" s="625"/>
      <c r="BE25" s="625"/>
      <c r="BF25" s="626"/>
      <c r="BG25" s="626"/>
      <c r="BH25" s="626"/>
      <c r="BI25" s="626"/>
      <c r="BJ25" s="626"/>
      <c r="BK25" s="626"/>
      <c r="BL25" s="626"/>
      <c r="BM25" s="626"/>
      <c r="BN25" s="626"/>
      <c r="BO25" s="626"/>
      <c r="BP25" s="626"/>
      <c r="BQ25" s="626"/>
      <c r="BR25" s="626"/>
      <c r="BS25" s="626"/>
      <c r="BT25" s="626"/>
      <c r="BU25" s="626"/>
      <c r="BV25" s="626"/>
      <c r="BW25" s="626"/>
      <c r="BX25" s="626"/>
      <c r="BY25" s="626"/>
      <c r="BZ25" s="626"/>
      <c r="CA25" s="626"/>
      <c r="CB25" s="626"/>
      <c r="CC25" s="626"/>
      <c r="CD25" s="626"/>
      <c r="CE25" s="626"/>
      <c r="CF25" s="626"/>
      <c r="CG25" s="626"/>
      <c r="CH25" s="626"/>
      <c r="CI25" s="626"/>
      <c r="CJ25" s="626"/>
      <c r="CK25" s="626"/>
      <c r="CL25" s="626"/>
      <c r="CM25" s="626"/>
      <c r="CN25" s="626"/>
      <c r="CO25" s="626"/>
      <c r="CP25" s="626"/>
      <c r="CQ25" s="626"/>
      <c r="CR25" s="626"/>
      <c r="CS25" s="626"/>
      <c r="CT25" s="626"/>
      <c r="CU25" s="626"/>
      <c r="CV25" s="626"/>
      <c r="CW25" s="626"/>
      <c r="CX25" s="626"/>
      <c r="CY25" s="626"/>
      <c r="CZ25" s="626"/>
      <c r="DA25" s="626"/>
      <c r="DB25" s="626"/>
      <c r="DC25" s="626"/>
      <c r="DD25" s="626"/>
      <c r="DE25" s="626"/>
      <c r="DF25" s="626"/>
      <c r="DG25" s="626"/>
      <c r="DH25" s="626"/>
      <c r="DI25" s="626"/>
      <c r="DJ25" s="626"/>
      <c r="DK25" s="626"/>
      <c r="DL25" s="626"/>
      <c r="DM25" s="626"/>
      <c r="DN25" s="626"/>
      <c r="DO25" s="626"/>
      <c r="DP25" s="626"/>
      <c r="DQ25" s="626"/>
      <c r="DR25" s="626"/>
      <c r="DS25" s="626"/>
      <c r="DT25" s="626"/>
      <c r="DU25" s="626"/>
      <c r="DV25" s="626"/>
      <c r="DW25" s="626"/>
      <c r="DX25" s="626"/>
      <c r="DY25" s="626"/>
      <c r="DZ25" s="626"/>
      <c r="EA25" s="626"/>
      <c r="EB25" s="626"/>
      <c r="EC25" s="626"/>
      <c r="ED25" s="626"/>
      <c r="EE25" s="626"/>
      <c r="EF25" s="626"/>
      <c r="EG25" s="626"/>
      <c r="EH25" s="626"/>
      <c r="EI25" s="626"/>
      <c r="EJ25" s="626"/>
      <c r="EK25" s="626"/>
      <c r="EL25" s="626"/>
      <c r="EM25" s="626"/>
      <c r="EN25" s="626"/>
      <c r="EO25" s="626"/>
      <c r="EP25" s="626"/>
      <c r="EQ25" s="626"/>
      <c r="ER25" s="626"/>
      <c r="ES25" s="626"/>
      <c r="ET25" s="626"/>
      <c r="EU25" s="626"/>
      <c r="EV25" s="626"/>
      <c r="EW25" s="626"/>
      <c r="EX25" s="626"/>
      <c r="EY25" s="626"/>
      <c r="EZ25" s="626"/>
      <c r="FA25" s="626"/>
      <c r="FB25" s="626"/>
      <c r="FC25" s="626"/>
      <c r="FD25" s="626"/>
      <c r="FE25" s="626"/>
      <c r="FF25" s="626"/>
      <c r="FG25" s="626"/>
      <c r="FH25" s="626"/>
      <c r="FI25" s="626"/>
      <c r="FJ25" s="626"/>
      <c r="FK25" s="626"/>
      <c r="FL25" s="626"/>
      <c r="FM25" s="626"/>
      <c r="FN25" s="626"/>
      <c r="FO25" s="626"/>
      <c r="FP25" s="626"/>
      <c r="FQ25" s="626"/>
      <c r="FR25" s="626"/>
      <c r="FS25" s="626"/>
      <c r="FT25" s="626"/>
      <c r="FU25" s="626"/>
      <c r="FV25" s="626"/>
      <c r="FW25" s="626"/>
      <c r="FX25" s="626"/>
      <c r="FY25" s="626"/>
      <c r="FZ25" s="626"/>
      <c r="GA25" s="626"/>
      <c r="GB25" s="626"/>
      <c r="GC25" s="626"/>
      <c r="GD25" s="626"/>
      <c r="GE25" s="626"/>
      <c r="GF25" s="626"/>
      <c r="GG25" s="626"/>
      <c r="GH25" s="626"/>
      <c r="GI25" s="626"/>
      <c r="GJ25" s="626"/>
      <c r="GK25" s="626"/>
      <c r="GL25" s="626"/>
      <c r="GM25" s="626"/>
      <c r="GN25" s="626"/>
      <c r="GO25" s="626"/>
      <c r="GP25" s="626"/>
      <c r="GQ25" s="626"/>
      <c r="GR25" s="626"/>
      <c r="GS25" s="626"/>
      <c r="GT25" s="626"/>
      <c r="GU25" s="626"/>
      <c r="GV25" s="626"/>
      <c r="GW25" s="626"/>
      <c r="GX25" s="626"/>
      <c r="GY25" s="626"/>
      <c r="GZ25" s="626"/>
      <c r="HA25" s="626"/>
      <c r="HB25" s="626"/>
      <c r="HC25" s="626"/>
      <c r="HD25" s="626"/>
      <c r="HE25" s="626"/>
      <c r="HF25" s="626"/>
      <c r="HG25" s="626"/>
      <c r="HH25" s="626"/>
      <c r="HI25" s="626"/>
      <c r="HJ25" s="626"/>
      <c r="HK25" s="626"/>
      <c r="HL25" s="626"/>
      <c r="HM25" s="626"/>
      <c r="HN25" s="626"/>
      <c r="HO25" s="626"/>
      <c r="HP25" s="626"/>
      <c r="HQ25" s="626"/>
      <c r="HR25" s="626"/>
      <c r="HS25" s="626"/>
      <c r="HT25" s="626"/>
      <c r="HU25" s="626"/>
      <c r="HV25" s="626"/>
      <c r="HW25" s="626"/>
      <c r="HX25" s="626"/>
      <c r="HY25" s="626"/>
      <c r="HZ25" s="626"/>
      <c r="IA25" s="626"/>
      <c r="IB25" s="626"/>
      <c r="IC25" s="626"/>
      <c r="ID25" s="626"/>
      <c r="IE25" s="626"/>
      <c r="IF25" s="626"/>
      <c r="IG25" s="626"/>
      <c r="IH25" s="626"/>
      <c r="II25" s="626"/>
      <c r="IJ25" s="626"/>
      <c r="IK25" s="626"/>
      <c r="IL25" s="626"/>
      <c r="IM25" s="626"/>
      <c r="IN25" s="626"/>
      <c r="IO25" s="626"/>
      <c r="IP25" s="626"/>
      <c r="IQ25" s="626"/>
      <c r="IR25" s="626"/>
      <c r="IS25" s="626"/>
      <c r="IT25" s="626"/>
      <c r="IU25" s="626"/>
    </row>
    <row r="26" spans="1:255" s="627" customFormat="1" ht="12.75" customHeight="1" thickBot="1" x14ac:dyDescent="0.25">
      <c r="A26" s="644" t="s">
        <v>17</v>
      </c>
      <c r="B26" s="679">
        <v>42581</v>
      </c>
      <c r="C26" s="489"/>
      <c r="D26" s="489"/>
      <c r="E26" s="678" t="s">
        <v>356</v>
      </c>
      <c r="F26" s="489"/>
      <c r="G26" s="623"/>
      <c r="H26" s="676">
        <v>26282</v>
      </c>
      <c r="I26" s="678" t="s">
        <v>368</v>
      </c>
      <c r="J26" s="615" t="s">
        <v>17</v>
      </c>
      <c r="K26" s="257" t="s">
        <v>143</v>
      </c>
      <c r="L26" s="12" t="s">
        <v>219</v>
      </c>
      <c r="M26" s="12"/>
      <c r="N26" s="499"/>
      <c r="O26" s="499"/>
      <c r="P26" s="658">
        <v>26.68</v>
      </c>
      <c r="Q26" s="509"/>
      <c r="R26" s="509"/>
      <c r="S26" s="623"/>
      <c r="T26" s="677">
        <v>12</v>
      </c>
      <c r="U26" s="677">
        <v>1.5</v>
      </c>
      <c r="V26" s="123"/>
      <c r="W26" s="123"/>
      <c r="X26" s="123"/>
      <c r="Y26" s="624"/>
      <c r="Z26" s="625"/>
      <c r="AA26" s="625"/>
      <c r="AB26" s="625"/>
      <c r="AC26" s="625"/>
      <c r="AD26" s="625"/>
      <c r="AE26" s="625"/>
      <c r="AF26" s="625"/>
      <c r="AG26" s="625"/>
      <c r="AH26" s="625"/>
      <c r="AI26" s="625"/>
      <c r="AJ26" s="625"/>
      <c r="AK26" s="625"/>
      <c r="AL26" s="625"/>
      <c r="AM26" s="625"/>
      <c r="AN26" s="625"/>
      <c r="AO26" s="625"/>
      <c r="AP26" s="625"/>
      <c r="AQ26" s="625"/>
      <c r="AR26" s="625"/>
      <c r="AS26" s="625"/>
      <c r="AT26" s="625"/>
      <c r="AU26" s="625"/>
      <c r="AV26" s="625"/>
      <c r="AW26" s="625"/>
      <c r="AX26" s="625"/>
      <c r="AY26" s="625"/>
      <c r="AZ26" s="625"/>
      <c r="BA26" s="625"/>
      <c r="BB26" s="625"/>
      <c r="BC26" s="625"/>
      <c r="BD26" s="625"/>
      <c r="BE26" s="625"/>
      <c r="BF26" s="626"/>
      <c r="BG26" s="626"/>
      <c r="BH26" s="626"/>
      <c r="BI26" s="626"/>
      <c r="BJ26" s="626"/>
      <c r="BK26" s="626"/>
      <c r="BL26" s="626"/>
      <c r="BM26" s="626"/>
      <c r="BN26" s="626"/>
      <c r="BO26" s="626"/>
      <c r="BP26" s="626"/>
      <c r="BQ26" s="626"/>
      <c r="BR26" s="626"/>
      <c r="BS26" s="626"/>
      <c r="BT26" s="626"/>
      <c r="BU26" s="626"/>
      <c r="BV26" s="626"/>
      <c r="BW26" s="626"/>
      <c r="BX26" s="626"/>
      <c r="BY26" s="626"/>
      <c r="BZ26" s="626"/>
      <c r="CA26" s="626"/>
      <c r="CB26" s="626"/>
      <c r="CC26" s="626"/>
      <c r="CD26" s="626"/>
      <c r="CE26" s="626"/>
      <c r="CF26" s="626"/>
      <c r="CG26" s="626"/>
      <c r="CH26" s="626"/>
      <c r="CI26" s="626"/>
      <c r="CJ26" s="626"/>
      <c r="CK26" s="626"/>
      <c r="CL26" s="626"/>
      <c r="CM26" s="626"/>
      <c r="CN26" s="626"/>
      <c r="CO26" s="626"/>
      <c r="CP26" s="626"/>
      <c r="CQ26" s="626"/>
      <c r="CR26" s="626"/>
      <c r="CS26" s="626"/>
      <c r="CT26" s="626"/>
      <c r="CU26" s="626"/>
      <c r="CV26" s="626"/>
      <c r="CW26" s="626"/>
      <c r="CX26" s="626"/>
      <c r="CY26" s="626"/>
      <c r="CZ26" s="626"/>
      <c r="DA26" s="626"/>
      <c r="DB26" s="626"/>
      <c r="DC26" s="626"/>
      <c r="DD26" s="626"/>
      <c r="DE26" s="626"/>
      <c r="DF26" s="626"/>
      <c r="DG26" s="626"/>
      <c r="DH26" s="626"/>
      <c r="DI26" s="626"/>
      <c r="DJ26" s="626"/>
      <c r="DK26" s="626"/>
      <c r="DL26" s="626"/>
      <c r="DM26" s="626"/>
      <c r="DN26" s="626"/>
      <c r="DO26" s="626"/>
      <c r="DP26" s="626"/>
      <c r="DQ26" s="626"/>
      <c r="DR26" s="626"/>
      <c r="DS26" s="626"/>
      <c r="DT26" s="626"/>
      <c r="DU26" s="626"/>
      <c r="DV26" s="626"/>
      <c r="DW26" s="626"/>
      <c r="DX26" s="626"/>
      <c r="DY26" s="626"/>
      <c r="DZ26" s="626"/>
      <c r="EA26" s="626"/>
      <c r="EB26" s="626"/>
      <c r="EC26" s="626"/>
      <c r="ED26" s="626"/>
      <c r="EE26" s="626"/>
      <c r="EF26" s="626"/>
      <c r="EG26" s="626"/>
      <c r="EH26" s="626"/>
      <c r="EI26" s="626"/>
      <c r="EJ26" s="626"/>
      <c r="EK26" s="626"/>
      <c r="EL26" s="626"/>
      <c r="EM26" s="626"/>
      <c r="EN26" s="626"/>
      <c r="EO26" s="626"/>
      <c r="EP26" s="626"/>
      <c r="EQ26" s="626"/>
      <c r="ER26" s="626"/>
      <c r="ES26" s="626"/>
      <c r="ET26" s="626"/>
      <c r="EU26" s="626"/>
      <c r="EV26" s="626"/>
      <c r="EW26" s="626"/>
      <c r="EX26" s="626"/>
      <c r="EY26" s="626"/>
      <c r="EZ26" s="626"/>
      <c r="FA26" s="626"/>
      <c r="FB26" s="626"/>
      <c r="FC26" s="626"/>
      <c r="FD26" s="626"/>
      <c r="FE26" s="626"/>
      <c r="FF26" s="626"/>
      <c r="FG26" s="626"/>
      <c r="FH26" s="626"/>
      <c r="FI26" s="626"/>
      <c r="FJ26" s="626"/>
      <c r="FK26" s="626"/>
      <c r="FL26" s="626"/>
      <c r="FM26" s="626"/>
      <c r="FN26" s="626"/>
      <c r="FO26" s="626"/>
      <c r="FP26" s="626"/>
      <c r="FQ26" s="626"/>
      <c r="FR26" s="626"/>
      <c r="FS26" s="626"/>
      <c r="FT26" s="626"/>
      <c r="FU26" s="626"/>
      <c r="FV26" s="626"/>
      <c r="FW26" s="626"/>
      <c r="FX26" s="626"/>
      <c r="FY26" s="626"/>
      <c r="FZ26" s="626"/>
      <c r="GA26" s="626"/>
      <c r="GB26" s="626"/>
      <c r="GC26" s="626"/>
      <c r="GD26" s="626"/>
      <c r="GE26" s="626"/>
      <c r="GF26" s="626"/>
      <c r="GG26" s="626"/>
      <c r="GH26" s="626"/>
      <c r="GI26" s="626"/>
      <c r="GJ26" s="626"/>
      <c r="GK26" s="626"/>
      <c r="GL26" s="626"/>
      <c r="GM26" s="626"/>
      <c r="GN26" s="626"/>
      <c r="GO26" s="626"/>
      <c r="GP26" s="626"/>
      <c r="GQ26" s="626"/>
      <c r="GR26" s="626"/>
      <c r="GS26" s="626"/>
      <c r="GT26" s="626"/>
      <c r="GU26" s="626"/>
      <c r="GV26" s="626"/>
      <c r="GW26" s="626"/>
      <c r="GX26" s="626"/>
      <c r="GY26" s="626"/>
      <c r="GZ26" s="626"/>
      <c r="HA26" s="626"/>
      <c r="HB26" s="626"/>
      <c r="HC26" s="626"/>
      <c r="HD26" s="626"/>
      <c r="HE26" s="626"/>
      <c r="HF26" s="626"/>
      <c r="HG26" s="626"/>
      <c r="HH26" s="626"/>
      <c r="HI26" s="626"/>
      <c r="HJ26" s="626"/>
      <c r="HK26" s="626"/>
      <c r="HL26" s="626"/>
      <c r="HM26" s="626"/>
      <c r="HN26" s="626"/>
      <c r="HO26" s="626"/>
      <c r="HP26" s="626"/>
      <c r="HQ26" s="626"/>
      <c r="HR26" s="626"/>
      <c r="HS26" s="626"/>
      <c r="HT26" s="626"/>
      <c r="HU26" s="626"/>
      <c r="HV26" s="626"/>
      <c r="HW26" s="626"/>
      <c r="HX26" s="626"/>
      <c r="HY26" s="626"/>
      <c r="HZ26" s="626"/>
      <c r="IA26" s="626"/>
      <c r="IB26" s="626"/>
      <c r="IC26" s="626"/>
      <c r="ID26" s="626"/>
      <c r="IE26" s="626"/>
      <c r="IF26" s="626"/>
      <c r="IG26" s="626"/>
      <c r="IH26" s="626"/>
      <c r="II26" s="626"/>
      <c r="IJ26" s="626"/>
      <c r="IK26" s="626"/>
      <c r="IL26" s="626"/>
      <c r="IM26" s="626"/>
      <c r="IN26" s="626"/>
      <c r="IO26" s="626"/>
      <c r="IP26" s="626"/>
      <c r="IQ26" s="626"/>
      <c r="IR26" s="626"/>
      <c r="IS26" s="626"/>
      <c r="IT26" s="626"/>
      <c r="IU26" s="626"/>
    </row>
    <row r="27" spans="1:255" s="627" customFormat="1" ht="12.75" customHeight="1" thickBot="1" x14ac:dyDescent="0.25">
      <c r="A27" s="644" t="s">
        <v>17</v>
      </c>
      <c r="B27" s="679">
        <v>42582</v>
      </c>
      <c r="C27" s="489"/>
      <c r="D27" s="489"/>
      <c r="E27" s="678" t="s">
        <v>360</v>
      </c>
      <c r="F27" s="489"/>
      <c r="G27" s="623"/>
      <c r="H27" s="680">
        <v>47815</v>
      </c>
      <c r="I27" s="678" t="s">
        <v>365</v>
      </c>
      <c r="J27" s="615" t="s">
        <v>17</v>
      </c>
      <c r="K27" s="257" t="s">
        <v>143</v>
      </c>
      <c r="L27" s="12" t="s">
        <v>219</v>
      </c>
      <c r="M27" s="12"/>
      <c r="N27" s="499"/>
      <c r="O27" s="499"/>
      <c r="P27" s="658">
        <v>24.6</v>
      </c>
      <c r="Q27" s="509"/>
      <c r="R27" s="509"/>
      <c r="S27" s="623"/>
      <c r="T27" s="677">
        <v>10.5</v>
      </c>
      <c r="U27" s="677">
        <v>1.24</v>
      </c>
      <c r="V27" s="123"/>
      <c r="W27" s="123"/>
      <c r="X27" s="123"/>
      <c r="Y27" s="624"/>
      <c r="Z27" s="625"/>
      <c r="AA27" s="625"/>
      <c r="AB27" s="625"/>
      <c r="AC27" s="625"/>
      <c r="AD27" s="625"/>
      <c r="AE27" s="625"/>
      <c r="AF27" s="625"/>
      <c r="AG27" s="625"/>
      <c r="AH27" s="625"/>
      <c r="AI27" s="625"/>
      <c r="AJ27" s="625"/>
      <c r="AK27" s="625"/>
      <c r="AL27" s="625"/>
      <c r="AM27" s="625"/>
      <c r="AN27" s="625"/>
      <c r="AO27" s="625"/>
      <c r="AP27" s="625"/>
      <c r="AQ27" s="625"/>
      <c r="AR27" s="625"/>
      <c r="AS27" s="625"/>
      <c r="AT27" s="625"/>
      <c r="AU27" s="625"/>
      <c r="AV27" s="625"/>
      <c r="AW27" s="625"/>
      <c r="AX27" s="625"/>
      <c r="AY27" s="625"/>
      <c r="AZ27" s="625"/>
      <c r="BA27" s="625"/>
      <c r="BB27" s="625"/>
      <c r="BC27" s="625"/>
      <c r="BD27" s="625"/>
      <c r="BE27" s="625"/>
      <c r="BF27" s="626"/>
      <c r="BG27" s="626"/>
      <c r="BH27" s="626"/>
      <c r="BI27" s="626"/>
      <c r="BJ27" s="626"/>
      <c r="BK27" s="626"/>
      <c r="BL27" s="626"/>
      <c r="BM27" s="626"/>
      <c r="BN27" s="626"/>
      <c r="BO27" s="626"/>
      <c r="BP27" s="626"/>
      <c r="BQ27" s="626"/>
      <c r="BR27" s="626"/>
      <c r="BS27" s="626"/>
      <c r="BT27" s="626"/>
      <c r="BU27" s="626"/>
      <c r="BV27" s="626"/>
      <c r="BW27" s="626"/>
      <c r="BX27" s="626"/>
      <c r="BY27" s="626"/>
      <c r="BZ27" s="626"/>
      <c r="CA27" s="626"/>
      <c r="CB27" s="626"/>
      <c r="CC27" s="626"/>
      <c r="CD27" s="626"/>
      <c r="CE27" s="626"/>
      <c r="CF27" s="626"/>
      <c r="CG27" s="626"/>
      <c r="CH27" s="626"/>
      <c r="CI27" s="626"/>
      <c r="CJ27" s="626"/>
      <c r="CK27" s="626"/>
      <c r="CL27" s="626"/>
      <c r="CM27" s="626"/>
      <c r="CN27" s="626"/>
      <c r="CO27" s="626"/>
      <c r="CP27" s="626"/>
      <c r="CQ27" s="626"/>
      <c r="CR27" s="626"/>
      <c r="CS27" s="626"/>
      <c r="CT27" s="626"/>
      <c r="CU27" s="626"/>
      <c r="CV27" s="626"/>
      <c r="CW27" s="626"/>
      <c r="CX27" s="626"/>
      <c r="CY27" s="626"/>
      <c r="CZ27" s="626"/>
      <c r="DA27" s="626"/>
      <c r="DB27" s="626"/>
      <c r="DC27" s="626"/>
      <c r="DD27" s="626"/>
      <c r="DE27" s="626"/>
      <c r="DF27" s="626"/>
      <c r="DG27" s="626"/>
      <c r="DH27" s="626"/>
      <c r="DI27" s="626"/>
      <c r="DJ27" s="626"/>
      <c r="DK27" s="626"/>
      <c r="DL27" s="626"/>
      <c r="DM27" s="626"/>
      <c r="DN27" s="626"/>
      <c r="DO27" s="626"/>
      <c r="DP27" s="626"/>
      <c r="DQ27" s="626"/>
      <c r="DR27" s="626"/>
      <c r="DS27" s="626"/>
      <c r="DT27" s="626"/>
      <c r="DU27" s="626"/>
      <c r="DV27" s="626"/>
      <c r="DW27" s="626"/>
      <c r="DX27" s="626"/>
      <c r="DY27" s="626"/>
      <c r="DZ27" s="626"/>
      <c r="EA27" s="626"/>
      <c r="EB27" s="626"/>
      <c r="EC27" s="626"/>
      <c r="ED27" s="626"/>
      <c r="EE27" s="626"/>
      <c r="EF27" s="626"/>
      <c r="EG27" s="626"/>
      <c r="EH27" s="626"/>
      <c r="EI27" s="626"/>
      <c r="EJ27" s="626"/>
      <c r="EK27" s="626"/>
      <c r="EL27" s="626"/>
      <c r="EM27" s="626"/>
      <c r="EN27" s="626"/>
      <c r="EO27" s="626"/>
      <c r="EP27" s="626"/>
      <c r="EQ27" s="626"/>
      <c r="ER27" s="626"/>
      <c r="ES27" s="626"/>
      <c r="ET27" s="626"/>
      <c r="EU27" s="626"/>
      <c r="EV27" s="626"/>
      <c r="EW27" s="626"/>
      <c r="EX27" s="626"/>
      <c r="EY27" s="626"/>
      <c r="EZ27" s="626"/>
      <c r="FA27" s="626"/>
      <c r="FB27" s="626"/>
      <c r="FC27" s="626"/>
      <c r="FD27" s="626"/>
      <c r="FE27" s="626"/>
      <c r="FF27" s="626"/>
      <c r="FG27" s="626"/>
      <c r="FH27" s="626"/>
      <c r="FI27" s="626"/>
      <c r="FJ27" s="626"/>
      <c r="FK27" s="626"/>
      <c r="FL27" s="626"/>
      <c r="FM27" s="626"/>
      <c r="FN27" s="626"/>
      <c r="FO27" s="626"/>
      <c r="FP27" s="626"/>
      <c r="FQ27" s="626"/>
      <c r="FR27" s="626"/>
      <c r="FS27" s="626"/>
      <c r="FT27" s="626"/>
      <c r="FU27" s="626"/>
      <c r="FV27" s="626"/>
      <c r="FW27" s="626"/>
      <c r="FX27" s="626"/>
      <c r="FY27" s="626"/>
      <c r="FZ27" s="626"/>
      <c r="GA27" s="626"/>
      <c r="GB27" s="626"/>
      <c r="GC27" s="626"/>
      <c r="GD27" s="626"/>
      <c r="GE27" s="626"/>
      <c r="GF27" s="626"/>
      <c r="GG27" s="626"/>
      <c r="GH27" s="626"/>
      <c r="GI27" s="626"/>
      <c r="GJ27" s="626"/>
      <c r="GK27" s="626"/>
      <c r="GL27" s="626"/>
      <c r="GM27" s="626"/>
      <c r="GN27" s="626"/>
      <c r="GO27" s="626"/>
      <c r="GP27" s="626"/>
      <c r="GQ27" s="626"/>
      <c r="GR27" s="626"/>
      <c r="GS27" s="626"/>
      <c r="GT27" s="626"/>
      <c r="GU27" s="626"/>
      <c r="GV27" s="626"/>
      <c r="GW27" s="626"/>
      <c r="GX27" s="626"/>
      <c r="GY27" s="626"/>
      <c r="GZ27" s="626"/>
      <c r="HA27" s="626"/>
      <c r="HB27" s="626"/>
      <c r="HC27" s="626"/>
      <c r="HD27" s="626"/>
      <c r="HE27" s="626"/>
      <c r="HF27" s="626"/>
      <c r="HG27" s="626"/>
      <c r="HH27" s="626"/>
      <c r="HI27" s="626"/>
      <c r="HJ27" s="626"/>
      <c r="HK27" s="626"/>
      <c r="HL27" s="626"/>
      <c r="HM27" s="626"/>
      <c r="HN27" s="626"/>
      <c r="HO27" s="626"/>
      <c r="HP27" s="626"/>
      <c r="HQ27" s="626"/>
      <c r="HR27" s="626"/>
      <c r="HS27" s="626"/>
      <c r="HT27" s="626"/>
      <c r="HU27" s="626"/>
      <c r="HV27" s="626"/>
      <c r="HW27" s="626"/>
      <c r="HX27" s="626"/>
      <c r="HY27" s="626"/>
      <c r="HZ27" s="626"/>
      <c r="IA27" s="626"/>
      <c r="IB27" s="626"/>
      <c r="IC27" s="626"/>
      <c r="ID27" s="626"/>
      <c r="IE27" s="626"/>
      <c r="IF27" s="626"/>
      <c r="IG27" s="626"/>
      <c r="IH27" s="626"/>
      <c r="II27" s="626"/>
      <c r="IJ27" s="626"/>
      <c r="IK27" s="626"/>
      <c r="IL27" s="626"/>
      <c r="IM27" s="626"/>
      <c r="IN27" s="626"/>
      <c r="IO27" s="626"/>
      <c r="IP27" s="626"/>
      <c r="IQ27" s="626"/>
      <c r="IR27" s="626"/>
      <c r="IS27" s="626"/>
      <c r="IT27" s="626"/>
      <c r="IU27" s="626"/>
    </row>
    <row r="28" spans="1:255" s="627" customFormat="1" ht="12.75" customHeight="1" thickBot="1" x14ac:dyDescent="0.25">
      <c r="A28" s="644" t="s">
        <v>17</v>
      </c>
      <c r="B28" s="679">
        <v>42582</v>
      </c>
      <c r="C28" s="489"/>
      <c r="D28" s="489"/>
      <c r="E28" s="678" t="s">
        <v>356</v>
      </c>
      <c r="F28" s="489"/>
      <c r="G28" s="623"/>
      <c r="H28" s="676">
        <v>26284</v>
      </c>
      <c r="I28" s="678" t="s">
        <v>370</v>
      </c>
      <c r="J28" s="615" t="s">
        <v>17</v>
      </c>
      <c r="K28" s="257" t="s">
        <v>143</v>
      </c>
      <c r="L28" s="12" t="s">
        <v>219</v>
      </c>
      <c r="M28" s="12"/>
      <c r="N28" s="499"/>
      <c r="O28" s="499"/>
      <c r="P28" s="658">
        <v>23.72</v>
      </c>
      <c r="Q28" s="509"/>
      <c r="R28" s="509"/>
      <c r="S28" s="623"/>
      <c r="T28" s="677">
        <v>12.6</v>
      </c>
      <c r="U28" s="677">
        <v>1.1200000000000001</v>
      </c>
      <c r="V28" s="123"/>
      <c r="W28" s="123"/>
      <c r="X28" s="123"/>
      <c r="Y28" s="624"/>
      <c r="Z28" s="625"/>
      <c r="AA28" s="625"/>
      <c r="AB28" s="625"/>
      <c r="AC28" s="625"/>
      <c r="AD28" s="625"/>
      <c r="AE28" s="625"/>
      <c r="AF28" s="625"/>
      <c r="AG28" s="625"/>
      <c r="AH28" s="625"/>
      <c r="AI28" s="625"/>
      <c r="AJ28" s="625"/>
      <c r="AK28" s="625"/>
      <c r="AL28" s="625"/>
      <c r="AM28" s="625"/>
      <c r="AN28" s="625"/>
      <c r="AO28" s="625"/>
      <c r="AP28" s="625"/>
      <c r="AQ28" s="625"/>
      <c r="AR28" s="625"/>
      <c r="AS28" s="625"/>
      <c r="AT28" s="625"/>
      <c r="AU28" s="625"/>
      <c r="AV28" s="625"/>
      <c r="AW28" s="625"/>
      <c r="AX28" s="625"/>
      <c r="AY28" s="625"/>
      <c r="AZ28" s="625"/>
      <c r="BA28" s="625"/>
      <c r="BB28" s="625"/>
      <c r="BC28" s="625"/>
      <c r="BD28" s="625"/>
      <c r="BE28" s="625"/>
      <c r="BF28" s="626"/>
      <c r="BG28" s="626"/>
      <c r="BH28" s="626"/>
      <c r="BI28" s="626"/>
      <c r="BJ28" s="626"/>
      <c r="BK28" s="626"/>
      <c r="BL28" s="626"/>
      <c r="BM28" s="626"/>
      <c r="BN28" s="626"/>
      <c r="BO28" s="626"/>
      <c r="BP28" s="626"/>
      <c r="BQ28" s="626"/>
      <c r="BR28" s="626"/>
      <c r="BS28" s="626"/>
      <c r="BT28" s="626"/>
      <c r="BU28" s="626"/>
      <c r="BV28" s="626"/>
      <c r="BW28" s="626"/>
      <c r="BX28" s="626"/>
      <c r="BY28" s="626"/>
      <c r="BZ28" s="626"/>
      <c r="CA28" s="626"/>
      <c r="CB28" s="626"/>
      <c r="CC28" s="626"/>
      <c r="CD28" s="626"/>
      <c r="CE28" s="626"/>
      <c r="CF28" s="626"/>
      <c r="CG28" s="626"/>
      <c r="CH28" s="626"/>
      <c r="CI28" s="626"/>
      <c r="CJ28" s="626"/>
      <c r="CK28" s="626"/>
      <c r="CL28" s="626"/>
      <c r="CM28" s="626"/>
      <c r="CN28" s="626"/>
      <c r="CO28" s="626"/>
      <c r="CP28" s="626"/>
      <c r="CQ28" s="626"/>
      <c r="CR28" s="626"/>
      <c r="CS28" s="626"/>
      <c r="CT28" s="626"/>
      <c r="CU28" s="626"/>
      <c r="CV28" s="626"/>
      <c r="CW28" s="626"/>
      <c r="CX28" s="626"/>
      <c r="CY28" s="626"/>
      <c r="CZ28" s="626"/>
      <c r="DA28" s="626"/>
      <c r="DB28" s="626"/>
      <c r="DC28" s="626"/>
      <c r="DD28" s="626"/>
      <c r="DE28" s="626"/>
      <c r="DF28" s="626"/>
      <c r="DG28" s="626"/>
      <c r="DH28" s="626"/>
      <c r="DI28" s="626"/>
      <c r="DJ28" s="626"/>
      <c r="DK28" s="626"/>
      <c r="DL28" s="626"/>
      <c r="DM28" s="626"/>
      <c r="DN28" s="626"/>
      <c r="DO28" s="626"/>
      <c r="DP28" s="626"/>
      <c r="DQ28" s="626"/>
      <c r="DR28" s="626"/>
      <c r="DS28" s="626"/>
      <c r="DT28" s="626"/>
      <c r="DU28" s="626"/>
      <c r="DV28" s="626"/>
      <c r="DW28" s="626"/>
      <c r="DX28" s="626"/>
      <c r="DY28" s="626"/>
      <c r="DZ28" s="626"/>
      <c r="EA28" s="626"/>
      <c r="EB28" s="626"/>
      <c r="EC28" s="626"/>
      <c r="ED28" s="626"/>
      <c r="EE28" s="626"/>
      <c r="EF28" s="626"/>
      <c r="EG28" s="626"/>
      <c r="EH28" s="626"/>
      <c r="EI28" s="626"/>
      <c r="EJ28" s="626"/>
      <c r="EK28" s="626"/>
      <c r="EL28" s="626"/>
      <c r="EM28" s="626"/>
      <c r="EN28" s="626"/>
      <c r="EO28" s="626"/>
      <c r="EP28" s="626"/>
      <c r="EQ28" s="626"/>
      <c r="ER28" s="626"/>
      <c r="ES28" s="626"/>
      <c r="ET28" s="626"/>
      <c r="EU28" s="626"/>
      <c r="EV28" s="626"/>
      <c r="EW28" s="626"/>
      <c r="EX28" s="626"/>
      <c r="EY28" s="626"/>
      <c r="EZ28" s="626"/>
      <c r="FA28" s="626"/>
      <c r="FB28" s="626"/>
      <c r="FC28" s="626"/>
      <c r="FD28" s="626"/>
      <c r="FE28" s="626"/>
      <c r="FF28" s="626"/>
      <c r="FG28" s="626"/>
      <c r="FH28" s="626"/>
      <c r="FI28" s="626"/>
      <c r="FJ28" s="626"/>
      <c r="FK28" s="626"/>
      <c r="FL28" s="626"/>
      <c r="FM28" s="626"/>
      <c r="FN28" s="626"/>
      <c r="FO28" s="626"/>
      <c r="FP28" s="626"/>
      <c r="FQ28" s="626"/>
      <c r="FR28" s="626"/>
      <c r="FS28" s="626"/>
      <c r="FT28" s="626"/>
      <c r="FU28" s="626"/>
      <c r="FV28" s="626"/>
      <c r="FW28" s="626"/>
      <c r="FX28" s="626"/>
      <c r="FY28" s="626"/>
      <c r="FZ28" s="626"/>
      <c r="GA28" s="626"/>
      <c r="GB28" s="626"/>
      <c r="GC28" s="626"/>
      <c r="GD28" s="626"/>
      <c r="GE28" s="626"/>
      <c r="GF28" s="626"/>
      <c r="GG28" s="626"/>
      <c r="GH28" s="626"/>
      <c r="GI28" s="626"/>
      <c r="GJ28" s="626"/>
      <c r="GK28" s="626"/>
      <c r="GL28" s="626"/>
      <c r="GM28" s="626"/>
      <c r="GN28" s="626"/>
      <c r="GO28" s="626"/>
      <c r="GP28" s="626"/>
      <c r="GQ28" s="626"/>
      <c r="GR28" s="626"/>
      <c r="GS28" s="626"/>
      <c r="GT28" s="626"/>
      <c r="GU28" s="626"/>
      <c r="GV28" s="626"/>
      <c r="GW28" s="626"/>
      <c r="GX28" s="626"/>
      <c r="GY28" s="626"/>
      <c r="GZ28" s="626"/>
      <c r="HA28" s="626"/>
      <c r="HB28" s="626"/>
      <c r="HC28" s="626"/>
      <c r="HD28" s="626"/>
      <c r="HE28" s="626"/>
      <c r="HF28" s="626"/>
      <c r="HG28" s="626"/>
      <c r="HH28" s="626"/>
      <c r="HI28" s="626"/>
      <c r="HJ28" s="626"/>
      <c r="HK28" s="626"/>
      <c r="HL28" s="626"/>
      <c r="HM28" s="626"/>
      <c r="HN28" s="626"/>
      <c r="HO28" s="626"/>
      <c r="HP28" s="626"/>
      <c r="HQ28" s="626"/>
      <c r="HR28" s="626"/>
      <c r="HS28" s="626"/>
      <c r="HT28" s="626"/>
      <c r="HU28" s="626"/>
      <c r="HV28" s="626"/>
      <c r="HW28" s="626"/>
      <c r="HX28" s="626"/>
      <c r="HY28" s="626"/>
      <c r="HZ28" s="626"/>
      <c r="IA28" s="626"/>
      <c r="IB28" s="626"/>
      <c r="IC28" s="626"/>
      <c r="ID28" s="626"/>
      <c r="IE28" s="626"/>
      <c r="IF28" s="626"/>
      <c r="IG28" s="626"/>
      <c r="IH28" s="626"/>
      <c r="II28" s="626"/>
      <c r="IJ28" s="626"/>
      <c r="IK28" s="626"/>
      <c r="IL28" s="626"/>
      <c r="IM28" s="626"/>
      <c r="IN28" s="626"/>
      <c r="IO28" s="626"/>
      <c r="IP28" s="626"/>
      <c r="IQ28" s="626"/>
      <c r="IR28" s="626"/>
      <c r="IS28" s="626"/>
      <c r="IT28" s="626"/>
      <c r="IU28" s="626"/>
    </row>
    <row r="29" spans="1:255" s="627" customFormat="1" ht="12.75" customHeight="1" thickBot="1" x14ac:dyDescent="0.25">
      <c r="A29" s="644" t="s">
        <v>17</v>
      </c>
      <c r="B29" s="679">
        <v>42582</v>
      </c>
      <c r="C29" s="489"/>
      <c r="D29" s="489"/>
      <c r="E29" s="678" t="s">
        <v>356</v>
      </c>
      <c r="F29" s="489"/>
      <c r="G29" s="623"/>
      <c r="H29" s="676">
        <v>26285</v>
      </c>
      <c r="I29" s="678" t="s">
        <v>368</v>
      </c>
      <c r="J29" s="615" t="s">
        <v>17</v>
      </c>
      <c r="K29" s="257" t="s">
        <v>143</v>
      </c>
      <c r="L29" s="12" t="s">
        <v>219</v>
      </c>
      <c r="M29" s="12"/>
      <c r="N29" s="499"/>
      <c r="O29" s="499"/>
      <c r="P29" s="658">
        <v>27.82</v>
      </c>
      <c r="Q29" s="509"/>
      <c r="R29" s="509"/>
      <c r="S29" s="623"/>
      <c r="T29" s="677">
        <v>12.6</v>
      </c>
      <c r="U29" s="677">
        <v>0.88</v>
      </c>
      <c r="V29" s="123"/>
      <c r="W29" s="123"/>
      <c r="X29" s="123"/>
      <c r="Y29" s="624"/>
      <c r="Z29" s="625"/>
      <c r="AA29" s="625"/>
      <c r="AB29" s="625"/>
      <c r="AC29" s="625"/>
      <c r="AD29" s="625"/>
      <c r="AE29" s="625"/>
      <c r="AF29" s="625"/>
      <c r="AG29" s="625"/>
      <c r="AH29" s="625"/>
      <c r="AI29" s="625"/>
      <c r="AJ29" s="625"/>
      <c r="AK29" s="625"/>
      <c r="AL29" s="625"/>
      <c r="AM29" s="625"/>
      <c r="AN29" s="625"/>
      <c r="AO29" s="625"/>
      <c r="AP29" s="625"/>
      <c r="AQ29" s="625"/>
      <c r="AR29" s="625"/>
      <c r="AS29" s="625"/>
      <c r="AT29" s="625"/>
      <c r="AU29" s="625"/>
      <c r="AV29" s="625"/>
      <c r="AW29" s="625"/>
      <c r="AX29" s="625"/>
      <c r="AY29" s="625"/>
      <c r="AZ29" s="625"/>
      <c r="BA29" s="625"/>
      <c r="BB29" s="625"/>
      <c r="BC29" s="625"/>
      <c r="BD29" s="625"/>
      <c r="BE29" s="625"/>
      <c r="BF29" s="626"/>
      <c r="BG29" s="626"/>
      <c r="BH29" s="626"/>
      <c r="BI29" s="626"/>
      <c r="BJ29" s="626"/>
      <c r="BK29" s="626"/>
      <c r="BL29" s="626"/>
      <c r="BM29" s="626"/>
      <c r="BN29" s="626"/>
      <c r="BO29" s="626"/>
      <c r="BP29" s="626"/>
      <c r="BQ29" s="626"/>
      <c r="BR29" s="626"/>
      <c r="BS29" s="626"/>
      <c r="BT29" s="626"/>
      <c r="BU29" s="626"/>
      <c r="BV29" s="626"/>
      <c r="BW29" s="626"/>
      <c r="BX29" s="626"/>
      <c r="BY29" s="626"/>
      <c r="BZ29" s="626"/>
      <c r="CA29" s="626"/>
      <c r="CB29" s="626"/>
      <c r="CC29" s="626"/>
      <c r="CD29" s="626"/>
      <c r="CE29" s="626"/>
      <c r="CF29" s="626"/>
      <c r="CG29" s="626"/>
      <c r="CH29" s="626"/>
      <c r="CI29" s="626"/>
      <c r="CJ29" s="626"/>
      <c r="CK29" s="626"/>
      <c r="CL29" s="626"/>
      <c r="CM29" s="626"/>
      <c r="CN29" s="626"/>
      <c r="CO29" s="626"/>
      <c r="CP29" s="626"/>
      <c r="CQ29" s="626"/>
      <c r="CR29" s="626"/>
      <c r="CS29" s="626"/>
      <c r="CT29" s="626"/>
      <c r="CU29" s="626"/>
      <c r="CV29" s="626"/>
      <c r="CW29" s="626"/>
      <c r="CX29" s="626"/>
      <c r="CY29" s="626"/>
      <c r="CZ29" s="626"/>
      <c r="DA29" s="626"/>
      <c r="DB29" s="626"/>
      <c r="DC29" s="626"/>
      <c r="DD29" s="626"/>
      <c r="DE29" s="626"/>
      <c r="DF29" s="626"/>
      <c r="DG29" s="626"/>
      <c r="DH29" s="626"/>
      <c r="DI29" s="626"/>
      <c r="DJ29" s="626"/>
      <c r="DK29" s="626"/>
      <c r="DL29" s="626"/>
      <c r="DM29" s="626"/>
      <c r="DN29" s="626"/>
      <c r="DO29" s="626"/>
      <c r="DP29" s="626"/>
      <c r="DQ29" s="626"/>
      <c r="DR29" s="626"/>
      <c r="DS29" s="626"/>
      <c r="DT29" s="626"/>
      <c r="DU29" s="626"/>
      <c r="DV29" s="626"/>
      <c r="DW29" s="626"/>
      <c r="DX29" s="626"/>
      <c r="DY29" s="626"/>
      <c r="DZ29" s="626"/>
      <c r="EA29" s="626"/>
      <c r="EB29" s="626"/>
      <c r="EC29" s="626"/>
      <c r="ED29" s="626"/>
      <c r="EE29" s="626"/>
      <c r="EF29" s="626"/>
      <c r="EG29" s="626"/>
      <c r="EH29" s="626"/>
      <c r="EI29" s="626"/>
      <c r="EJ29" s="626"/>
      <c r="EK29" s="626"/>
      <c r="EL29" s="626"/>
      <c r="EM29" s="626"/>
      <c r="EN29" s="626"/>
      <c r="EO29" s="626"/>
      <c r="EP29" s="626"/>
      <c r="EQ29" s="626"/>
      <c r="ER29" s="626"/>
      <c r="ES29" s="626"/>
      <c r="ET29" s="626"/>
      <c r="EU29" s="626"/>
      <c r="EV29" s="626"/>
      <c r="EW29" s="626"/>
      <c r="EX29" s="626"/>
      <c r="EY29" s="626"/>
      <c r="EZ29" s="626"/>
      <c r="FA29" s="626"/>
      <c r="FB29" s="626"/>
      <c r="FC29" s="626"/>
      <c r="FD29" s="626"/>
      <c r="FE29" s="626"/>
      <c r="FF29" s="626"/>
      <c r="FG29" s="626"/>
      <c r="FH29" s="626"/>
      <c r="FI29" s="626"/>
      <c r="FJ29" s="626"/>
      <c r="FK29" s="626"/>
      <c r="FL29" s="626"/>
      <c r="FM29" s="626"/>
      <c r="FN29" s="626"/>
      <c r="FO29" s="626"/>
      <c r="FP29" s="626"/>
      <c r="FQ29" s="626"/>
      <c r="FR29" s="626"/>
      <c r="FS29" s="626"/>
      <c r="FT29" s="626"/>
      <c r="FU29" s="626"/>
      <c r="FV29" s="626"/>
      <c r="FW29" s="626"/>
      <c r="FX29" s="626"/>
      <c r="FY29" s="626"/>
      <c r="FZ29" s="626"/>
      <c r="GA29" s="626"/>
      <c r="GB29" s="626"/>
      <c r="GC29" s="626"/>
      <c r="GD29" s="626"/>
      <c r="GE29" s="626"/>
      <c r="GF29" s="626"/>
      <c r="GG29" s="626"/>
      <c r="GH29" s="626"/>
      <c r="GI29" s="626"/>
      <c r="GJ29" s="626"/>
      <c r="GK29" s="626"/>
      <c r="GL29" s="626"/>
      <c r="GM29" s="626"/>
      <c r="GN29" s="626"/>
      <c r="GO29" s="626"/>
      <c r="GP29" s="626"/>
      <c r="GQ29" s="626"/>
      <c r="GR29" s="626"/>
      <c r="GS29" s="626"/>
      <c r="GT29" s="626"/>
      <c r="GU29" s="626"/>
      <c r="GV29" s="626"/>
      <c r="GW29" s="626"/>
      <c r="GX29" s="626"/>
      <c r="GY29" s="626"/>
      <c r="GZ29" s="626"/>
      <c r="HA29" s="626"/>
      <c r="HB29" s="626"/>
      <c r="HC29" s="626"/>
      <c r="HD29" s="626"/>
      <c r="HE29" s="626"/>
      <c r="HF29" s="626"/>
      <c r="HG29" s="626"/>
      <c r="HH29" s="626"/>
      <c r="HI29" s="626"/>
      <c r="HJ29" s="626"/>
      <c r="HK29" s="626"/>
      <c r="HL29" s="626"/>
      <c r="HM29" s="626"/>
      <c r="HN29" s="626"/>
      <c r="HO29" s="626"/>
      <c r="HP29" s="626"/>
      <c r="HQ29" s="626"/>
      <c r="HR29" s="626"/>
      <c r="HS29" s="626"/>
      <c r="HT29" s="626"/>
      <c r="HU29" s="626"/>
      <c r="HV29" s="626"/>
      <c r="HW29" s="626"/>
      <c r="HX29" s="626"/>
      <c r="HY29" s="626"/>
      <c r="HZ29" s="626"/>
      <c r="IA29" s="626"/>
      <c r="IB29" s="626"/>
      <c r="IC29" s="626"/>
      <c r="ID29" s="626"/>
      <c r="IE29" s="626"/>
      <c r="IF29" s="626"/>
      <c r="IG29" s="626"/>
      <c r="IH29" s="626"/>
      <c r="II29" s="626"/>
      <c r="IJ29" s="626"/>
      <c r="IK29" s="626"/>
      <c r="IL29" s="626"/>
      <c r="IM29" s="626"/>
      <c r="IN29" s="626"/>
      <c r="IO29" s="626"/>
      <c r="IP29" s="626"/>
      <c r="IQ29" s="626"/>
      <c r="IR29" s="626"/>
      <c r="IS29" s="626"/>
      <c r="IT29" s="626"/>
      <c r="IU29" s="626"/>
    </row>
    <row r="30" spans="1:255" s="627" customFormat="1" ht="12.75" customHeight="1" thickBot="1" x14ac:dyDescent="0.25">
      <c r="A30" s="644" t="s">
        <v>17</v>
      </c>
      <c r="B30" s="679">
        <v>42582</v>
      </c>
      <c r="C30" s="489"/>
      <c r="D30" s="489"/>
      <c r="E30" s="292" t="s">
        <v>386</v>
      </c>
      <c r="F30" s="489"/>
      <c r="G30" s="623"/>
      <c r="H30" s="676">
        <v>49724032</v>
      </c>
      <c r="I30" s="676">
        <v>95198404</v>
      </c>
      <c r="J30" s="615" t="s">
        <v>17</v>
      </c>
      <c r="K30" s="257" t="s">
        <v>143</v>
      </c>
      <c r="L30" s="12" t="s">
        <v>219</v>
      </c>
      <c r="M30" s="12"/>
      <c r="N30" s="499"/>
      <c r="O30" s="499"/>
      <c r="P30" s="658">
        <v>69.95</v>
      </c>
      <c r="Q30" s="509"/>
      <c r="R30" s="509"/>
      <c r="S30" s="623"/>
      <c r="T30" s="677">
        <v>10.6</v>
      </c>
      <c r="U30" s="677">
        <v>1.02</v>
      </c>
      <c r="V30" s="123"/>
      <c r="W30" s="123"/>
      <c r="X30" s="123"/>
      <c r="Y30" s="624"/>
      <c r="Z30" s="625"/>
      <c r="AA30" s="625"/>
      <c r="AB30" s="625"/>
      <c r="AC30" s="625"/>
      <c r="AD30" s="625"/>
      <c r="AE30" s="625"/>
      <c r="AF30" s="625"/>
      <c r="AG30" s="625"/>
      <c r="AH30" s="625"/>
      <c r="AI30" s="625"/>
      <c r="AJ30" s="625"/>
      <c r="AK30" s="625"/>
      <c r="AL30" s="625"/>
      <c r="AM30" s="625"/>
      <c r="AN30" s="625"/>
      <c r="AO30" s="625"/>
      <c r="AP30" s="625"/>
      <c r="AQ30" s="625"/>
      <c r="AR30" s="625"/>
      <c r="AS30" s="625"/>
      <c r="AT30" s="625"/>
      <c r="AU30" s="625"/>
      <c r="AV30" s="625"/>
      <c r="AW30" s="625"/>
      <c r="AX30" s="625"/>
      <c r="AY30" s="625"/>
      <c r="AZ30" s="625"/>
      <c r="BA30" s="625"/>
      <c r="BB30" s="625"/>
      <c r="BC30" s="625"/>
      <c r="BD30" s="625"/>
      <c r="BE30" s="625"/>
      <c r="BF30" s="626"/>
      <c r="BG30" s="626"/>
      <c r="BH30" s="626"/>
      <c r="BI30" s="626"/>
      <c r="BJ30" s="626"/>
      <c r="BK30" s="626"/>
      <c r="BL30" s="626"/>
      <c r="BM30" s="626"/>
      <c r="BN30" s="626"/>
      <c r="BO30" s="626"/>
      <c r="BP30" s="626"/>
      <c r="BQ30" s="626"/>
      <c r="BR30" s="626"/>
      <c r="BS30" s="626"/>
      <c r="BT30" s="626"/>
      <c r="BU30" s="626"/>
      <c r="BV30" s="626"/>
      <c r="BW30" s="626"/>
      <c r="BX30" s="626"/>
      <c r="BY30" s="626"/>
      <c r="BZ30" s="626"/>
      <c r="CA30" s="626"/>
      <c r="CB30" s="626"/>
      <c r="CC30" s="626"/>
      <c r="CD30" s="626"/>
      <c r="CE30" s="626"/>
      <c r="CF30" s="626"/>
      <c r="CG30" s="626"/>
      <c r="CH30" s="626"/>
      <c r="CI30" s="626"/>
      <c r="CJ30" s="626"/>
      <c r="CK30" s="626"/>
      <c r="CL30" s="626"/>
      <c r="CM30" s="626"/>
      <c r="CN30" s="626"/>
      <c r="CO30" s="626"/>
      <c r="CP30" s="626"/>
      <c r="CQ30" s="626"/>
      <c r="CR30" s="626"/>
      <c r="CS30" s="626"/>
      <c r="CT30" s="626"/>
      <c r="CU30" s="626"/>
      <c r="CV30" s="626"/>
      <c r="CW30" s="626"/>
      <c r="CX30" s="626"/>
      <c r="CY30" s="626"/>
      <c r="CZ30" s="626"/>
      <c r="DA30" s="626"/>
      <c r="DB30" s="626"/>
      <c r="DC30" s="626"/>
      <c r="DD30" s="626"/>
      <c r="DE30" s="626"/>
      <c r="DF30" s="626"/>
      <c r="DG30" s="626"/>
      <c r="DH30" s="626"/>
      <c r="DI30" s="626"/>
      <c r="DJ30" s="626"/>
      <c r="DK30" s="626"/>
      <c r="DL30" s="626"/>
      <c r="DM30" s="626"/>
      <c r="DN30" s="626"/>
      <c r="DO30" s="626"/>
      <c r="DP30" s="626"/>
      <c r="DQ30" s="626"/>
      <c r="DR30" s="626"/>
      <c r="DS30" s="626"/>
      <c r="DT30" s="626"/>
      <c r="DU30" s="626"/>
      <c r="DV30" s="626"/>
      <c r="DW30" s="626"/>
      <c r="DX30" s="626"/>
      <c r="DY30" s="626"/>
      <c r="DZ30" s="626"/>
      <c r="EA30" s="626"/>
      <c r="EB30" s="626"/>
      <c r="EC30" s="626"/>
      <c r="ED30" s="626"/>
      <c r="EE30" s="626"/>
      <c r="EF30" s="626"/>
      <c r="EG30" s="626"/>
      <c r="EH30" s="626"/>
      <c r="EI30" s="626"/>
      <c r="EJ30" s="626"/>
      <c r="EK30" s="626"/>
      <c r="EL30" s="626"/>
      <c r="EM30" s="626"/>
      <c r="EN30" s="626"/>
      <c r="EO30" s="626"/>
      <c r="EP30" s="626"/>
      <c r="EQ30" s="626"/>
      <c r="ER30" s="626"/>
      <c r="ES30" s="626"/>
      <c r="ET30" s="626"/>
      <c r="EU30" s="626"/>
      <c r="EV30" s="626"/>
      <c r="EW30" s="626"/>
      <c r="EX30" s="626"/>
      <c r="EY30" s="626"/>
      <c r="EZ30" s="626"/>
      <c r="FA30" s="626"/>
      <c r="FB30" s="626"/>
      <c r="FC30" s="626"/>
      <c r="FD30" s="626"/>
      <c r="FE30" s="626"/>
      <c r="FF30" s="626"/>
      <c r="FG30" s="626"/>
      <c r="FH30" s="626"/>
      <c r="FI30" s="626"/>
      <c r="FJ30" s="626"/>
      <c r="FK30" s="626"/>
      <c r="FL30" s="626"/>
      <c r="FM30" s="626"/>
      <c r="FN30" s="626"/>
      <c r="FO30" s="626"/>
      <c r="FP30" s="626"/>
      <c r="FQ30" s="626"/>
      <c r="FR30" s="626"/>
      <c r="FS30" s="626"/>
      <c r="FT30" s="626"/>
      <c r="FU30" s="626"/>
      <c r="FV30" s="626"/>
      <c r="FW30" s="626"/>
      <c r="FX30" s="626"/>
      <c r="FY30" s="626"/>
      <c r="FZ30" s="626"/>
      <c r="GA30" s="626"/>
      <c r="GB30" s="626"/>
      <c r="GC30" s="626"/>
      <c r="GD30" s="626"/>
      <c r="GE30" s="626"/>
      <c r="GF30" s="626"/>
      <c r="GG30" s="626"/>
      <c r="GH30" s="626"/>
      <c r="GI30" s="626"/>
      <c r="GJ30" s="626"/>
      <c r="GK30" s="626"/>
      <c r="GL30" s="626"/>
      <c r="GM30" s="626"/>
      <c r="GN30" s="626"/>
      <c r="GO30" s="626"/>
      <c r="GP30" s="626"/>
      <c r="GQ30" s="626"/>
      <c r="GR30" s="626"/>
      <c r="GS30" s="626"/>
      <c r="GT30" s="626"/>
      <c r="GU30" s="626"/>
      <c r="GV30" s="626"/>
      <c r="GW30" s="626"/>
      <c r="GX30" s="626"/>
      <c r="GY30" s="626"/>
      <c r="GZ30" s="626"/>
      <c r="HA30" s="626"/>
      <c r="HB30" s="626"/>
      <c r="HC30" s="626"/>
      <c r="HD30" s="626"/>
      <c r="HE30" s="626"/>
      <c r="HF30" s="626"/>
      <c r="HG30" s="626"/>
      <c r="HH30" s="626"/>
      <c r="HI30" s="626"/>
      <c r="HJ30" s="626"/>
      <c r="HK30" s="626"/>
      <c r="HL30" s="626"/>
      <c r="HM30" s="626"/>
      <c r="HN30" s="626"/>
      <c r="HO30" s="626"/>
      <c r="HP30" s="626"/>
      <c r="HQ30" s="626"/>
      <c r="HR30" s="626"/>
      <c r="HS30" s="626"/>
      <c r="HT30" s="626"/>
      <c r="HU30" s="626"/>
      <c r="HV30" s="626"/>
      <c r="HW30" s="626"/>
      <c r="HX30" s="626"/>
      <c r="HY30" s="626"/>
      <c r="HZ30" s="626"/>
      <c r="IA30" s="626"/>
      <c r="IB30" s="626"/>
      <c r="IC30" s="626"/>
      <c r="ID30" s="626"/>
      <c r="IE30" s="626"/>
      <c r="IF30" s="626"/>
      <c r="IG30" s="626"/>
      <c r="IH30" s="626"/>
      <c r="II30" s="626"/>
      <c r="IJ30" s="626"/>
      <c r="IK30" s="626"/>
      <c r="IL30" s="626"/>
      <c r="IM30" s="626"/>
      <c r="IN30" s="626"/>
      <c r="IO30" s="626"/>
      <c r="IP30" s="626"/>
      <c r="IQ30" s="626"/>
      <c r="IR30" s="626"/>
      <c r="IS30" s="626"/>
      <c r="IT30" s="626"/>
      <c r="IU30" s="626"/>
    </row>
    <row r="31" spans="1:255" s="627" customFormat="1" ht="12.75" customHeight="1" thickBot="1" x14ac:dyDescent="0.25">
      <c r="A31" s="644" t="s">
        <v>17</v>
      </c>
      <c r="B31" s="679">
        <v>42582</v>
      </c>
      <c r="C31" s="489"/>
      <c r="D31" s="489"/>
      <c r="E31" s="292" t="s">
        <v>386</v>
      </c>
      <c r="F31" s="489"/>
      <c r="G31" s="623"/>
      <c r="H31" s="676">
        <v>49724032</v>
      </c>
      <c r="I31" s="676">
        <v>95752879</v>
      </c>
      <c r="J31" s="615" t="s">
        <v>17</v>
      </c>
      <c r="K31" s="257" t="s">
        <v>143</v>
      </c>
      <c r="L31" s="12" t="s">
        <v>219</v>
      </c>
      <c r="M31" s="12"/>
      <c r="N31" s="499"/>
      <c r="O31" s="499"/>
      <c r="P31" s="658">
        <v>68.75</v>
      </c>
      <c r="Q31" s="509"/>
      <c r="R31" s="509"/>
      <c r="S31" s="623"/>
      <c r="T31" s="677">
        <v>10.6</v>
      </c>
      <c r="U31" s="677">
        <v>1.1000000000000001</v>
      </c>
      <c r="V31" s="123"/>
      <c r="W31" s="123"/>
      <c r="X31" s="123"/>
      <c r="Y31" s="624"/>
      <c r="Z31" s="625"/>
      <c r="AA31" s="625"/>
      <c r="AB31" s="625"/>
      <c r="AC31" s="625"/>
      <c r="AD31" s="625"/>
      <c r="AE31" s="625"/>
      <c r="AF31" s="625"/>
      <c r="AG31" s="625"/>
      <c r="AH31" s="625"/>
      <c r="AI31" s="625"/>
      <c r="AJ31" s="625"/>
      <c r="AK31" s="625"/>
      <c r="AL31" s="625"/>
      <c r="AM31" s="625"/>
      <c r="AN31" s="625"/>
      <c r="AO31" s="625"/>
      <c r="AP31" s="625"/>
      <c r="AQ31" s="625"/>
      <c r="AR31" s="625"/>
      <c r="AS31" s="625"/>
      <c r="AT31" s="625"/>
      <c r="AU31" s="625"/>
      <c r="AV31" s="625"/>
      <c r="AW31" s="625"/>
      <c r="AX31" s="625"/>
      <c r="AY31" s="625"/>
      <c r="AZ31" s="625"/>
      <c r="BA31" s="625"/>
      <c r="BB31" s="625"/>
      <c r="BC31" s="625"/>
      <c r="BD31" s="625"/>
      <c r="BE31" s="625"/>
      <c r="BF31" s="626"/>
      <c r="BG31" s="626"/>
      <c r="BH31" s="626"/>
      <c r="BI31" s="626"/>
      <c r="BJ31" s="626"/>
      <c r="BK31" s="626"/>
      <c r="BL31" s="626"/>
      <c r="BM31" s="626"/>
      <c r="BN31" s="626"/>
      <c r="BO31" s="626"/>
      <c r="BP31" s="626"/>
      <c r="BQ31" s="626"/>
      <c r="BR31" s="626"/>
      <c r="BS31" s="626"/>
      <c r="BT31" s="626"/>
      <c r="BU31" s="626"/>
      <c r="BV31" s="626"/>
      <c r="BW31" s="626"/>
      <c r="BX31" s="626"/>
      <c r="BY31" s="626"/>
      <c r="BZ31" s="626"/>
      <c r="CA31" s="626"/>
      <c r="CB31" s="626"/>
      <c r="CC31" s="626"/>
      <c r="CD31" s="626"/>
      <c r="CE31" s="626"/>
      <c r="CF31" s="626"/>
      <c r="CG31" s="626"/>
      <c r="CH31" s="626"/>
      <c r="CI31" s="626"/>
      <c r="CJ31" s="626"/>
      <c r="CK31" s="626"/>
      <c r="CL31" s="626"/>
      <c r="CM31" s="626"/>
      <c r="CN31" s="626"/>
      <c r="CO31" s="626"/>
      <c r="CP31" s="626"/>
      <c r="CQ31" s="626"/>
      <c r="CR31" s="626"/>
      <c r="CS31" s="626"/>
      <c r="CT31" s="626"/>
      <c r="CU31" s="626"/>
      <c r="CV31" s="626"/>
      <c r="CW31" s="626"/>
      <c r="CX31" s="626"/>
      <c r="CY31" s="626"/>
      <c r="CZ31" s="626"/>
      <c r="DA31" s="626"/>
      <c r="DB31" s="626"/>
      <c r="DC31" s="626"/>
      <c r="DD31" s="626"/>
      <c r="DE31" s="626"/>
      <c r="DF31" s="626"/>
      <c r="DG31" s="626"/>
      <c r="DH31" s="626"/>
      <c r="DI31" s="626"/>
      <c r="DJ31" s="626"/>
      <c r="DK31" s="626"/>
      <c r="DL31" s="626"/>
      <c r="DM31" s="626"/>
      <c r="DN31" s="626"/>
      <c r="DO31" s="626"/>
      <c r="DP31" s="626"/>
      <c r="DQ31" s="626"/>
      <c r="DR31" s="626"/>
      <c r="DS31" s="626"/>
      <c r="DT31" s="626"/>
      <c r="DU31" s="626"/>
      <c r="DV31" s="626"/>
      <c r="DW31" s="626"/>
      <c r="DX31" s="626"/>
      <c r="DY31" s="626"/>
      <c r="DZ31" s="626"/>
      <c r="EA31" s="626"/>
      <c r="EB31" s="626"/>
      <c r="EC31" s="626"/>
      <c r="ED31" s="626"/>
      <c r="EE31" s="626"/>
      <c r="EF31" s="626"/>
      <c r="EG31" s="626"/>
      <c r="EH31" s="626"/>
      <c r="EI31" s="626"/>
      <c r="EJ31" s="626"/>
      <c r="EK31" s="626"/>
      <c r="EL31" s="626"/>
      <c r="EM31" s="626"/>
      <c r="EN31" s="626"/>
      <c r="EO31" s="626"/>
      <c r="EP31" s="626"/>
      <c r="EQ31" s="626"/>
      <c r="ER31" s="626"/>
      <c r="ES31" s="626"/>
      <c r="ET31" s="626"/>
      <c r="EU31" s="626"/>
      <c r="EV31" s="626"/>
      <c r="EW31" s="626"/>
      <c r="EX31" s="626"/>
      <c r="EY31" s="626"/>
      <c r="EZ31" s="626"/>
      <c r="FA31" s="626"/>
      <c r="FB31" s="626"/>
      <c r="FC31" s="626"/>
      <c r="FD31" s="626"/>
      <c r="FE31" s="626"/>
      <c r="FF31" s="626"/>
      <c r="FG31" s="626"/>
      <c r="FH31" s="626"/>
      <c r="FI31" s="626"/>
      <c r="FJ31" s="626"/>
      <c r="FK31" s="626"/>
      <c r="FL31" s="626"/>
      <c r="FM31" s="626"/>
      <c r="FN31" s="626"/>
      <c r="FO31" s="626"/>
      <c r="FP31" s="626"/>
      <c r="FQ31" s="626"/>
      <c r="FR31" s="626"/>
      <c r="FS31" s="626"/>
      <c r="FT31" s="626"/>
      <c r="FU31" s="626"/>
      <c r="FV31" s="626"/>
      <c r="FW31" s="626"/>
      <c r="FX31" s="626"/>
      <c r="FY31" s="626"/>
      <c r="FZ31" s="626"/>
      <c r="GA31" s="626"/>
      <c r="GB31" s="626"/>
      <c r="GC31" s="626"/>
      <c r="GD31" s="626"/>
      <c r="GE31" s="626"/>
      <c r="GF31" s="626"/>
      <c r="GG31" s="626"/>
      <c r="GH31" s="626"/>
      <c r="GI31" s="626"/>
      <c r="GJ31" s="626"/>
      <c r="GK31" s="626"/>
      <c r="GL31" s="626"/>
      <c r="GM31" s="626"/>
      <c r="GN31" s="626"/>
      <c r="GO31" s="626"/>
      <c r="GP31" s="626"/>
      <c r="GQ31" s="626"/>
      <c r="GR31" s="626"/>
      <c r="GS31" s="626"/>
      <c r="GT31" s="626"/>
      <c r="GU31" s="626"/>
      <c r="GV31" s="626"/>
      <c r="GW31" s="626"/>
      <c r="GX31" s="626"/>
      <c r="GY31" s="626"/>
      <c r="GZ31" s="626"/>
      <c r="HA31" s="626"/>
      <c r="HB31" s="626"/>
      <c r="HC31" s="626"/>
      <c r="HD31" s="626"/>
      <c r="HE31" s="626"/>
      <c r="HF31" s="626"/>
      <c r="HG31" s="626"/>
      <c r="HH31" s="626"/>
      <c r="HI31" s="626"/>
      <c r="HJ31" s="626"/>
      <c r="HK31" s="626"/>
      <c r="HL31" s="626"/>
      <c r="HM31" s="626"/>
      <c r="HN31" s="626"/>
      <c r="HO31" s="626"/>
      <c r="HP31" s="626"/>
      <c r="HQ31" s="626"/>
      <c r="HR31" s="626"/>
      <c r="HS31" s="626"/>
      <c r="HT31" s="626"/>
      <c r="HU31" s="626"/>
      <c r="HV31" s="626"/>
      <c r="HW31" s="626"/>
      <c r="HX31" s="626"/>
      <c r="HY31" s="626"/>
      <c r="HZ31" s="626"/>
      <c r="IA31" s="626"/>
      <c r="IB31" s="626"/>
      <c r="IC31" s="626"/>
      <c r="ID31" s="626"/>
      <c r="IE31" s="626"/>
      <c r="IF31" s="626"/>
      <c r="IG31" s="626"/>
      <c r="IH31" s="626"/>
      <c r="II31" s="626"/>
      <c r="IJ31" s="626"/>
      <c r="IK31" s="626"/>
      <c r="IL31" s="626"/>
      <c r="IM31" s="626"/>
      <c r="IN31" s="626"/>
      <c r="IO31" s="626"/>
      <c r="IP31" s="626"/>
      <c r="IQ31" s="626"/>
      <c r="IR31" s="626"/>
      <c r="IS31" s="626"/>
      <c r="IT31" s="626"/>
      <c r="IU31" s="626"/>
    </row>
    <row r="32" spans="1:255" s="627" customFormat="1" ht="12.75" customHeight="1" thickBot="1" x14ac:dyDescent="0.25">
      <c r="A32" s="644" t="s">
        <v>17</v>
      </c>
      <c r="B32" s="679">
        <v>42583</v>
      </c>
      <c r="C32" s="489"/>
      <c r="D32" s="489"/>
      <c r="E32" s="292" t="s">
        <v>386</v>
      </c>
      <c r="F32" s="489"/>
      <c r="G32" s="623"/>
      <c r="H32" s="676">
        <v>49724032</v>
      </c>
      <c r="I32" s="676">
        <v>95796256</v>
      </c>
      <c r="J32" s="615" t="s">
        <v>17</v>
      </c>
      <c r="K32" s="257" t="s">
        <v>143</v>
      </c>
      <c r="L32" s="12" t="s">
        <v>219</v>
      </c>
      <c r="M32" s="12"/>
      <c r="N32" s="499"/>
      <c r="O32" s="499"/>
      <c r="P32" s="658">
        <v>68.599999999999994</v>
      </c>
      <c r="Q32" s="509"/>
      <c r="R32" s="509"/>
      <c r="S32" s="623"/>
      <c r="T32" s="677">
        <v>11.9</v>
      </c>
      <c r="U32" s="677">
        <v>1.26</v>
      </c>
      <c r="V32" s="123"/>
      <c r="W32" s="123"/>
      <c r="X32" s="123"/>
      <c r="Y32" s="624"/>
      <c r="Z32" s="625"/>
      <c r="AA32" s="625"/>
      <c r="AB32" s="625"/>
      <c r="AC32" s="625"/>
      <c r="AD32" s="625"/>
      <c r="AE32" s="625"/>
      <c r="AF32" s="625"/>
      <c r="AG32" s="625"/>
      <c r="AH32" s="625"/>
      <c r="AI32" s="625"/>
      <c r="AJ32" s="625"/>
      <c r="AK32" s="625"/>
      <c r="AL32" s="625"/>
      <c r="AM32" s="625"/>
      <c r="AN32" s="625"/>
      <c r="AO32" s="625"/>
      <c r="AP32" s="625"/>
      <c r="AQ32" s="625"/>
      <c r="AR32" s="625"/>
      <c r="AS32" s="625"/>
      <c r="AT32" s="625"/>
      <c r="AU32" s="625"/>
      <c r="AV32" s="625"/>
      <c r="AW32" s="625"/>
      <c r="AX32" s="625"/>
      <c r="AY32" s="625"/>
      <c r="AZ32" s="625"/>
      <c r="BA32" s="625"/>
      <c r="BB32" s="625"/>
      <c r="BC32" s="625"/>
      <c r="BD32" s="625"/>
      <c r="BE32" s="625"/>
      <c r="BF32" s="626"/>
      <c r="BG32" s="626"/>
      <c r="BH32" s="626"/>
      <c r="BI32" s="626"/>
      <c r="BJ32" s="626"/>
      <c r="BK32" s="626"/>
      <c r="BL32" s="626"/>
      <c r="BM32" s="626"/>
      <c r="BN32" s="626"/>
      <c r="BO32" s="626"/>
      <c r="BP32" s="626"/>
      <c r="BQ32" s="626"/>
      <c r="BR32" s="626"/>
      <c r="BS32" s="626"/>
      <c r="BT32" s="626"/>
      <c r="BU32" s="626"/>
      <c r="BV32" s="626"/>
      <c r="BW32" s="626"/>
      <c r="BX32" s="626"/>
      <c r="BY32" s="626"/>
      <c r="BZ32" s="626"/>
      <c r="CA32" s="626"/>
      <c r="CB32" s="626"/>
      <c r="CC32" s="626"/>
      <c r="CD32" s="626"/>
      <c r="CE32" s="626"/>
      <c r="CF32" s="626"/>
      <c r="CG32" s="626"/>
      <c r="CH32" s="626"/>
      <c r="CI32" s="626"/>
      <c r="CJ32" s="626"/>
      <c r="CK32" s="626"/>
      <c r="CL32" s="626"/>
      <c r="CM32" s="626"/>
      <c r="CN32" s="626"/>
      <c r="CO32" s="626"/>
      <c r="CP32" s="626"/>
      <c r="CQ32" s="626"/>
      <c r="CR32" s="626"/>
      <c r="CS32" s="626"/>
      <c r="CT32" s="626"/>
      <c r="CU32" s="626"/>
      <c r="CV32" s="626"/>
      <c r="CW32" s="626"/>
      <c r="CX32" s="626"/>
      <c r="CY32" s="626"/>
      <c r="CZ32" s="626"/>
      <c r="DA32" s="626"/>
      <c r="DB32" s="626"/>
      <c r="DC32" s="626"/>
      <c r="DD32" s="626"/>
      <c r="DE32" s="626"/>
      <c r="DF32" s="626"/>
      <c r="DG32" s="626"/>
      <c r="DH32" s="626"/>
      <c r="DI32" s="626"/>
      <c r="DJ32" s="626"/>
      <c r="DK32" s="626"/>
      <c r="DL32" s="626"/>
      <c r="DM32" s="626"/>
      <c r="DN32" s="626"/>
      <c r="DO32" s="626"/>
      <c r="DP32" s="626"/>
      <c r="DQ32" s="626"/>
      <c r="DR32" s="626"/>
      <c r="DS32" s="626"/>
      <c r="DT32" s="626"/>
      <c r="DU32" s="626"/>
      <c r="DV32" s="626"/>
      <c r="DW32" s="626"/>
      <c r="DX32" s="626"/>
      <c r="DY32" s="626"/>
      <c r="DZ32" s="626"/>
      <c r="EA32" s="626"/>
      <c r="EB32" s="626"/>
      <c r="EC32" s="626"/>
      <c r="ED32" s="626"/>
      <c r="EE32" s="626"/>
      <c r="EF32" s="626"/>
      <c r="EG32" s="626"/>
      <c r="EH32" s="626"/>
      <c r="EI32" s="626"/>
      <c r="EJ32" s="626"/>
      <c r="EK32" s="626"/>
      <c r="EL32" s="626"/>
      <c r="EM32" s="626"/>
      <c r="EN32" s="626"/>
      <c r="EO32" s="626"/>
      <c r="EP32" s="626"/>
      <c r="EQ32" s="626"/>
      <c r="ER32" s="626"/>
      <c r="ES32" s="626"/>
      <c r="ET32" s="626"/>
      <c r="EU32" s="626"/>
      <c r="EV32" s="626"/>
      <c r="EW32" s="626"/>
      <c r="EX32" s="626"/>
      <c r="EY32" s="626"/>
      <c r="EZ32" s="626"/>
      <c r="FA32" s="626"/>
      <c r="FB32" s="626"/>
      <c r="FC32" s="626"/>
      <c r="FD32" s="626"/>
      <c r="FE32" s="626"/>
      <c r="FF32" s="626"/>
      <c r="FG32" s="626"/>
      <c r="FH32" s="626"/>
      <c r="FI32" s="626"/>
      <c r="FJ32" s="626"/>
      <c r="FK32" s="626"/>
      <c r="FL32" s="626"/>
      <c r="FM32" s="626"/>
      <c r="FN32" s="626"/>
      <c r="FO32" s="626"/>
      <c r="FP32" s="626"/>
      <c r="FQ32" s="626"/>
      <c r="FR32" s="626"/>
      <c r="FS32" s="626"/>
      <c r="FT32" s="626"/>
      <c r="FU32" s="626"/>
      <c r="FV32" s="626"/>
      <c r="FW32" s="626"/>
      <c r="FX32" s="626"/>
      <c r="FY32" s="626"/>
      <c r="FZ32" s="626"/>
      <c r="GA32" s="626"/>
      <c r="GB32" s="626"/>
      <c r="GC32" s="626"/>
      <c r="GD32" s="626"/>
      <c r="GE32" s="626"/>
      <c r="GF32" s="626"/>
      <c r="GG32" s="626"/>
      <c r="GH32" s="626"/>
      <c r="GI32" s="626"/>
      <c r="GJ32" s="626"/>
      <c r="GK32" s="626"/>
      <c r="GL32" s="626"/>
      <c r="GM32" s="626"/>
      <c r="GN32" s="626"/>
      <c r="GO32" s="626"/>
      <c r="GP32" s="626"/>
      <c r="GQ32" s="626"/>
      <c r="GR32" s="626"/>
      <c r="GS32" s="626"/>
      <c r="GT32" s="626"/>
      <c r="GU32" s="626"/>
      <c r="GV32" s="626"/>
      <c r="GW32" s="626"/>
      <c r="GX32" s="626"/>
      <c r="GY32" s="626"/>
      <c r="GZ32" s="626"/>
      <c r="HA32" s="626"/>
      <c r="HB32" s="626"/>
      <c r="HC32" s="626"/>
      <c r="HD32" s="626"/>
      <c r="HE32" s="626"/>
      <c r="HF32" s="626"/>
      <c r="HG32" s="626"/>
      <c r="HH32" s="626"/>
      <c r="HI32" s="626"/>
      <c r="HJ32" s="626"/>
      <c r="HK32" s="626"/>
      <c r="HL32" s="626"/>
      <c r="HM32" s="626"/>
      <c r="HN32" s="626"/>
      <c r="HO32" s="626"/>
      <c r="HP32" s="626"/>
      <c r="HQ32" s="626"/>
      <c r="HR32" s="626"/>
      <c r="HS32" s="626"/>
      <c r="HT32" s="626"/>
      <c r="HU32" s="626"/>
      <c r="HV32" s="626"/>
      <c r="HW32" s="626"/>
      <c r="HX32" s="626"/>
      <c r="HY32" s="626"/>
      <c r="HZ32" s="626"/>
      <c r="IA32" s="626"/>
      <c r="IB32" s="626"/>
      <c r="IC32" s="626"/>
      <c r="ID32" s="626"/>
      <c r="IE32" s="626"/>
      <c r="IF32" s="626"/>
      <c r="IG32" s="626"/>
      <c r="IH32" s="626"/>
      <c r="II32" s="626"/>
      <c r="IJ32" s="626"/>
      <c r="IK32" s="626"/>
      <c r="IL32" s="626"/>
      <c r="IM32" s="626"/>
      <c r="IN32" s="626"/>
      <c r="IO32" s="626"/>
      <c r="IP32" s="626"/>
      <c r="IQ32" s="626"/>
      <c r="IR32" s="626"/>
      <c r="IS32" s="626"/>
      <c r="IT32" s="626"/>
      <c r="IU32" s="626"/>
    </row>
    <row r="33" spans="1:255" s="627" customFormat="1" ht="12.75" customHeight="1" thickBot="1" x14ac:dyDescent="0.25">
      <c r="A33" s="644" t="s">
        <v>17</v>
      </c>
      <c r="B33" s="679">
        <v>42580</v>
      </c>
      <c r="C33" s="489"/>
      <c r="D33" s="489"/>
      <c r="E33" s="678" t="s">
        <v>320</v>
      </c>
      <c r="F33" s="489"/>
      <c r="G33" s="623"/>
      <c r="H33" s="676">
        <v>212</v>
      </c>
      <c r="I33" s="678" t="s">
        <v>327</v>
      </c>
      <c r="J33" s="615" t="s">
        <v>17</v>
      </c>
      <c r="K33" s="118" t="s">
        <v>145</v>
      </c>
      <c r="L33" s="12" t="s">
        <v>148</v>
      </c>
      <c r="M33" s="12"/>
      <c r="N33" s="499"/>
      <c r="O33" s="499"/>
      <c r="P33" s="658">
        <v>40.22</v>
      </c>
      <c r="Q33" s="509"/>
      <c r="R33" s="509"/>
      <c r="S33" s="623"/>
      <c r="T33" s="677">
        <v>12.2</v>
      </c>
      <c r="U33" s="677">
        <v>0.88</v>
      </c>
      <c r="V33" s="123"/>
      <c r="W33" s="123"/>
      <c r="X33" s="123"/>
      <c r="Y33" s="624"/>
      <c r="Z33" s="625"/>
      <c r="AA33" s="625"/>
      <c r="AB33" s="625"/>
      <c r="AC33" s="625"/>
      <c r="AD33" s="625"/>
      <c r="AE33" s="625"/>
      <c r="AF33" s="625"/>
      <c r="AG33" s="625"/>
      <c r="AH33" s="625"/>
      <c r="AI33" s="625"/>
      <c r="AJ33" s="625"/>
      <c r="AK33" s="625"/>
      <c r="AL33" s="625"/>
      <c r="AM33" s="625"/>
      <c r="AN33" s="625"/>
      <c r="AO33" s="625"/>
      <c r="AP33" s="625"/>
      <c r="AQ33" s="625"/>
      <c r="AR33" s="625"/>
      <c r="AS33" s="625"/>
      <c r="AT33" s="625"/>
      <c r="AU33" s="625"/>
      <c r="AV33" s="625"/>
      <c r="AW33" s="625"/>
      <c r="AX33" s="625"/>
      <c r="AY33" s="625"/>
      <c r="AZ33" s="625"/>
      <c r="BA33" s="625"/>
      <c r="BB33" s="625"/>
      <c r="BC33" s="625"/>
      <c r="BD33" s="625"/>
      <c r="BE33" s="625"/>
      <c r="BF33" s="626"/>
      <c r="BG33" s="626"/>
      <c r="BH33" s="626"/>
      <c r="BI33" s="626"/>
      <c r="BJ33" s="626"/>
      <c r="BK33" s="626"/>
      <c r="BL33" s="626"/>
      <c r="BM33" s="626"/>
      <c r="BN33" s="626"/>
      <c r="BO33" s="626"/>
      <c r="BP33" s="626"/>
      <c r="BQ33" s="626"/>
      <c r="BR33" s="626"/>
      <c r="BS33" s="626"/>
      <c r="BT33" s="626"/>
      <c r="BU33" s="626"/>
      <c r="BV33" s="626"/>
      <c r="BW33" s="626"/>
      <c r="BX33" s="626"/>
      <c r="BY33" s="626"/>
      <c r="BZ33" s="626"/>
      <c r="CA33" s="626"/>
      <c r="CB33" s="626"/>
      <c r="CC33" s="626"/>
      <c r="CD33" s="626"/>
      <c r="CE33" s="626"/>
      <c r="CF33" s="626"/>
      <c r="CG33" s="626"/>
      <c r="CH33" s="626"/>
      <c r="CI33" s="626"/>
      <c r="CJ33" s="626"/>
      <c r="CK33" s="626"/>
      <c r="CL33" s="626"/>
      <c r="CM33" s="626"/>
      <c r="CN33" s="626"/>
      <c r="CO33" s="626"/>
      <c r="CP33" s="626"/>
      <c r="CQ33" s="626"/>
      <c r="CR33" s="626"/>
      <c r="CS33" s="626"/>
      <c r="CT33" s="626"/>
      <c r="CU33" s="626"/>
      <c r="CV33" s="626"/>
      <c r="CW33" s="626"/>
      <c r="CX33" s="626"/>
      <c r="CY33" s="626"/>
      <c r="CZ33" s="626"/>
      <c r="DA33" s="626"/>
      <c r="DB33" s="626"/>
      <c r="DC33" s="626"/>
      <c r="DD33" s="626"/>
      <c r="DE33" s="626"/>
      <c r="DF33" s="626"/>
      <c r="DG33" s="626"/>
      <c r="DH33" s="626"/>
      <c r="DI33" s="626"/>
      <c r="DJ33" s="626"/>
      <c r="DK33" s="626"/>
      <c r="DL33" s="626"/>
      <c r="DM33" s="626"/>
      <c r="DN33" s="626"/>
      <c r="DO33" s="626"/>
      <c r="DP33" s="626"/>
      <c r="DQ33" s="626"/>
      <c r="DR33" s="626"/>
      <c r="DS33" s="626"/>
      <c r="DT33" s="626"/>
      <c r="DU33" s="626"/>
      <c r="DV33" s="626"/>
      <c r="DW33" s="626"/>
      <c r="DX33" s="626"/>
      <c r="DY33" s="626"/>
      <c r="DZ33" s="626"/>
      <c r="EA33" s="626"/>
      <c r="EB33" s="626"/>
      <c r="EC33" s="626"/>
      <c r="ED33" s="626"/>
      <c r="EE33" s="626"/>
      <c r="EF33" s="626"/>
      <c r="EG33" s="626"/>
      <c r="EH33" s="626"/>
      <c r="EI33" s="626"/>
      <c r="EJ33" s="626"/>
      <c r="EK33" s="626"/>
      <c r="EL33" s="626"/>
      <c r="EM33" s="626"/>
      <c r="EN33" s="626"/>
      <c r="EO33" s="626"/>
      <c r="EP33" s="626"/>
      <c r="EQ33" s="626"/>
      <c r="ER33" s="626"/>
      <c r="ES33" s="626"/>
      <c r="ET33" s="626"/>
      <c r="EU33" s="626"/>
      <c r="EV33" s="626"/>
      <c r="EW33" s="626"/>
      <c r="EX33" s="626"/>
      <c r="EY33" s="626"/>
      <c r="EZ33" s="626"/>
      <c r="FA33" s="626"/>
      <c r="FB33" s="626"/>
      <c r="FC33" s="626"/>
      <c r="FD33" s="626"/>
      <c r="FE33" s="626"/>
      <c r="FF33" s="626"/>
      <c r="FG33" s="626"/>
      <c r="FH33" s="626"/>
      <c r="FI33" s="626"/>
      <c r="FJ33" s="626"/>
      <c r="FK33" s="626"/>
      <c r="FL33" s="626"/>
      <c r="FM33" s="626"/>
      <c r="FN33" s="626"/>
      <c r="FO33" s="626"/>
      <c r="FP33" s="626"/>
      <c r="FQ33" s="626"/>
      <c r="FR33" s="626"/>
      <c r="FS33" s="626"/>
      <c r="FT33" s="626"/>
      <c r="FU33" s="626"/>
      <c r="FV33" s="626"/>
      <c r="FW33" s="626"/>
      <c r="FX33" s="626"/>
      <c r="FY33" s="626"/>
      <c r="FZ33" s="626"/>
      <c r="GA33" s="626"/>
      <c r="GB33" s="626"/>
      <c r="GC33" s="626"/>
      <c r="GD33" s="626"/>
      <c r="GE33" s="626"/>
      <c r="GF33" s="626"/>
      <c r="GG33" s="626"/>
      <c r="GH33" s="626"/>
      <c r="GI33" s="626"/>
      <c r="GJ33" s="626"/>
      <c r="GK33" s="626"/>
      <c r="GL33" s="626"/>
      <c r="GM33" s="626"/>
      <c r="GN33" s="626"/>
      <c r="GO33" s="626"/>
      <c r="GP33" s="626"/>
      <c r="GQ33" s="626"/>
      <c r="GR33" s="626"/>
      <c r="GS33" s="626"/>
      <c r="GT33" s="626"/>
      <c r="GU33" s="626"/>
      <c r="GV33" s="626"/>
      <c r="GW33" s="626"/>
      <c r="GX33" s="626"/>
      <c r="GY33" s="626"/>
      <c r="GZ33" s="626"/>
      <c r="HA33" s="626"/>
      <c r="HB33" s="626"/>
      <c r="HC33" s="626"/>
      <c r="HD33" s="626"/>
      <c r="HE33" s="626"/>
      <c r="HF33" s="626"/>
      <c r="HG33" s="626"/>
      <c r="HH33" s="626"/>
      <c r="HI33" s="626"/>
      <c r="HJ33" s="626"/>
      <c r="HK33" s="626"/>
      <c r="HL33" s="626"/>
      <c r="HM33" s="626"/>
      <c r="HN33" s="626"/>
      <c r="HO33" s="626"/>
      <c r="HP33" s="626"/>
      <c r="HQ33" s="626"/>
      <c r="HR33" s="626"/>
      <c r="HS33" s="626"/>
      <c r="HT33" s="626"/>
      <c r="HU33" s="626"/>
      <c r="HV33" s="626"/>
      <c r="HW33" s="626"/>
      <c r="HX33" s="626"/>
      <c r="HY33" s="626"/>
      <c r="HZ33" s="626"/>
      <c r="IA33" s="626"/>
      <c r="IB33" s="626"/>
      <c r="IC33" s="626"/>
      <c r="ID33" s="626"/>
      <c r="IE33" s="626"/>
      <c r="IF33" s="626"/>
      <c r="IG33" s="626"/>
      <c r="IH33" s="626"/>
      <c r="II33" s="626"/>
      <c r="IJ33" s="626"/>
      <c r="IK33" s="626"/>
      <c r="IL33" s="626"/>
      <c r="IM33" s="626"/>
      <c r="IN33" s="626"/>
      <c r="IO33" s="626"/>
      <c r="IP33" s="626"/>
      <c r="IQ33" s="626"/>
      <c r="IR33" s="626"/>
      <c r="IS33" s="626"/>
      <c r="IT33" s="626"/>
      <c r="IU33" s="626"/>
    </row>
    <row r="34" spans="1:255" s="627" customFormat="1" ht="12.75" customHeight="1" thickBot="1" x14ac:dyDescent="0.25">
      <c r="A34" s="644" t="s">
        <v>17</v>
      </c>
      <c r="B34" s="679">
        <v>42581</v>
      </c>
      <c r="C34" s="489"/>
      <c r="D34" s="489"/>
      <c r="E34" s="678" t="s">
        <v>361</v>
      </c>
      <c r="F34" s="489"/>
      <c r="G34" s="623"/>
      <c r="H34" s="676">
        <v>348887</v>
      </c>
      <c r="I34" s="678" t="s">
        <v>359</v>
      </c>
      <c r="J34" s="615" t="s">
        <v>17</v>
      </c>
      <c r="K34" s="118" t="s">
        <v>145</v>
      </c>
      <c r="L34" s="12" t="s">
        <v>148</v>
      </c>
      <c r="M34" s="12"/>
      <c r="N34" s="499"/>
      <c r="O34" s="499"/>
      <c r="P34" s="658">
        <v>22.12</v>
      </c>
      <c r="Q34" s="509"/>
      <c r="R34" s="509"/>
      <c r="S34" s="623"/>
      <c r="T34" s="677">
        <v>12.4</v>
      </c>
      <c r="U34" s="677">
        <v>2</v>
      </c>
      <c r="V34" s="123"/>
      <c r="W34" s="123"/>
      <c r="X34" s="123"/>
      <c r="Y34" s="624"/>
      <c r="Z34" s="625"/>
      <c r="AA34" s="625"/>
      <c r="AB34" s="625"/>
      <c r="AC34" s="625"/>
      <c r="AD34" s="625"/>
      <c r="AE34" s="625"/>
      <c r="AF34" s="625"/>
      <c r="AG34" s="625"/>
      <c r="AH34" s="625"/>
      <c r="AI34" s="625"/>
      <c r="AJ34" s="625"/>
      <c r="AK34" s="625"/>
      <c r="AL34" s="625"/>
      <c r="AM34" s="625"/>
      <c r="AN34" s="625"/>
      <c r="AO34" s="625"/>
      <c r="AP34" s="625"/>
      <c r="AQ34" s="625"/>
      <c r="AR34" s="625"/>
      <c r="AS34" s="625"/>
      <c r="AT34" s="625"/>
      <c r="AU34" s="625"/>
      <c r="AV34" s="625"/>
      <c r="AW34" s="625"/>
      <c r="AX34" s="625"/>
      <c r="AY34" s="625"/>
      <c r="AZ34" s="625"/>
      <c r="BA34" s="625"/>
      <c r="BB34" s="625"/>
      <c r="BC34" s="625"/>
      <c r="BD34" s="625"/>
      <c r="BE34" s="625"/>
      <c r="BF34" s="626"/>
      <c r="BG34" s="626"/>
      <c r="BH34" s="626"/>
      <c r="BI34" s="626"/>
      <c r="BJ34" s="626"/>
      <c r="BK34" s="626"/>
      <c r="BL34" s="626"/>
      <c r="BM34" s="626"/>
      <c r="BN34" s="626"/>
      <c r="BO34" s="626"/>
      <c r="BP34" s="626"/>
      <c r="BQ34" s="626"/>
      <c r="BR34" s="626"/>
      <c r="BS34" s="626"/>
      <c r="BT34" s="626"/>
      <c r="BU34" s="626"/>
      <c r="BV34" s="626"/>
      <c r="BW34" s="626"/>
      <c r="BX34" s="626"/>
      <c r="BY34" s="626"/>
      <c r="BZ34" s="626"/>
      <c r="CA34" s="626"/>
      <c r="CB34" s="626"/>
      <c r="CC34" s="626"/>
      <c r="CD34" s="626"/>
      <c r="CE34" s="626"/>
      <c r="CF34" s="626"/>
      <c r="CG34" s="626"/>
      <c r="CH34" s="626"/>
      <c r="CI34" s="626"/>
      <c r="CJ34" s="626"/>
      <c r="CK34" s="626"/>
      <c r="CL34" s="626"/>
      <c r="CM34" s="626"/>
      <c r="CN34" s="626"/>
      <c r="CO34" s="626"/>
      <c r="CP34" s="626"/>
      <c r="CQ34" s="626"/>
      <c r="CR34" s="626"/>
      <c r="CS34" s="626"/>
      <c r="CT34" s="626"/>
      <c r="CU34" s="626"/>
      <c r="CV34" s="626"/>
      <c r="CW34" s="626"/>
      <c r="CX34" s="626"/>
      <c r="CY34" s="626"/>
      <c r="CZ34" s="626"/>
      <c r="DA34" s="626"/>
      <c r="DB34" s="626"/>
      <c r="DC34" s="626"/>
      <c r="DD34" s="626"/>
      <c r="DE34" s="626"/>
      <c r="DF34" s="626"/>
      <c r="DG34" s="626"/>
      <c r="DH34" s="626"/>
      <c r="DI34" s="626"/>
      <c r="DJ34" s="626"/>
      <c r="DK34" s="626"/>
      <c r="DL34" s="626"/>
      <c r="DM34" s="626"/>
      <c r="DN34" s="626"/>
      <c r="DO34" s="626"/>
      <c r="DP34" s="626"/>
      <c r="DQ34" s="626"/>
      <c r="DR34" s="626"/>
      <c r="DS34" s="626"/>
      <c r="DT34" s="626"/>
      <c r="DU34" s="626"/>
      <c r="DV34" s="626"/>
      <c r="DW34" s="626"/>
      <c r="DX34" s="626"/>
      <c r="DY34" s="626"/>
      <c r="DZ34" s="626"/>
      <c r="EA34" s="626"/>
      <c r="EB34" s="626"/>
      <c r="EC34" s="626"/>
      <c r="ED34" s="626"/>
      <c r="EE34" s="626"/>
      <c r="EF34" s="626"/>
      <c r="EG34" s="626"/>
      <c r="EH34" s="626"/>
      <c r="EI34" s="626"/>
      <c r="EJ34" s="626"/>
      <c r="EK34" s="626"/>
      <c r="EL34" s="626"/>
      <c r="EM34" s="626"/>
      <c r="EN34" s="626"/>
      <c r="EO34" s="626"/>
      <c r="EP34" s="626"/>
      <c r="EQ34" s="626"/>
      <c r="ER34" s="626"/>
      <c r="ES34" s="626"/>
      <c r="ET34" s="626"/>
      <c r="EU34" s="626"/>
      <c r="EV34" s="626"/>
      <c r="EW34" s="626"/>
      <c r="EX34" s="626"/>
      <c r="EY34" s="626"/>
      <c r="EZ34" s="626"/>
      <c r="FA34" s="626"/>
      <c r="FB34" s="626"/>
      <c r="FC34" s="626"/>
      <c r="FD34" s="626"/>
      <c r="FE34" s="626"/>
      <c r="FF34" s="626"/>
      <c r="FG34" s="626"/>
      <c r="FH34" s="626"/>
      <c r="FI34" s="626"/>
      <c r="FJ34" s="626"/>
      <c r="FK34" s="626"/>
      <c r="FL34" s="626"/>
      <c r="FM34" s="626"/>
      <c r="FN34" s="626"/>
      <c r="FO34" s="626"/>
      <c r="FP34" s="626"/>
      <c r="FQ34" s="626"/>
      <c r="FR34" s="626"/>
      <c r="FS34" s="626"/>
      <c r="FT34" s="626"/>
      <c r="FU34" s="626"/>
      <c r="FV34" s="626"/>
      <c r="FW34" s="626"/>
      <c r="FX34" s="626"/>
      <c r="FY34" s="626"/>
      <c r="FZ34" s="626"/>
      <c r="GA34" s="626"/>
      <c r="GB34" s="626"/>
      <c r="GC34" s="626"/>
      <c r="GD34" s="626"/>
      <c r="GE34" s="626"/>
      <c r="GF34" s="626"/>
      <c r="GG34" s="626"/>
      <c r="GH34" s="626"/>
      <c r="GI34" s="626"/>
      <c r="GJ34" s="626"/>
      <c r="GK34" s="626"/>
      <c r="GL34" s="626"/>
      <c r="GM34" s="626"/>
      <c r="GN34" s="626"/>
      <c r="GO34" s="626"/>
      <c r="GP34" s="626"/>
      <c r="GQ34" s="626"/>
      <c r="GR34" s="626"/>
      <c r="GS34" s="626"/>
      <c r="GT34" s="626"/>
      <c r="GU34" s="626"/>
      <c r="GV34" s="626"/>
      <c r="GW34" s="626"/>
      <c r="GX34" s="626"/>
      <c r="GY34" s="626"/>
      <c r="GZ34" s="626"/>
      <c r="HA34" s="626"/>
      <c r="HB34" s="626"/>
      <c r="HC34" s="626"/>
      <c r="HD34" s="626"/>
      <c r="HE34" s="626"/>
      <c r="HF34" s="626"/>
      <c r="HG34" s="626"/>
      <c r="HH34" s="626"/>
      <c r="HI34" s="626"/>
      <c r="HJ34" s="626"/>
      <c r="HK34" s="626"/>
      <c r="HL34" s="626"/>
      <c r="HM34" s="626"/>
      <c r="HN34" s="626"/>
      <c r="HO34" s="626"/>
      <c r="HP34" s="626"/>
      <c r="HQ34" s="626"/>
      <c r="HR34" s="626"/>
      <c r="HS34" s="626"/>
      <c r="HT34" s="626"/>
      <c r="HU34" s="626"/>
      <c r="HV34" s="626"/>
      <c r="HW34" s="626"/>
      <c r="HX34" s="626"/>
      <c r="HY34" s="626"/>
      <c r="HZ34" s="626"/>
      <c r="IA34" s="626"/>
      <c r="IB34" s="626"/>
      <c r="IC34" s="626"/>
      <c r="ID34" s="626"/>
      <c r="IE34" s="626"/>
      <c r="IF34" s="626"/>
      <c r="IG34" s="626"/>
      <c r="IH34" s="626"/>
      <c r="II34" s="626"/>
      <c r="IJ34" s="626"/>
      <c r="IK34" s="626"/>
      <c r="IL34" s="626"/>
      <c r="IM34" s="626"/>
      <c r="IN34" s="626"/>
      <c r="IO34" s="626"/>
      <c r="IP34" s="626"/>
      <c r="IQ34" s="626"/>
      <c r="IR34" s="626"/>
      <c r="IS34" s="626"/>
      <c r="IT34" s="626"/>
      <c r="IU34" s="626"/>
    </row>
    <row r="35" spans="1:255" s="627" customFormat="1" ht="12.75" customHeight="1" thickBot="1" x14ac:dyDescent="0.25">
      <c r="A35" s="644" t="s">
        <v>17</v>
      </c>
      <c r="B35" s="679">
        <v>42581</v>
      </c>
      <c r="C35" s="489"/>
      <c r="D35" s="489"/>
      <c r="E35" s="292" t="s">
        <v>387</v>
      </c>
      <c r="F35" s="489"/>
      <c r="G35" s="623"/>
      <c r="H35" s="676">
        <v>49701295</v>
      </c>
      <c r="I35" s="676">
        <v>53200630</v>
      </c>
      <c r="J35" s="615" t="s">
        <v>17</v>
      </c>
      <c r="K35" s="118" t="s">
        <v>145</v>
      </c>
      <c r="L35" s="12" t="s">
        <v>148</v>
      </c>
      <c r="M35" s="12"/>
      <c r="N35" s="499"/>
      <c r="O35" s="499"/>
      <c r="P35" s="658">
        <v>69.2</v>
      </c>
      <c r="Q35" s="509"/>
      <c r="R35" s="509"/>
      <c r="S35" s="623"/>
      <c r="T35" s="677">
        <v>11.9</v>
      </c>
      <c r="U35" s="677">
        <v>1.1200000000000001</v>
      </c>
      <c r="V35" s="123"/>
      <c r="W35" s="123"/>
      <c r="X35" s="123"/>
      <c r="Y35" s="624"/>
      <c r="Z35" s="625"/>
      <c r="AA35" s="625"/>
      <c r="AB35" s="625"/>
      <c r="AC35" s="625"/>
      <c r="AD35" s="625"/>
      <c r="AE35" s="625"/>
      <c r="AF35" s="625"/>
      <c r="AG35" s="625"/>
      <c r="AH35" s="625"/>
      <c r="AI35" s="625"/>
      <c r="AJ35" s="625"/>
      <c r="AK35" s="625"/>
      <c r="AL35" s="625"/>
      <c r="AM35" s="625"/>
      <c r="AN35" s="625"/>
      <c r="AO35" s="625"/>
      <c r="AP35" s="625"/>
      <c r="AQ35" s="625"/>
      <c r="AR35" s="625"/>
      <c r="AS35" s="625"/>
      <c r="AT35" s="625"/>
      <c r="AU35" s="625"/>
      <c r="AV35" s="625"/>
      <c r="AW35" s="625"/>
      <c r="AX35" s="625"/>
      <c r="AY35" s="625"/>
      <c r="AZ35" s="625"/>
      <c r="BA35" s="625"/>
      <c r="BB35" s="625"/>
      <c r="BC35" s="625"/>
      <c r="BD35" s="625"/>
      <c r="BE35" s="625"/>
      <c r="BF35" s="626"/>
      <c r="BG35" s="626"/>
      <c r="BH35" s="626"/>
      <c r="BI35" s="626"/>
      <c r="BJ35" s="626"/>
      <c r="BK35" s="626"/>
      <c r="BL35" s="626"/>
      <c r="BM35" s="626"/>
      <c r="BN35" s="626"/>
      <c r="BO35" s="626"/>
      <c r="BP35" s="626"/>
      <c r="BQ35" s="626"/>
      <c r="BR35" s="626"/>
      <c r="BS35" s="626"/>
      <c r="BT35" s="626"/>
      <c r="BU35" s="626"/>
      <c r="BV35" s="626"/>
      <c r="BW35" s="626"/>
      <c r="BX35" s="626"/>
      <c r="BY35" s="626"/>
      <c r="BZ35" s="626"/>
      <c r="CA35" s="626"/>
      <c r="CB35" s="626"/>
      <c r="CC35" s="626"/>
      <c r="CD35" s="626"/>
      <c r="CE35" s="626"/>
      <c r="CF35" s="626"/>
      <c r="CG35" s="626"/>
      <c r="CH35" s="626"/>
      <c r="CI35" s="626"/>
      <c r="CJ35" s="626"/>
      <c r="CK35" s="626"/>
      <c r="CL35" s="626"/>
      <c r="CM35" s="626"/>
      <c r="CN35" s="626"/>
      <c r="CO35" s="626"/>
      <c r="CP35" s="626"/>
      <c r="CQ35" s="626"/>
      <c r="CR35" s="626"/>
      <c r="CS35" s="626"/>
      <c r="CT35" s="626"/>
      <c r="CU35" s="626"/>
      <c r="CV35" s="626"/>
      <c r="CW35" s="626"/>
      <c r="CX35" s="626"/>
      <c r="CY35" s="626"/>
      <c r="CZ35" s="626"/>
      <c r="DA35" s="626"/>
      <c r="DB35" s="626"/>
      <c r="DC35" s="626"/>
      <c r="DD35" s="626"/>
      <c r="DE35" s="626"/>
      <c r="DF35" s="626"/>
      <c r="DG35" s="626"/>
      <c r="DH35" s="626"/>
      <c r="DI35" s="626"/>
      <c r="DJ35" s="626"/>
      <c r="DK35" s="626"/>
      <c r="DL35" s="626"/>
      <c r="DM35" s="626"/>
      <c r="DN35" s="626"/>
      <c r="DO35" s="626"/>
      <c r="DP35" s="626"/>
      <c r="DQ35" s="626"/>
      <c r="DR35" s="626"/>
      <c r="DS35" s="626"/>
      <c r="DT35" s="626"/>
      <c r="DU35" s="626"/>
      <c r="DV35" s="626"/>
      <c r="DW35" s="626"/>
      <c r="DX35" s="626"/>
      <c r="DY35" s="626"/>
      <c r="DZ35" s="626"/>
      <c r="EA35" s="626"/>
      <c r="EB35" s="626"/>
      <c r="EC35" s="626"/>
      <c r="ED35" s="626"/>
      <c r="EE35" s="626"/>
      <c r="EF35" s="626"/>
      <c r="EG35" s="626"/>
      <c r="EH35" s="626"/>
      <c r="EI35" s="626"/>
      <c r="EJ35" s="626"/>
      <c r="EK35" s="626"/>
      <c r="EL35" s="626"/>
      <c r="EM35" s="626"/>
      <c r="EN35" s="626"/>
      <c r="EO35" s="626"/>
      <c r="EP35" s="626"/>
      <c r="EQ35" s="626"/>
      <c r="ER35" s="626"/>
      <c r="ES35" s="626"/>
      <c r="ET35" s="626"/>
      <c r="EU35" s="626"/>
      <c r="EV35" s="626"/>
      <c r="EW35" s="626"/>
      <c r="EX35" s="626"/>
      <c r="EY35" s="626"/>
      <c r="EZ35" s="626"/>
      <c r="FA35" s="626"/>
      <c r="FB35" s="626"/>
      <c r="FC35" s="626"/>
      <c r="FD35" s="626"/>
      <c r="FE35" s="626"/>
      <c r="FF35" s="626"/>
      <c r="FG35" s="626"/>
      <c r="FH35" s="626"/>
      <c r="FI35" s="626"/>
      <c r="FJ35" s="626"/>
      <c r="FK35" s="626"/>
      <c r="FL35" s="626"/>
      <c r="FM35" s="626"/>
      <c r="FN35" s="626"/>
      <c r="FO35" s="626"/>
      <c r="FP35" s="626"/>
      <c r="FQ35" s="626"/>
      <c r="FR35" s="626"/>
      <c r="FS35" s="626"/>
      <c r="FT35" s="626"/>
      <c r="FU35" s="626"/>
      <c r="FV35" s="626"/>
      <c r="FW35" s="626"/>
      <c r="FX35" s="626"/>
      <c r="FY35" s="626"/>
      <c r="FZ35" s="626"/>
      <c r="GA35" s="626"/>
      <c r="GB35" s="626"/>
      <c r="GC35" s="626"/>
      <c r="GD35" s="626"/>
      <c r="GE35" s="626"/>
      <c r="GF35" s="626"/>
      <c r="GG35" s="626"/>
      <c r="GH35" s="626"/>
      <c r="GI35" s="626"/>
      <c r="GJ35" s="626"/>
      <c r="GK35" s="626"/>
      <c r="GL35" s="626"/>
      <c r="GM35" s="626"/>
      <c r="GN35" s="626"/>
      <c r="GO35" s="626"/>
      <c r="GP35" s="626"/>
      <c r="GQ35" s="626"/>
      <c r="GR35" s="626"/>
      <c r="GS35" s="626"/>
      <c r="GT35" s="626"/>
      <c r="GU35" s="626"/>
      <c r="GV35" s="626"/>
      <c r="GW35" s="626"/>
      <c r="GX35" s="626"/>
      <c r="GY35" s="626"/>
      <c r="GZ35" s="626"/>
      <c r="HA35" s="626"/>
      <c r="HB35" s="626"/>
      <c r="HC35" s="626"/>
      <c r="HD35" s="626"/>
      <c r="HE35" s="626"/>
      <c r="HF35" s="626"/>
      <c r="HG35" s="626"/>
      <c r="HH35" s="626"/>
      <c r="HI35" s="626"/>
      <c r="HJ35" s="626"/>
      <c r="HK35" s="626"/>
      <c r="HL35" s="626"/>
      <c r="HM35" s="626"/>
      <c r="HN35" s="626"/>
      <c r="HO35" s="626"/>
      <c r="HP35" s="626"/>
      <c r="HQ35" s="626"/>
      <c r="HR35" s="626"/>
      <c r="HS35" s="626"/>
      <c r="HT35" s="626"/>
      <c r="HU35" s="626"/>
      <c r="HV35" s="626"/>
      <c r="HW35" s="626"/>
      <c r="HX35" s="626"/>
      <c r="HY35" s="626"/>
      <c r="HZ35" s="626"/>
      <c r="IA35" s="626"/>
      <c r="IB35" s="626"/>
      <c r="IC35" s="626"/>
      <c r="ID35" s="626"/>
      <c r="IE35" s="626"/>
      <c r="IF35" s="626"/>
      <c r="IG35" s="626"/>
      <c r="IH35" s="626"/>
      <c r="II35" s="626"/>
      <c r="IJ35" s="626"/>
      <c r="IK35" s="626"/>
      <c r="IL35" s="626"/>
      <c r="IM35" s="626"/>
      <c r="IN35" s="626"/>
      <c r="IO35" s="626"/>
      <c r="IP35" s="626"/>
      <c r="IQ35" s="626"/>
      <c r="IR35" s="626"/>
      <c r="IS35" s="626"/>
      <c r="IT35" s="626"/>
      <c r="IU35" s="626"/>
    </row>
    <row r="36" spans="1:255" s="627" customFormat="1" ht="12.75" customHeight="1" thickBot="1" x14ac:dyDescent="0.25">
      <c r="A36" s="644" t="s">
        <v>17</v>
      </c>
      <c r="B36" s="679">
        <v>42581</v>
      </c>
      <c r="C36" s="489"/>
      <c r="D36" s="489"/>
      <c r="E36" s="292" t="s">
        <v>387</v>
      </c>
      <c r="F36" s="489"/>
      <c r="G36" s="623"/>
      <c r="H36" s="676">
        <v>49701295</v>
      </c>
      <c r="I36" s="676">
        <v>53200457</v>
      </c>
      <c r="J36" s="615" t="s">
        <v>17</v>
      </c>
      <c r="K36" s="118" t="s">
        <v>145</v>
      </c>
      <c r="L36" s="12" t="s">
        <v>148</v>
      </c>
      <c r="M36" s="12"/>
      <c r="N36" s="499"/>
      <c r="O36" s="499"/>
      <c r="P36" s="658">
        <v>68.7</v>
      </c>
      <c r="Q36" s="509"/>
      <c r="R36" s="509"/>
      <c r="S36" s="623"/>
      <c r="T36" s="677">
        <v>11.6</v>
      </c>
      <c r="U36" s="677">
        <v>1.38</v>
      </c>
      <c r="V36" s="123"/>
      <c r="W36" s="123"/>
      <c r="X36" s="123"/>
      <c r="Y36" s="624"/>
      <c r="Z36" s="625"/>
      <c r="AA36" s="625"/>
      <c r="AB36" s="625"/>
      <c r="AC36" s="625"/>
      <c r="AD36" s="625"/>
      <c r="AE36" s="625"/>
      <c r="AF36" s="625"/>
      <c r="AG36" s="625"/>
      <c r="AH36" s="625"/>
      <c r="AI36" s="625"/>
      <c r="AJ36" s="625"/>
      <c r="AK36" s="625"/>
      <c r="AL36" s="625"/>
      <c r="AM36" s="625"/>
      <c r="AN36" s="625"/>
      <c r="AO36" s="625"/>
      <c r="AP36" s="625"/>
      <c r="AQ36" s="625"/>
      <c r="AR36" s="625"/>
      <c r="AS36" s="625"/>
      <c r="AT36" s="625"/>
      <c r="AU36" s="625"/>
      <c r="AV36" s="625"/>
      <c r="AW36" s="625"/>
      <c r="AX36" s="625"/>
      <c r="AY36" s="625"/>
      <c r="AZ36" s="625"/>
      <c r="BA36" s="625"/>
      <c r="BB36" s="625"/>
      <c r="BC36" s="625"/>
      <c r="BD36" s="625"/>
      <c r="BE36" s="625"/>
      <c r="BF36" s="626"/>
      <c r="BG36" s="626"/>
      <c r="BH36" s="626"/>
      <c r="BI36" s="626"/>
      <c r="BJ36" s="626"/>
      <c r="BK36" s="626"/>
      <c r="BL36" s="626"/>
      <c r="BM36" s="626"/>
      <c r="BN36" s="626"/>
      <c r="BO36" s="626"/>
      <c r="BP36" s="626"/>
      <c r="BQ36" s="626"/>
      <c r="BR36" s="626"/>
      <c r="BS36" s="626"/>
      <c r="BT36" s="626"/>
      <c r="BU36" s="626"/>
      <c r="BV36" s="626"/>
      <c r="BW36" s="626"/>
      <c r="BX36" s="626"/>
      <c r="BY36" s="626"/>
      <c r="BZ36" s="626"/>
      <c r="CA36" s="626"/>
      <c r="CB36" s="626"/>
      <c r="CC36" s="626"/>
      <c r="CD36" s="626"/>
      <c r="CE36" s="626"/>
      <c r="CF36" s="626"/>
      <c r="CG36" s="626"/>
      <c r="CH36" s="626"/>
      <c r="CI36" s="626"/>
      <c r="CJ36" s="626"/>
      <c r="CK36" s="626"/>
      <c r="CL36" s="626"/>
      <c r="CM36" s="626"/>
      <c r="CN36" s="626"/>
      <c r="CO36" s="626"/>
      <c r="CP36" s="626"/>
      <c r="CQ36" s="626"/>
      <c r="CR36" s="626"/>
      <c r="CS36" s="626"/>
      <c r="CT36" s="626"/>
      <c r="CU36" s="626"/>
      <c r="CV36" s="626"/>
      <c r="CW36" s="626"/>
      <c r="CX36" s="626"/>
      <c r="CY36" s="626"/>
      <c r="CZ36" s="626"/>
      <c r="DA36" s="626"/>
      <c r="DB36" s="626"/>
      <c r="DC36" s="626"/>
      <c r="DD36" s="626"/>
      <c r="DE36" s="626"/>
      <c r="DF36" s="626"/>
      <c r="DG36" s="626"/>
      <c r="DH36" s="626"/>
      <c r="DI36" s="626"/>
      <c r="DJ36" s="626"/>
      <c r="DK36" s="626"/>
      <c r="DL36" s="626"/>
      <c r="DM36" s="626"/>
      <c r="DN36" s="626"/>
      <c r="DO36" s="626"/>
      <c r="DP36" s="626"/>
      <c r="DQ36" s="626"/>
      <c r="DR36" s="626"/>
      <c r="DS36" s="626"/>
      <c r="DT36" s="626"/>
      <c r="DU36" s="626"/>
      <c r="DV36" s="626"/>
      <c r="DW36" s="626"/>
      <c r="DX36" s="626"/>
      <c r="DY36" s="626"/>
      <c r="DZ36" s="626"/>
      <c r="EA36" s="626"/>
      <c r="EB36" s="626"/>
      <c r="EC36" s="626"/>
      <c r="ED36" s="626"/>
      <c r="EE36" s="626"/>
      <c r="EF36" s="626"/>
      <c r="EG36" s="626"/>
      <c r="EH36" s="626"/>
      <c r="EI36" s="626"/>
      <c r="EJ36" s="626"/>
      <c r="EK36" s="626"/>
      <c r="EL36" s="626"/>
      <c r="EM36" s="626"/>
      <c r="EN36" s="626"/>
      <c r="EO36" s="626"/>
      <c r="EP36" s="626"/>
      <c r="EQ36" s="626"/>
      <c r="ER36" s="626"/>
      <c r="ES36" s="626"/>
      <c r="ET36" s="626"/>
      <c r="EU36" s="626"/>
      <c r="EV36" s="626"/>
      <c r="EW36" s="626"/>
      <c r="EX36" s="626"/>
      <c r="EY36" s="626"/>
      <c r="EZ36" s="626"/>
      <c r="FA36" s="626"/>
      <c r="FB36" s="626"/>
      <c r="FC36" s="626"/>
      <c r="FD36" s="626"/>
      <c r="FE36" s="626"/>
      <c r="FF36" s="626"/>
      <c r="FG36" s="626"/>
      <c r="FH36" s="626"/>
      <c r="FI36" s="626"/>
      <c r="FJ36" s="626"/>
      <c r="FK36" s="626"/>
      <c r="FL36" s="626"/>
      <c r="FM36" s="626"/>
      <c r="FN36" s="626"/>
      <c r="FO36" s="626"/>
      <c r="FP36" s="626"/>
      <c r="FQ36" s="626"/>
      <c r="FR36" s="626"/>
      <c r="FS36" s="626"/>
      <c r="FT36" s="626"/>
      <c r="FU36" s="626"/>
      <c r="FV36" s="626"/>
      <c r="FW36" s="626"/>
      <c r="FX36" s="626"/>
      <c r="FY36" s="626"/>
      <c r="FZ36" s="626"/>
      <c r="GA36" s="626"/>
      <c r="GB36" s="626"/>
      <c r="GC36" s="626"/>
      <c r="GD36" s="626"/>
      <c r="GE36" s="626"/>
      <c r="GF36" s="626"/>
      <c r="GG36" s="626"/>
      <c r="GH36" s="626"/>
      <c r="GI36" s="626"/>
      <c r="GJ36" s="626"/>
      <c r="GK36" s="626"/>
      <c r="GL36" s="626"/>
      <c r="GM36" s="626"/>
      <c r="GN36" s="626"/>
      <c r="GO36" s="626"/>
      <c r="GP36" s="626"/>
      <c r="GQ36" s="626"/>
      <c r="GR36" s="626"/>
      <c r="GS36" s="626"/>
      <c r="GT36" s="626"/>
      <c r="GU36" s="626"/>
      <c r="GV36" s="626"/>
      <c r="GW36" s="626"/>
      <c r="GX36" s="626"/>
      <c r="GY36" s="626"/>
      <c r="GZ36" s="626"/>
      <c r="HA36" s="626"/>
      <c r="HB36" s="626"/>
      <c r="HC36" s="626"/>
      <c r="HD36" s="626"/>
      <c r="HE36" s="626"/>
      <c r="HF36" s="626"/>
      <c r="HG36" s="626"/>
      <c r="HH36" s="626"/>
      <c r="HI36" s="626"/>
      <c r="HJ36" s="626"/>
      <c r="HK36" s="626"/>
      <c r="HL36" s="626"/>
      <c r="HM36" s="626"/>
      <c r="HN36" s="626"/>
      <c r="HO36" s="626"/>
      <c r="HP36" s="626"/>
      <c r="HQ36" s="626"/>
      <c r="HR36" s="626"/>
      <c r="HS36" s="626"/>
      <c r="HT36" s="626"/>
      <c r="HU36" s="626"/>
      <c r="HV36" s="626"/>
      <c r="HW36" s="626"/>
      <c r="HX36" s="626"/>
      <c r="HY36" s="626"/>
      <c r="HZ36" s="626"/>
      <c r="IA36" s="626"/>
      <c r="IB36" s="626"/>
      <c r="IC36" s="626"/>
      <c r="ID36" s="626"/>
      <c r="IE36" s="626"/>
      <c r="IF36" s="626"/>
      <c r="IG36" s="626"/>
      <c r="IH36" s="626"/>
      <c r="II36" s="626"/>
      <c r="IJ36" s="626"/>
      <c r="IK36" s="626"/>
      <c r="IL36" s="626"/>
      <c r="IM36" s="626"/>
      <c r="IN36" s="626"/>
      <c r="IO36" s="626"/>
      <c r="IP36" s="626"/>
      <c r="IQ36" s="626"/>
      <c r="IR36" s="626"/>
      <c r="IS36" s="626"/>
      <c r="IT36" s="626"/>
      <c r="IU36" s="626"/>
    </row>
    <row r="37" spans="1:255" s="627" customFormat="1" ht="12.75" customHeight="1" thickBot="1" x14ac:dyDescent="0.25">
      <c r="A37" s="644" t="s">
        <v>17</v>
      </c>
      <c r="B37" s="679">
        <v>42581</v>
      </c>
      <c r="C37" s="489"/>
      <c r="D37" s="489"/>
      <c r="E37" s="292" t="s">
        <v>387</v>
      </c>
      <c r="F37" s="489"/>
      <c r="G37" s="623"/>
      <c r="H37" s="676">
        <v>49701303</v>
      </c>
      <c r="I37" s="676">
        <v>95140067</v>
      </c>
      <c r="J37" s="615" t="s">
        <v>17</v>
      </c>
      <c r="K37" s="118" t="s">
        <v>145</v>
      </c>
      <c r="L37" s="12" t="s">
        <v>148</v>
      </c>
      <c r="M37" s="12"/>
      <c r="N37" s="499"/>
      <c r="O37" s="499"/>
      <c r="P37" s="658">
        <v>69.650000000000006</v>
      </c>
      <c r="Q37" s="509"/>
      <c r="R37" s="509"/>
      <c r="S37" s="623"/>
      <c r="T37" s="677">
        <v>11.5</v>
      </c>
      <c r="U37" s="677">
        <v>1.08</v>
      </c>
      <c r="V37" s="123"/>
      <c r="W37" s="123"/>
      <c r="X37" s="123"/>
      <c r="Y37" s="624"/>
      <c r="Z37" s="625"/>
      <c r="AA37" s="625"/>
      <c r="AB37" s="625"/>
      <c r="AC37" s="625"/>
      <c r="AD37" s="625"/>
      <c r="AE37" s="625"/>
      <c r="AF37" s="625"/>
      <c r="AG37" s="625"/>
      <c r="AH37" s="625"/>
      <c r="AI37" s="625"/>
      <c r="AJ37" s="625"/>
      <c r="AK37" s="625"/>
      <c r="AL37" s="625"/>
      <c r="AM37" s="625"/>
      <c r="AN37" s="625"/>
      <c r="AO37" s="625"/>
      <c r="AP37" s="625"/>
      <c r="AQ37" s="625"/>
      <c r="AR37" s="625"/>
      <c r="AS37" s="625"/>
      <c r="AT37" s="625"/>
      <c r="AU37" s="625"/>
      <c r="AV37" s="625"/>
      <c r="AW37" s="625"/>
      <c r="AX37" s="625"/>
      <c r="AY37" s="625"/>
      <c r="AZ37" s="625"/>
      <c r="BA37" s="625"/>
      <c r="BB37" s="625"/>
      <c r="BC37" s="625"/>
      <c r="BD37" s="625"/>
      <c r="BE37" s="625"/>
      <c r="BF37" s="626"/>
      <c r="BG37" s="626"/>
      <c r="BH37" s="626"/>
      <c r="BI37" s="626"/>
      <c r="BJ37" s="626"/>
      <c r="BK37" s="626"/>
      <c r="BL37" s="626"/>
      <c r="BM37" s="626"/>
      <c r="BN37" s="626"/>
      <c r="BO37" s="626"/>
      <c r="BP37" s="626"/>
      <c r="BQ37" s="626"/>
      <c r="BR37" s="626"/>
      <c r="BS37" s="626"/>
      <c r="BT37" s="626"/>
      <c r="BU37" s="626"/>
      <c r="BV37" s="626"/>
      <c r="BW37" s="626"/>
      <c r="BX37" s="626"/>
      <c r="BY37" s="626"/>
      <c r="BZ37" s="626"/>
      <c r="CA37" s="626"/>
      <c r="CB37" s="626"/>
      <c r="CC37" s="626"/>
      <c r="CD37" s="626"/>
      <c r="CE37" s="626"/>
      <c r="CF37" s="626"/>
      <c r="CG37" s="626"/>
      <c r="CH37" s="626"/>
      <c r="CI37" s="626"/>
      <c r="CJ37" s="626"/>
      <c r="CK37" s="626"/>
      <c r="CL37" s="626"/>
      <c r="CM37" s="626"/>
      <c r="CN37" s="626"/>
      <c r="CO37" s="626"/>
      <c r="CP37" s="626"/>
      <c r="CQ37" s="626"/>
      <c r="CR37" s="626"/>
      <c r="CS37" s="626"/>
      <c r="CT37" s="626"/>
      <c r="CU37" s="626"/>
      <c r="CV37" s="626"/>
      <c r="CW37" s="626"/>
      <c r="CX37" s="626"/>
      <c r="CY37" s="626"/>
      <c r="CZ37" s="626"/>
      <c r="DA37" s="626"/>
      <c r="DB37" s="626"/>
      <c r="DC37" s="626"/>
      <c r="DD37" s="626"/>
      <c r="DE37" s="626"/>
      <c r="DF37" s="626"/>
      <c r="DG37" s="626"/>
      <c r="DH37" s="626"/>
      <c r="DI37" s="626"/>
      <c r="DJ37" s="626"/>
      <c r="DK37" s="626"/>
      <c r="DL37" s="626"/>
      <c r="DM37" s="626"/>
      <c r="DN37" s="626"/>
      <c r="DO37" s="626"/>
      <c r="DP37" s="626"/>
      <c r="DQ37" s="626"/>
      <c r="DR37" s="626"/>
      <c r="DS37" s="626"/>
      <c r="DT37" s="626"/>
      <c r="DU37" s="626"/>
      <c r="DV37" s="626"/>
      <c r="DW37" s="626"/>
      <c r="DX37" s="626"/>
      <c r="DY37" s="626"/>
      <c r="DZ37" s="626"/>
      <c r="EA37" s="626"/>
      <c r="EB37" s="626"/>
      <c r="EC37" s="626"/>
      <c r="ED37" s="626"/>
      <c r="EE37" s="626"/>
      <c r="EF37" s="626"/>
      <c r="EG37" s="626"/>
      <c r="EH37" s="626"/>
      <c r="EI37" s="626"/>
      <c r="EJ37" s="626"/>
      <c r="EK37" s="626"/>
      <c r="EL37" s="626"/>
      <c r="EM37" s="626"/>
      <c r="EN37" s="626"/>
      <c r="EO37" s="626"/>
      <c r="EP37" s="626"/>
      <c r="EQ37" s="626"/>
      <c r="ER37" s="626"/>
      <c r="ES37" s="626"/>
      <c r="ET37" s="626"/>
      <c r="EU37" s="626"/>
      <c r="EV37" s="626"/>
      <c r="EW37" s="626"/>
      <c r="EX37" s="626"/>
      <c r="EY37" s="626"/>
      <c r="EZ37" s="626"/>
      <c r="FA37" s="626"/>
      <c r="FB37" s="626"/>
      <c r="FC37" s="626"/>
      <c r="FD37" s="626"/>
      <c r="FE37" s="626"/>
      <c r="FF37" s="626"/>
      <c r="FG37" s="626"/>
      <c r="FH37" s="626"/>
      <c r="FI37" s="626"/>
      <c r="FJ37" s="626"/>
      <c r="FK37" s="626"/>
      <c r="FL37" s="626"/>
      <c r="FM37" s="626"/>
      <c r="FN37" s="626"/>
      <c r="FO37" s="626"/>
      <c r="FP37" s="626"/>
      <c r="FQ37" s="626"/>
      <c r="FR37" s="626"/>
      <c r="FS37" s="626"/>
      <c r="FT37" s="626"/>
      <c r="FU37" s="626"/>
      <c r="FV37" s="626"/>
      <c r="FW37" s="626"/>
      <c r="FX37" s="626"/>
      <c r="FY37" s="626"/>
      <c r="FZ37" s="626"/>
      <c r="GA37" s="626"/>
      <c r="GB37" s="626"/>
      <c r="GC37" s="626"/>
      <c r="GD37" s="626"/>
      <c r="GE37" s="626"/>
      <c r="GF37" s="626"/>
      <c r="GG37" s="626"/>
      <c r="GH37" s="626"/>
      <c r="GI37" s="626"/>
      <c r="GJ37" s="626"/>
      <c r="GK37" s="626"/>
      <c r="GL37" s="626"/>
      <c r="GM37" s="626"/>
      <c r="GN37" s="626"/>
      <c r="GO37" s="626"/>
      <c r="GP37" s="626"/>
      <c r="GQ37" s="626"/>
      <c r="GR37" s="626"/>
      <c r="GS37" s="626"/>
      <c r="GT37" s="626"/>
      <c r="GU37" s="626"/>
      <c r="GV37" s="626"/>
      <c r="GW37" s="626"/>
      <c r="GX37" s="626"/>
      <c r="GY37" s="626"/>
      <c r="GZ37" s="626"/>
      <c r="HA37" s="626"/>
      <c r="HB37" s="626"/>
      <c r="HC37" s="626"/>
      <c r="HD37" s="626"/>
      <c r="HE37" s="626"/>
      <c r="HF37" s="626"/>
      <c r="HG37" s="626"/>
      <c r="HH37" s="626"/>
      <c r="HI37" s="626"/>
      <c r="HJ37" s="626"/>
      <c r="HK37" s="626"/>
      <c r="HL37" s="626"/>
      <c r="HM37" s="626"/>
      <c r="HN37" s="626"/>
      <c r="HO37" s="626"/>
      <c r="HP37" s="626"/>
      <c r="HQ37" s="626"/>
      <c r="HR37" s="626"/>
      <c r="HS37" s="626"/>
      <c r="HT37" s="626"/>
      <c r="HU37" s="626"/>
      <c r="HV37" s="626"/>
      <c r="HW37" s="626"/>
      <c r="HX37" s="626"/>
      <c r="HY37" s="626"/>
      <c r="HZ37" s="626"/>
      <c r="IA37" s="626"/>
      <c r="IB37" s="626"/>
      <c r="IC37" s="626"/>
      <c r="ID37" s="626"/>
      <c r="IE37" s="626"/>
      <c r="IF37" s="626"/>
      <c r="IG37" s="626"/>
      <c r="IH37" s="626"/>
      <c r="II37" s="626"/>
      <c r="IJ37" s="626"/>
      <c r="IK37" s="626"/>
      <c r="IL37" s="626"/>
      <c r="IM37" s="626"/>
      <c r="IN37" s="626"/>
      <c r="IO37" s="626"/>
      <c r="IP37" s="626"/>
      <c r="IQ37" s="626"/>
      <c r="IR37" s="626"/>
      <c r="IS37" s="626"/>
      <c r="IT37" s="626"/>
      <c r="IU37" s="626"/>
    </row>
    <row r="38" spans="1:255" s="627" customFormat="1" ht="12.75" customHeight="1" thickBot="1" x14ac:dyDescent="0.25">
      <c r="A38" s="644" t="s">
        <v>17</v>
      </c>
      <c r="B38" s="679">
        <v>42581</v>
      </c>
      <c r="C38" s="489"/>
      <c r="D38" s="489"/>
      <c r="E38" s="678" t="s">
        <v>320</v>
      </c>
      <c r="F38" s="489"/>
      <c r="G38" s="623"/>
      <c r="H38" s="676">
        <v>221</v>
      </c>
      <c r="I38" s="678" t="s">
        <v>324</v>
      </c>
      <c r="J38" s="615" t="s">
        <v>17</v>
      </c>
      <c r="K38" s="118" t="s">
        <v>145</v>
      </c>
      <c r="L38" s="12" t="s">
        <v>148</v>
      </c>
      <c r="M38" s="12"/>
      <c r="N38" s="499"/>
      <c r="O38" s="499"/>
      <c r="P38" s="658">
        <v>46.46</v>
      </c>
      <c r="Q38" s="509"/>
      <c r="R38" s="509"/>
      <c r="S38" s="623"/>
      <c r="T38" s="677">
        <v>12.6</v>
      </c>
      <c r="U38" s="677">
        <v>0.96</v>
      </c>
      <c r="V38" s="123"/>
      <c r="W38" s="123"/>
      <c r="X38" s="123"/>
      <c r="Y38" s="624"/>
      <c r="Z38" s="625"/>
      <c r="AA38" s="625"/>
      <c r="AB38" s="625"/>
      <c r="AC38" s="625"/>
      <c r="AD38" s="625"/>
      <c r="AE38" s="625"/>
      <c r="AF38" s="625"/>
      <c r="AG38" s="625"/>
      <c r="AH38" s="625"/>
      <c r="AI38" s="625"/>
      <c r="AJ38" s="625"/>
      <c r="AK38" s="625"/>
      <c r="AL38" s="625"/>
      <c r="AM38" s="625"/>
      <c r="AN38" s="625"/>
      <c r="AO38" s="625"/>
      <c r="AP38" s="625"/>
      <c r="AQ38" s="625"/>
      <c r="AR38" s="625"/>
      <c r="AS38" s="625"/>
      <c r="AT38" s="625"/>
      <c r="AU38" s="625"/>
      <c r="AV38" s="625"/>
      <c r="AW38" s="625"/>
      <c r="AX38" s="625"/>
      <c r="AY38" s="625"/>
      <c r="AZ38" s="625"/>
      <c r="BA38" s="625"/>
      <c r="BB38" s="625"/>
      <c r="BC38" s="625"/>
      <c r="BD38" s="625"/>
      <c r="BE38" s="625"/>
      <c r="BF38" s="626"/>
      <c r="BG38" s="626"/>
      <c r="BH38" s="626"/>
      <c r="BI38" s="626"/>
      <c r="BJ38" s="626"/>
      <c r="BK38" s="626"/>
      <c r="BL38" s="626"/>
      <c r="BM38" s="626"/>
      <c r="BN38" s="626"/>
      <c r="BO38" s="626"/>
      <c r="BP38" s="626"/>
      <c r="BQ38" s="626"/>
      <c r="BR38" s="626"/>
      <c r="BS38" s="626"/>
      <c r="BT38" s="626"/>
      <c r="BU38" s="626"/>
      <c r="BV38" s="626"/>
      <c r="BW38" s="626"/>
      <c r="BX38" s="626"/>
      <c r="BY38" s="626"/>
      <c r="BZ38" s="626"/>
      <c r="CA38" s="626"/>
      <c r="CB38" s="626"/>
      <c r="CC38" s="626"/>
      <c r="CD38" s="626"/>
      <c r="CE38" s="626"/>
      <c r="CF38" s="626"/>
      <c r="CG38" s="626"/>
      <c r="CH38" s="626"/>
      <c r="CI38" s="626"/>
      <c r="CJ38" s="626"/>
      <c r="CK38" s="626"/>
      <c r="CL38" s="626"/>
      <c r="CM38" s="626"/>
      <c r="CN38" s="626"/>
      <c r="CO38" s="626"/>
      <c r="CP38" s="626"/>
      <c r="CQ38" s="626"/>
      <c r="CR38" s="626"/>
      <c r="CS38" s="626"/>
      <c r="CT38" s="626"/>
      <c r="CU38" s="626"/>
      <c r="CV38" s="626"/>
      <c r="CW38" s="626"/>
      <c r="CX38" s="626"/>
      <c r="CY38" s="626"/>
      <c r="CZ38" s="626"/>
      <c r="DA38" s="626"/>
      <c r="DB38" s="626"/>
      <c r="DC38" s="626"/>
      <c r="DD38" s="626"/>
      <c r="DE38" s="626"/>
      <c r="DF38" s="626"/>
      <c r="DG38" s="626"/>
      <c r="DH38" s="626"/>
      <c r="DI38" s="626"/>
      <c r="DJ38" s="626"/>
      <c r="DK38" s="626"/>
      <c r="DL38" s="626"/>
      <c r="DM38" s="626"/>
      <c r="DN38" s="626"/>
      <c r="DO38" s="626"/>
      <c r="DP38" s="626"/>
      <c r="DQ38" s="626"/>
      <c r="DR38" s="626"/>
      <c r="DS38" s="626"/>
      <c r="DT38" s="626"/>
      <c r="DU38" s="626"/>
      <c r="DV38" s="626"/>
      <c r="DW38" s="626"/>
      <c r="DX38" s="626"/>
      <c r="DY38" s="626"/>
      <c r="DZ38" s="626"/>
      <c r="EA38" s="626"/>
      <c r="EB38" s="626"/>
      <c r="EC38" s="626"/>
      <c r="ED38" s="626"/>
      <c r="EE38" s="626"/>
      <c r="EF38" s="626"/>
      <c r="EG38" s="626"/>
      <c r="EH38" s="626"/>
      <c r="EI38" s="626"/>
      <c r="EJ38" s="626"/>
      <c r="EK38" s="626"/>
      <c r="EL38" s="626"/>
      <c r="EM38" s="626"/>
      <c r="EN38" s="626"/>
      <c r="EO38" s="626"/>
      <c r="EP38" s="626"/>
      <c r="EQ38" s="626"/>
      <c r="ER38" s="626"/>
      <c r="ES38" s="626"/>
      <c r="ET38" s="626"/>
      <c r="EU38" s="626"/>
      <c r="EV38" s="626"/>
      <c r="EW38" s="626"/>
      <c r="EX38" s="626"/>
      <c r="EY38" s="626"/>
      <c r="EZ38" s="626"/>
      <c r="FA38" s="626"/>
      <c r="FB38" s="626"/>
      <c r="FC38" s="626"/>
      <c r="FD38" s="626"/>
      <c r="FE38" s="626"/>
      <c r="FF38" s="626"/>
      <c r="FG38" s="626"/>
      <c r="FH38" s="626"/>
      <c r="FI38" s="626"/>
      <c r="FJ38" s="626"/>
      <c r="FK38" s="626"/>
      <c r="FL38" s="626"/>
      <c r="FM38" s="626"/>
      <c r="FN38" s="626"/>
      <c r="FO38" s="626"/>
      <c r="FP38" s="626"/>
      <c r="FQ38" s="626"/>
      <c r="FR38" s="626"/>
      <c r="FS38" s="626"/>
      <c r="FT38" s="626"/>
      <c r="FU38" s="626"/>
      <c r="FV38" s="626"/>
      <c r="FW38" s="626"/>
      <c r="FX38" s="626"/>
      <c r="FY38" s="626"/>
      <c r="FZ38" s="626"/>
      <c r="GA38" s="626"/>
      <c r="GB38" s="626"/>
      <c r="GC38" s="626"/>
      <c r="GD38" s="626"/>
      <c r="GE38" s="626"/>
      <c r="GF38" s="626"/>
      <c r="GG38" s="626"/>
      <c r="GH38" s="626"/>
      <c r="GI38" s="626"/>
      <c r="GJ38" s="626"/>
      <c r="GK38" s="626"/>
      <c r="GL38" s="626"/>
      <c r="GM38" s="626"/>
      <c r="GN38" s="626"/>
      <c r="GO38" s="626"/>
      <c r="GP38" s="626"/>
      <c r="GQ38" s="626"/>
      <c r="GR38" s="626"/>
      <c r="GS38" s="626"/>
      <c r="GT38" s="626"/>
      <c r="GU38" s="626"/>
      <c r="GV38" s="626"/>
      <c r="GW38" s="626"/>
      <c r="GX38" s="626"/>
      <c r="GY38" s="626"/>
      <c r="GZ38" s="626"/>
      <c r="HA38" s="626"/>
      <c r="HB38" s="626"/>
      <c r="HC38" s="626"/>
      <c r="HD38" s="626"/>
      <c r="HE38" s="626"/>
      <c r="HF38" s="626"/>
      <c r="HG38" s="626"/>
      <c r="HH38" s="626"/>
      <c r="HI38" s="626"/>
      <c r="HJ38" s="626"/>
      <c r="HK38" s="626"/>
      <c r="HL38" s="626"/>
      <c r="HM38" s="626"/>
      <c r="HN38" s="626"/>
      <c r="HO38" s="626"/>
      <c r="HP38" s="626"/>
      <c r="HQ38" s="626"/>
      <c r="HR38" s="626"/>
      <c r="HS38" s="626"/>
      <c r="HT38" s="626"/>
      <c r="HU38" s="626"/>
      <c r="HV38" s="626"/>
      <c r="HW38" s="626"/>
      <c r="HX38" s="626"/>
      <c r="HY38" s="626"/>
      <c r="HZ38" s="626"/>
      <c r="IA38" s="626"/>
      <c r="IB38" s="626"/>
      <c r="IC38" s="626"/>
      <c r="ID38" s="626"/>
      <c r="IE38" s="626"/>
      <c r="IF38" s="626"/>
      <c r="IG38" s="626"/>
      <c r="IH38" s="626"/>
      <c r="II38" s="626"/>
      <c r="IJ38" s="626"/>
      <c r="IK38" s="626"/>
      <c r="IL38" s="626"/>
      <c r="IM38" s="626"/>
      <c r="IN38" s="626"/>
      <c r="IO38" s="626"/>
      <c r="IP38" s="626"/>
      <c r="IQ38" s="626"/>
      <c r="IR38" s="626"/>
      <c r="IS38" s="626"/>
      <c r="IT38" s="626"/>
      <c r="IU38" s="626"/>
    </row>
    <row r="39" spans="1:255" s="627" customFormat="1" ht="12.75" customHeight="1" thickBot="1" x14ac:dyDescent="0.25">
      <c r="A39" s="644" t="s">
        <v>17</v>
      </c>
      <c r="B39" s="679">
        <v>42581</v>
      </c>
      <c r="C39" s="489"/>
      <c r="D39" s="489"/>
      <c r="E39" s="678" t="s">
        <v>320</v>
      </c>
      <c r="F39" s="489"/>
      <c r="G39" s="623"/>
      <c r="H39" s="676">
        <v>224</v>
      </c>
      <c r="I39" s="678" t="s">
        <v>354</v>
      </c>
      <c r="J39" s="615" t="s">
        <v>17</v>
      </c>
      <c r="K39" s="118" t="s">
        <v>145</v>
      </c>
      <c r="L39" s="12" t="s">
        <v>148</v>
      </c>
      <c r="M39" s="12"/>
      <c r="N39" s="499"/>
      <c r="O39" s="499"/>
      <c r="P39" s="658">
        <v>41.86</v>
      </c>
      <c r="Q39" s="509"/>
      <c r="R39" s="509"/>
      <c r="S39" s="623"/>
      <c r="T39" s="677">
        <v>12</v>
      </c>
      <c r="U39" s="677">
        <v>0.8</v>
      </c>
      <c r="V39" s="123"/>
      <c r="W39" s="123"/>
      <c r="X39" s="123"/>
      <c r="Y39" s="624"/>
      <c r="Z39" s="625"/>
      <c r="AA39" s="625"/>
      <c r="AB39" s="625"/>
      <c r="AC39" s="625"/>
      <c r="AD39" s="625"/>
      <c r="AE39" s="625"/>
      <c r="AF39" s="625"/>
      <c r="AG39" s="625"/>
      <c r="AH39" s="625"/>
      <c r="AI39" s="625"/>
      <c r="AJ39" s="625"/>
      <c r="AK39" s="625"/>
      <c r="AL39" s="625"/>
      <c r="AM39" s="625"/>
      <c r="AN39" s="625"/>
      <c r="AO39" s="625"/>
      <c r="AP39" s="625"/>
      <c r="AQ39" s="625"/>
      <c r="AR39" s="625"/>
      <c r="AS39" s="625"/>
      <c r="AT39" s="625"/>
      <c r="AU39" s="625"/>
      <c r="AV39" s="625"/>
      <c r="AW39" s="625"/>
      <c r="AX39" s="625"/>
      <c r="AY39" s="625"/>
      <c r="AZ39" s="625"/>
      <c r="BA39" s="625"/>
      <c r="BB39" s="625"/>
      <c r="BC39" s="625"/>
      <c r="BD39" s="625"/>
      <c r="BE39" s="625"/>
      <c r="BF39" s="626"/>
      <c r="BG39" s="626"/>
      <c r="BH39" s="626"/>
      <c r="BI39" s="626"/>
      <c r="BJ39" s="626"/>
      <c r="BK39" s="626"/>
      <c r="BL39" s="626"/>
      <c r="BM39" s="626"/>
      <c r="BN39" s="626"/>
      <c r="BO39" s="626"/>
      <c r="BP39" s="626"/>
      <c r="BQ39" s="626"/>
      <c r="BR39" s="626"/>
      <c r="BS39" s="626"/>
      <c r="BT39" s="626"/>
      <c r="BU39" s="626"/>
      <c r="BV39" s="626"/>
      <c r="BW39" s="626"/>
      <c r="BX39" s="626"/>
      <c r="BY39" s="626"/>
      <c r="BZ39" s="626"/>
      <c r="CA39" s="626"/>
      <c r="CB39" s="626"/>
      <c r="CC39" s="626"/>
      <c r="CD39" s="626"/>
      <c r="CE39" s="626"/>
      <c r="CF39" s="626"/>
      <c r="CG39" s="626"/>
      <c r="CH39" s="626"/>
      <c r="CI39" s="626"/>
      <c r="CJ39" s="626"/>
      <c r="CK39" s="626"/>
      <c r="CL39" s="626"/>
      <c r="CM39" s="626"/>
      <c r="CN39" s="626"/>
      <c r="CO39" s="626"/>
      <c r="CP39" s="626"/>
      <c r="CQ39" s="626"/>
      <c r="CR39" s="626"/>
      <c r="CS39" s="626"/>
      <c r="CT39" s="626"/>
      <c r="CU39" s="626"/>
      <c r="CV39" s="626"/>
      <c r="CW39" s="626"/>
      <c r="CX39" s="626"/>
      <c r="CY39" s="626"/>
      <c r="CZ39" s="626"/>
      <c r="DA39" s="626"/>
      <c r="DB39" s="626"/>
      <c r="DC39" s="626"/>
      <c r="DD39" s="626"/>
      <c r="DE39" s="626"/>
      <c r="DF39" s="626"/>
      <c r="DG39" s="626"/>
      <c r="DH39" s="626"/>
      <c r="DI39" s="626"/>
      <c r="DJ39" s="626"/>
      <c r="DK39" s="626"/>
      <c r="DL39" s="626"/>
      <c r="DM39" s="626"/>
      <c r="DN39" s="626"/>
      <c r="DO39" s="626"/>
      <c r="DP39" s="626"/>
      <c r="DQ39" s="626"/>
      <c r="DR39" s="626"/>
      <c r="DS39" s="626"/>
      <c r="DT39" s="626"/>
      <c r="DU39" s="626"/>
      <c r="DV39" s="626"/>
      <c r="DW39" s="626"/>
      <c r="DX39" s="626"/>
      <c r="DY39" s="626"/>
      <c r="DZ39" s="626"/>
      <c r="EA39" s="626"/>
      <c r="EB39" s="626"/>
      <c r="EC39" s="626"/>
      <c r="ED39" s="626"/>
      <c r="EE39" s="626"/>
      <c r="EF39" s="626"/>
      <c r="EG39" s="626"/>
      <c r="EH39" s="626"/>
      <c r="EI39" s="626"/>
      <c r="EJ39" s="626"/>
      <c r="EK39" s="626"/>
      <c r="EL39" s="626"/>
      <c r="EM39" s="626"/>
      <c r="EN39" s="626"/>
      <c r="EO39" s="626"/>
      <c r="EP39" s="626"/>
      <c r="EQ39" s="626"/>
      <c r="ER39" s="626"/>
      <c r="ES39" s="626"/>
      <c r="ET39" s="626"/>
      <c r="EU39" s="626"/>
      <c r="EV39" s="626"/>
      <c r="EW39" s="626"/>
      <c r="EX39" s="626"/>
      <c r="EY39" s="626"/>
      <c r="EZ39" s="626"/>
      <c r="FA39" s="626"/>
      <c r="FB39" s="626"/>
      <c r="FC39" s="626"/>
      <c r="FD39" s="626"/>
      <c r="FE39" s="626"/>
      <c r="FF39" s="626"/>
      <c r="FG39" s="626"/>
      <c r="FH39" s="626"/>
      <c r="FI39" s="626"/>
      <c r="FJ39" s="626"/>
      <c r="FK39" s="626"/>
      <c r="FL39" s="626"/>
      <c r="FM39" s="626"/>
      <c r="FN39" s="626"/>
      <c r="FO39" s="626"/>
      <c r="FP39" s="626"/>
      <c r="FQ39" s="626"/>
      <c r="FR39" s="626"/>
      <c r="FS39" s="626"/>
      <c r="FT39" s="626"/>
      <c r="FU39" s="626"/>
      <c r="FV39" s="626"/>
      <c r="FW39" s="626"/>
      <c r="FX39" s="626"/>
      <c r="FY39" s="626"/>
      <c r="FZ39" s="626"/>
      <c r="GA39" s="626"/>
      <c r="GB39" s="626"/>
      <c r="GC39" s="626"/>
      <c r="GD39" s="626"/>
      <c r="GE39" s="626"/>
      <c r="GF39" s="626"/>
      <c r="GG39" s="626"/>
      <c r="GH39" s="626"/>
      <c r="GI39" s="626"/>
      <c r="GJ39" s="626"/>
      <c r="GK39" s="626"/>
      <c r="GL39" s="626"/>
      <c r="GM39" s="626"/>
      <c r="GN39" s="626"/>
      <c r="GO39" s="626"/>
      <c r="GP39" s="626"/>
      <c r="GQ39" s="626"/>
      <c r="GR39" s="626"/>
      <c r="GS39" s="626"/>
      <c r="GT39" s="626"/>
      <c r="GU39" s="626"/>
      <c r="GV39" s="626"/>
      <c r="GW39" s="626"/>
      <c r="GX39" s="626"/>
      <c r="GY39" s="626"/>
      <c r="GZ39" s="626"/>
      <c r="HA39" s="626"/>
      <c r="HB39" s="626"/>
      <c r="HC39" s="626"/>
      <c r="HD39" s="626"/>
      <c r="HE39" s="626"/>
      <c r="HF39" s="626"/>
      <c r="HG39" s="626"/>
      <c r="HH39" s="626"/>
      <c r="HI39" s="626"/>
      <c r="HJ39" s="626"/>
      <c r="HK39" s="626"/>
      <c r="HL39" s="626"/>
      <c r="HM39" s="626"/>
      <c r="HN39" s="626"/>
      <c r="HO39" s="626"/>
      <c r="HP39" s="626"/>
      <c r="HQ39" s="626"/>
      <c r="HR39" s="626"/>
      <c r="HS39" s="626"/>
      <c r="HT39" s="626"/>
      <c r="HU39" s="626"/>
      <c r="HV39" s="626"/>
      <c r="HW39" s="626"/>
      <c r="HX39" s="626"/>
      <c r="HY39" s="626"/>
      <c r="HZ39" s="626"/>
      <c r="IA39" s="626"/>
      <c r="IB39" s="626"/>
      <c r="IC39" s="626"/>
      <c r="ID39" s="626"/>
      <c r="IE39" s="626"/>
      <c r="IF39" s="626"/>
      <c r="IG39" s="626"/>
      <c r="IH39" s="626"/>
      <c r="II39" s="626"/>
      <c r="IJ39" s="626"/>
      <c r="IK39" s="626"/>
      <c r="IL39" s="626"/>
      <c r="IM39" s="626"/>
      <c r="IN39" s="626"/>
      <c r="IO39" s="626"/>
      <c r="IP39" s="626"/>
      <c r="IQ39" s="626"/>
      <c r="IR39" s="626"/>
      <c r="IS39" s="626"/>
      <c r="IT39" s="626"/>
      <c r="IU39" s="626"/>
    </row>
    <row r="40" spans="1:255" s="627" customFormat="1" ht="12.75" customHeight="1" thickBot="1" x14ac:dyDescent="0.25">
      <c r="A40" s="644" t="s">
        <v>17</v>
      </c>
      <c r="B40" s="679">
        <v>42581</v>
      </c>
      <c r="C40" s="489"/>
      <c r="D40" s="489"/>
      <c r="E40" s="678" t="s">
        <v>320</v>
      </c>
      <c r="F40" s="489"/>
      <c r="G40" s="623"/>
      <c r="H40" s="676">
        <v>223</v>
      </c>
      <c r="I40" s="678" t="s">
        <v>357</v>
      </c>
      <c r="J40" s="615" t="s">
        <v>17</v>
      </c>
      <c r="K40" s="118" t="s">
        <v>145</v>
      </c>
      <c r="L40" s="12" t="s">
        <v>148</v>
      </c>
      <c r="M40" s="12"/>
      <c r="N40" s="499"/>
      <c r="O40" s="499"/>
      <c r="P40" s="658">
        <v>37.76</v>
      </c>
      <c r="Q40" s="509"/>
      <c r="R40" s="509"/>
      <c r="S40" s="623"/>
      <c r="T40" s="677">
        <v>11.7</v>
      </c>
      <c r="U40" s="677">
        <v>0.86</v>
      </c>
      <c r="V40" s="123"/>
      <c r="W40" s="123"/>
      <c r="X40" s="123"/>
      <c r="Y40" s="624"/>
      <c r="Z40" s="625"/>
      <c r="AA40" s="625"/>
      <c r="AB40" s="625"/>
      <c r="AC40" s="625"/>
      <c r="AD40" s="625"/>
      <c r="AE40" s="625"/>
      <c r="AF40" s="625"/>
      <c r="AG40" s="625"/>
      <c r="AH40" s="625"/>
      <c r="AI40" s="625"/>
      <c r="AJ40" s="625"/>
      <c r="AK40" s="625"/>
      <c r="AL40" s="625"/>
      <c r="AM40" s="625"/>
      <c r="AN40" s="625"/>
      <c r="AO40" s="625"/>
      <c r="AP40" s="625"/>
      <c r="AQ40" s="625"/>
      <c r="AR40" s="625"/>
      <c r="AS40" s="625"/>
      <c r="AT40" s="625"/>
      <c r="AU40" s="625"/>
      <c r="AV40" s="625"/>
      <c r="AW40" s="625"/>
      <c r="AX40" s="625"/>
      <c r="AY40" s="625"/>
      <c r="AZ40" s="625"/>
      <c r="BA40" s="625"/>
      <c r="BB40" s="625"/>
      <c r="BC40" s="625"/>
      <c r="BD40" s="625"/>
      <c r="BE40" s="625"/>
      <c r="BF40" s="626"/>
      <c r="BG40" s="626"/>
      <c r="BH40" s="626"/>
      <c r="BI40" s="626"/>
      <c r="BJ40" s="626"/>
      <c r="BK40" s="626"/>
      <c r="BL40" s="626"/>
      <c r="BM40" s="626"/>
      <c r="BN40" s="626"/>
      <c r="BO40" s="626"/>
      <c r="BP40" s="626"/>
      <c r="BQ40" s="626"/>
      <c r="BR40" s="626"/>
      <c r="BS40" s="626"/>
      <c r="BT40" s="626"/>
      <c r="BU40" s="626"/>
      <c r="BV40" s="626"/>
      <c r="BW40" s="626"/>
      <c r="BX40" s="626"/>
      <c r="BY40" s="626"/>
      <c r="BZ40" s="626"/>
      <c r="CA40" s="626"/>
      <c r="CB40" s="626"/>
      <c r="CC40" s="626"/>
      <c r="CD40" s="626"/>
      <c r="CE40" s="626"/>
      <c r="CF40" s="626"/>
      <c r="CG40" s="626"/>
      <c r="CH40" s="626"/>
      <c r="CI40" s="626"/>
      <c r="CJ40" s="626"/>
      <c r="CK40" s="626"/>
      <c r="CL40" s="626"/>
      <c r="CM40" s="626"/>
      <c r="CN40" s="626"/>
      <c r="CO40" s="626"/>
      <c r="CP40" s="626"/>
      <c r="CQ40" s="626"/>
      <c r="CR40" s="626"/>
      <c r="CS40" s="626"/>
      <c r="CT40" s="626"/>
      <c r="CU40" s="626"/>
      <c r="CV40" s="626"/>
      <c r="CW40" s="626"/>
      <c r="CX40" s="626"/>
      <c r="CY40" s="626"/>
      <c r="CZ40" s="626"/>
      <c r="DA40" s="626"/>
      <c r="DB40" s="626"/>
      <c r="DC40" s="626"/>
      <c r="DD40" s="626"/>
      <c r="DE40" s="626"/>
      <c r="DF40" s="626"/>
      <c r="DG40" s="626"/>
      <c r="DH40" s="626"/>
      <c r="DI40" s="626"/>
      <c r="DJ40" s="626"/>
      <c r="DK40" s="626"/>
      <c r="DL40" s="626"/>
      <c r="DM40" s="626"/>
      <c r="DN40" s="626"/>
      <c r="DO40" s="626"/>
      <c r="DP40" s="626"/>
      <c r="DQ40" s="626"/>
      <c r="DR40" s="626"/>
      <c r="DS40" s="626"/>
      <c r="DT40" s="626"/>
      <c r="DU40" s="626"/>
      <c r="DV40" s="626"/>
      <c r="DW40" s="626"/>
      <c r="DX40" s="626"/>
      <c r="DY40" s="626"/>
      <c r="DZ40" s="626"/>
      <c r="EA40" s="626"/>
      <c r="EB40" s="626"/>
      <c r="EC40" s="626"/>
      <c r="ED40" s="626"/>
      <c r="EE40" s="626"/>
      <c r="EF40" s="626"/>
      <c r="EG40" s="626"/>
      <c r="EH40" s="626"/>
      <c r="EI40" s="626"/>
      <c r="EJ40" s="626"/>
      <c r="EK40" s="626"/>
      <c r="EL40" s="626"/>
      <c r="EM40" s="626"/>
      <c r="EN40" s="626"/>
      <c r="EO40" s="626"/>
      <c r="EP40" s="626"/>
      <c r="EQ40" s="626"/>
      <c r="ER40" s="626"/>
      <c r="ES40" s="626"/>
      <c r="ET40" s="626"/>
      <c r="EU40" s="626"/>
      <c r="EV40" s="626"/>
      <c r="EW40" s="626"/>
      <c r="EX40" s="626"/>
      <c r="EY40" s="626"/>
      <c r="EZ40" s="626"/>
      <c r="FA40" s="626"/>
      <c r="FB40" s="626"/>
      <c r="FC40" s="626"/>
      <c r="FD40" s="626"/>
      <c r="FE40" s="626"/>
      <c r="FF40" s="626"/>
      <c r="FG40" s="626"/>
      <c r="FH40" s="626"/>
      <c r="FI40" s="626"/>
      <c r="FJ40" s="626"/>
      <c r="FK40" s="626"/>
      <c r="FL40" s="626"/>
      <c r="FM40" s="626"/>
      <c r="FN40" s="626"/>
      <c r="FO40" s="626"/>
      <c r="FP40" s="626"/>
      <c r="FQ40" s="626"/>
      <c r="FR40" s="626"/>
      <c r="FS40" s="626"/>
      <c r="FT40" s="626"/>
      <c r="FU40" s="626"/>
      <c r="FV40" s="626"/>
      <c r="FW40" s="626"/>
      <c r="FX40" s="626"/>
      <c r="FY40" s="626"/>
      <c r="FZ40" s="626"/>
      <c r="GA40" s="626"/>
      <c r="GB40" s="626"/>
      <c r="GC40" s="626"/>
      <c r="GD40" s="626"/>
      <c r="GE40" s="626"/>
      <c r="GF40" s="626"/>
      <c r="GG40" s="626"/>
      <c r="GH40" s="626"/>
      <c r="GI40" s="626"/>
      <c r="GJ40" s="626"/>
      <c r="GK40" s="626"/>
      <c r="GL40" s="626"/>
      <c r="GM40" s="626"/>
      <c r="GN40" s="626"/>
      <c r="GO40" s="626"/>
      <c r="GP40" s="626"/>
      <c r="GQ40" s="626"/>
      <c r="GR40" s="626"/>
      <c r="GS40" s="626"/>
      <c r="GT40" s="626"/>
      <c r="GU40" s="626"/>
      <c r="GV40" s="626"/>
      <c r="GW40" s="626"/>
      <c r="GX40" s="626"/>
      <c r="GY40" s="626"/>
      <c r="GZ40" s="626"/>
      <c r="HA40" s="626"/>
      <c r="HB40" s="626"/>
      <c r="HC40" s="626"/>
      <c r="HD40" s="626"/>
      <c r="HE40" s="626"/>
      <c r="HF40" s="626"/>
      <c r="HG40" s="626"/>
      <c r="HH40" s="626"/>
      <c r="HI40" s="626"/>
      <c r="HJ40" s="626"/>
      <c r="HK40" s="626"/>
      <c r="HL40" s="626"/>
      <c r="HM40" s="626"/>
      <c r="HN40" s="626"/>
      <c r="HO40" s="626"/>
      <c r="HP40" s="626"/>
      <c r="HQ40" s="626"/>
      <c r="HR40" s="626"/>
      <c r="HS40" s="626"/>
      <c r="HT40" s="626"/>
      <c r="HU40" s="626"/>
      <c r="HV40" s="626"/>
      <c r="HW40" s="626"/>
      <c r="HX40" s="626"/>
      <c r="HY40" s="626"/>
      <c r="HZ40" s="626"/>
      <c r="IA40" s="626"/>
      <c r="IB40" s="626"/>
      <c r="IC40" s="626"/>
      <c r="ID40" s="626"/>
      <c r="IE40" s="626"/>
      <c r="IF40" s="626"/>
      <c r="IG40" s="626"/>
      <c r="IH40" s="626"/>
      <c r="II40" s="626"/>
      <c r="IJ40" s="626"/>
      <c r="IK40" s="626"/>
      <c r="IL40" s="626"/>
      <c r="IM40" s="626"/>
      <c r="IN40" s="626"/>
      <c r="IO40" s="626"/>
      <c r="IP40" s="626"/>
      <c r="IQ40" s="626"/>
      <c r="IR40" s="626"/>
      <c r="IS40" s="626"/>
      <c r="IT40" s="626"/>
      <c r="IU40" s="626"/>
    </row>
    <row r="41" spans="1:255" s="627" customFormat="1" ht="12.75" customHeight="1" thickBot="1" x14ac:dyDescent="0.25">
      <c r="A41" s="644" t="s">
        <v>17</v>
      </c>
      <c r="B41" s="679">
        <v>42582</v>
      </c>
      <c r="C41" s="489"/>
      <c r="D41" s="489"/>
      <c r="E41" s="678" t="s">
        <v>320</v>
      </c>
      <c r="F41" s="489"/>
      <c r="G41" s="623"/>
      <c r="H41" s="676">
        <v>230</v>
      </c>
      <c r="I41" s="678" t="s">
        <v>327</v>
      </c>
      <c r="J41" s="615" t="s">
        <v>17</v>
      </c>
      <c r="K41" s="118" t="s">
        <v>145</v>
      </c>
      <c r="L41" s="12" t="s">
        <v>148</v>
      </c>
      <c r="M41" s="12"/>
      <c r="N41" s="499"/>
      <c r="O41" s="499"/>
      <c r="P41" s="658">
        <v>39.659999999999997</v>
      </c>
      <c r="Q41" s="509"/>
      <c r="R41" s="509"/>
      <c r="S41" s="623"/>
      <c r="T41" s="677">
        <v>12.7</v>
      </c>
      <c r="U41" s="677">
        <v>1.44</v>
      </c>
      <c r="V41" s="123"/>
      <c r="W41" s="123"/>
      <c r="X41" s="123"/>
      <c r="Y41" s="624"/>
      <c r="Z41" s="625"/>
      <c r="AA41" s="625"/>
      <c r="AB41" s="625"/>
      <c r="AC41" s="625"/>
      <c r="AD41" s="625"/>
      <c r="AE41" s="625"/>
      <c r="AF41" s="625"/>
      <c r="AG41" s="625"/>
      <c r="AH41" s="625"/>
      <c r="AI41" s="625"/>
      <c r="AJ41" s="625"/>
      <c r="AK41" s="625"/>
      <c r="AL41" s="625"/>
      <c r="AM41" s="625"/>
      <c r="AN41" s="625"/>
      <c r="AO41" s="625"/>
      <c r="AP41" s="625"/>
      <c r="AQ41" s="625"/>
      <c r="AR41" s="625"/>
      <c r="AS41" s="625"/>
      <c r="AT41" s="625"/>
      <c r="AU41" s="625"/>
      <c r="AV41" s="625"/>
      <c r="AW41" s="625"/>
      <c r="AX41" s="625"/>
      <c r="AY41" s="625"/>
      <c r="AZ41" s="625"/>
      <c r="BA41" s="625"/>
      <c r="BB41" s="625"/>
      <c r="BC41" s="625"/>
      <c r="BD41" s="625"/>
      <c r="BE41" s="625"/>
      <c r="BF41" s="626"/>
      <c r="BG41" s="626"/>
      <c r="BH41" s="626"/>
      <c r="BI41" s="626"/>
      <c r="BJ41" s="626"/>
      <c r="BK41" s="626"/>
      <c r="BL41" s="626"/>
      <c r="BM41" s="626"/>
      <c r="BN41" s="626"/>
      <c r="BO41" s="626"/>
      <c r="BP41" s="626"/>
      <c r="BQ41" s="626"/>
      <c r="BR41" s="626"/>
      <c r="BS41" s="626"/>
      <c r="BT41" s="626"/>
      <c r="BU41" s="626"/>
      <c r="BV41" s="626"/>
      <c r="BW41" s="626"/>
      <c r="BX41" s="626"/>
      <c r="BY41" s="626"/>
      <c r="BZ41" s="626"/>
      <c r="CA41" s="626"/>
      <c r="CB41" s="626"/>
      <c r="CC41" s="626"/>
      <c r="CD41" s="626"/>
      <c r="CE41" s="626"/>
      <c r="CF41" s="626"/>
      <c r="CG41" s="626"/>
      <c r="CH41" s="626"/>
      <c r="CI41" s="626"/>
      <c r="CJ41" s="626"/>
      <c r="CK41" s="626"/>
      <c r="CL41" s="626"/>
      <c r="CM41" s="626"/>
      <c r="CN41" s="626"/>
      <c r="CO41" s="626"/>
      <c r="CP41" s="626"/>
      <c r="CQ41" s="626"/>
      <c r="CR41" s="626"/>
      <c r="CS41" s="626"/>
      <c r="CT41" s="626"/>
      <c r="CU41" s="626"/>
      <c r="CV41" s="626"/>
      <c r="CW41" s="626"/>
      <c r="CX41" s="626"/>
      <c r="CY41" s="626"/>
      <c r="CZ41" s="626"/>
      <c r="DA41" s="626"/>
      <c r="DB41" s="626"/>
      <c r="DC41" s="626"/>
      <c r="DD41" s="626"/>
      <c r="DE41" s="626"/>
      <c r="DF41" s="626"/>
      <c r="DG41" s="626"/>
      <c r="DH41" s="626"/>
      <c r="DI41" s="626"/>
      <c r="DJ41" s="626"/>
      <c r="DK41" s="626"/>
      <c r="DL41" s="626"/>
      <c r="DM41" s="626"/>
      <c r="DN41" s="626"/>
      <c r="DO41" s="626"/>
      <c r="DP41" s="626"/>
      <c r="DQ41" s="626"/>
      <c r="DR41" s="626"/>
      <c r="DS41" s="626"/>
      <c r="DT41" s="626"/>
      <c r="DU41" s="626"/>
      <c r="DV41" s="626"/>
      <c r="DW41" s="626"/>
      <c r="DX41" s="626"/>
      <c r="DY41" s="626"/>
      <c r="DZ41" s="626"/>
      <c r="EA41" s="626"/>
      <c r="EB41" s="626"/>
      <c r="EC41" s="626"/>
      <c r="ED41" s="626"/>
      <c r="EE41" s="626"/>
      <c r="EF41" s="626"/>
      <c r="EG41" s="626"/>
      <c r="EH41" s="626"/>
      <c r="EI41" s="626"/>
      <c r="EJ41" s="626"/>
      <c r="EK41" s="626"/>
      <c r="EL41" s="626"/>
      <c r="EM41" s="626"/>
      <c r="EN41" s="626"/>
      <c r="EO41" s="626"/>
      <c r="EP41" s="626"/>
      <c r="EQ41" s="626"/>
      <c r="ER41" s="626"/>
      <c r="ES41" s="626"/>
      <c r="ET41" s="626"/>
      <c r="EU41" s="626"/>
      <c r="EV41" s="626"/>
      <c r="EW41" s="626"/>
      <c r="EX41" s="626"/>
      <c r="EY41" s="626"/>
      <c r="EZ41" s="626"/>
      <c r="FA41" s="626"/>
      <c r="FB41" s="626"/>
      <c r="FC41" s="626"/>
      <c r="FD41" s="626"/>
      <c r="FE41" s="626"/>
      <c r="FF41" s="626"/>
      <c r="FG41" s="626"/>
      <c r="FH41" s="626"/>
      <c r="FI41" s="626"/>
      <c r="FJ41" s="626"/>
      <c r="FK41" s="626"/>
      <c r="FL41" s="626"/>
      <c r="FM41" s="626"/>
      <c r="FN41" s="626"/>
      <c r="FO41" s="626"/>
      <c r="FP41" s="626"/>
      <c r="FQ41" s="626"/>
      <c r="FR41" s="626"/>
      <c r="FS41" s="626"/>
      <c r="FT41" s="626"/>
      <c r="FU41" s="626"/>
      <c r="FV41" s="626"/>
      <c r="FW41" s="626"/>
      <c r="FX41" s="626"/>
      <c r="FY41" s="626"/>
      <c r="FZ41" s="626"/>
      <c r="GA41" s="626"/>
      <c r="GB41" s="626"/>
      <c r="GC41" s="626"/>
      <c r="GD41" s="626"/>
      <c r="GE41" s="626"/>
      <c r="GF41" s="626"/>
      <c r="GG41" s="626"/>
      <c r="GH41" s="626"/>
      <c r="GI41" s="626"/>
      <c r="GJ41" s="626"/>
      <c r="GK41" s="626"/>
      <c r="GL41" s="626"/>
      <c r="GM41" s="626"/>
      <c r="GN41" s="626"/>
      <c r="GO41" s="626"/>
      <c r="GP41" s="626"/>
      <c r="GQ41" s="626"/>
      <c r="GR41" s="626"/>
      <c r="GS41" s="626"/>
      <c r="GT41" s="626"/>
      <c r="GU41" s="626"/>
      <c r="GV41" s="626"/>
      <c r="GW41" s="626"/>
      <c r="GX41" s="626"/>
      <c r="GY41" s="626"/>
      <c r="GZ41" s="626"/>
      <c r="HA41" s="626"/>
      <c r="HB41" s="626"/>
      <c r="HC41" s="626"/>
      <c r="HD41" s="626"/>
      <c r="HE41" s="626"/>
      <c r="HF41" s="626"/>
      <c r="HG41" s="626"/>
      <c r="HH41" s="626"/>
      <c r="HI41" s="626"/>
      <c r="HJ41" s="626"/>
      <c r="HK41" s="626"/>
      <c r="HL41" s="626"/>
      <c r="HM41" s="626"/>
      <c r="HN41" s="626"/>
      <c r="HO41" s="626"/>
      <c r="HP41" s="626"/>
      <c r="HQ41" s="626"/>
      <c r="HR41" s="626"/>
      <c r="HS41" s="626"/>
      <c r="HT41" s="626"/>
      <c r="HU41" s="626"/>
      <c r="HV41" s="626"/>
      <c r="HW41" s="626"/>
      <c r="HX41" s="626"/>
      <c r="HY41" s="626"/>
      <c r="HZ41" s="626"/>
      <c r="IA41" s="626"/>
      <c r="IB41" s="626"/>
      <c r="IC41" s="626"/>
      <c r="ID41" s="626"/>
      <c r="IE41" s="626"/>
      <c r="IF41" s="626"/>
      <c r="IG41" s="626"/>
      <c r="IH41" s="626"/>
      <c r="II41" s="626"/>
      <c r="IJ41" s="626"/>
      <c r="IK41" s="626"/>
      <c r="IL41" s="626"/>
      <c r="IM41" s="626"/>
      <c r="IN41" s="626"/>
      <c r="IO41" s="626"/>
      <c r="IP41" s="626"/>
      <c r="IQ41" s="626"/>
      <c r="IR41" s="626"/>
      <c r="IS41" s="626"/>
      <c r="IT41" s="626"/>
      <c r="IU41" s="626"/>
    </row>
    <row r="42" spans="1:255" s="627" customFormat="1" ht="12.75" customHeight="1" thickBot="1" x14ac:dyDescent="0.25">
      <c r="A42" s="644" t="s">
        <v>17</v>
      </c>
      <c r="B42" s="679">
        <v>42582</v>
      </c>
      <c r="C42" s="489"/>
      <c r="D42" s="489"/>
      <c r="E42" s="678" t="s">
        <v>320</v>
      </c>
      <c r="F42" s="489"/>
      <c r="G42" s="623"/>
      <c r="H42" s="676">
        <v>250</v>
      </c>
      <c r="I42" s="678" t="s">
        <v>321</v>
      </c>
      <c r="J42" s="615" t="s">
        <v>17</v>
      </c>
      <c r="K42" s="118" t="s">
        <v>145</v>
      </c>
      <c r="L42" s="12" t="s">
        <v>148</v>
      </c>
      <c r="M42" s="12"/>
      <c r="N42" s="499"/>
      <c r="O42" s="499"/>
      <c r="P42" s="658">
        <v>31.32</v>
      </c>
      <c r="Q42" s="509"/>
      <c r="R42" s="509"/>
      <c r="S42" s="623"/>
      <c r="T42" s="677">
        <v>12.5</v>
      </c>
      <c r="U42" s="677">
        <v>1.18</v>
      </c>
      <c r="V42" s="123"/>
      <c r="W42" s="123"/>
      <c r="X42" s="123"/>
      <c r="Y42" s="624"/>
      <c r="Z42" s="625"/>
      <c r="AA42" s="625"/>
      <c r="AB42" s="625"/>
      <c r="AC42" s="625"/>
      <c r="AD42" s="625"/>
      <c r="AE42" s="625"/>
      <c r="AF42" s="625"/>
      <c r="AG42" s="625"/>
      <c r="AH42" s="625"/>
      <c r="AI42" s="625"/>
      <c r="AJ42" s="625"/>
      <c r="AK42" s="625"/>
      <c r="AL42" s="625"/>
      <c r="AM42" s="625"/>
      <c r="AN42" s="625"/>
      <c r="AO42" s="625"/>
      <c r="AP42" s="625"/>
      <c r="AQ42" s="625"/>
      <c r="AR42" s="625"/>
      <c r="AS42" s="625"/>
      <c r="AT42" s="625"/>
      <c r="AU42" s="625"/>
      <c r="AV42" s="625"/>
      <c r="AW42" s="625"/>
      <c r="AX42" s="625"/>
      <c r="AY42" s="625"/>
      <c r="AZ42" s="625"/>
      <c r="BA42" s="625"/>
      <c r="BB42" s="625"/>
      <c r="BC42" s="625"/>
      <c r="BD42" s="625"/>
      <c r="BE42" s="625"/>
      <c r="BF42" s="626"/>
      <c r="BG42" s="626"/>
      <c r="BH42" s="626"/>
      <c r="BI42" s="626"/>
      <c r="BJ42" s="626"/>
      <c r="BK42" s="626"/>
      <c r="BL42" s="626"/>
      <c r="BM42" s="626"/>
      <c r="BN42" s="626"/>
      <c r="BO42" s="626"/>
      <c r="BP42" s="626"/>
      <c r="BQ42" s="626"/>
      <c r="BR42" s="626"/>
      <c r="BS42" s="626"/>
      <c r="BT42" s="626"/>
      <c r="BU42" s="626"/>
      <c r="BV42" s="626"/>
      <c r="BW42" s="626"/>
      <c r="BX42" s="626"/>
      <c r="BY42" s="626"/>
      <c r="BZ42" s="626"/>
      <c r="CA42" s="626"/>
      <c r="CB42" s="626"/>
      <c r="CC42" s="626"/>
      <c r="CD42" s="626"/>
      <c r="CE42" s="626"/>
      <c r="CF42" s="626"/>
      <c r="CG42" s="626"/>
      <c r="CH42" s="626"/>
      <c r="CI42" s="626"/>
      <c r="CJ42" s="626"/>
      <c r="CK42" s="626"/>
      <c r="CL42" s="626"/>
      <c r="CM42" s="626"/>
      <c r="CN42" s="626"/>
      <c r="CO42" s="626"/>
      <c r="CP42" s="626"/>
      <c r="CQ42" s="626"/>
      <c r="CR42" s="626"/>
      <c r="CS42" s="626"/>
      <c r="CT42" s="626"/>
      <c r="CU42" s="626"/>
      <c r="CV42" s="626"/>
      <c r="CW42" s="626"/>
      <c r="CX42" s="626"/>
      <c r="CY42" s="626"/>
      <c r="CZ42" s="626"/>
      <c r="DA42" s="626"/>
      <c r="DB42" s="626"/>
      <c r="DC42" s="626"/>
      <c r="DD42" s="626"/>
      <c r="DE42" s="626"/>
      <c r="DF42" s="626"/>
      <c r="DG42" s="626"/>
      <c r="DH42" s="626"/>
      <c r="DI42" s="626"/>
      <c r="DJ42" s="626"/>
      <c r="DK42" s="626"/>
      <c r="DL42" s="626"/>
      <c r="DM42" s="626"/>
      <c r="DN42" s="626"/>
      <c r="DO42" s="626"/>
      <c r="DP42" s="626"/>
      <c r="DQ42" s="626"/>
      <c r="DR42" s="626"/>
      <c r="DS42" s="626"/>
      <c r="DT42" s="626"/>
      <c r="DU42" s="626"/>
      <c r="DV42" s="626"/>
      <c r="DW42" s="626"/>
      <c r="DX42" s="626"/>
      <c r="DY42" s="626"/>
      <c r="DZ42" s="626"/>
      <c r="EA42" s="626"/>
      <c r="EB42" s="626"/>
      <c r="EC42" s="626"/>
      <c r="ED42" s="626"/>
      <c r="EE42" s="626"/>
      <c r="EF42" s="626"/>
      <c r="EG42" s="626"/>
      <c r="EH42" s="626"/>
      <c r="EI42" s="626"/>
      <c r="EJ42" s="626"/>
      <c r="EK42" s="626"/>
      <c r="EL42" s="626"/>
      <c r="EM42" s="626"/>
      <c r="EN42" s="626"/>
      <c r="EO42" s="626"/>
      <c r="EP42" s="626"/>
      <c r="EQ42" s="626"/>
      <c r="ER42" s="626"/>
      <c r="ES42" s="626"/>
      <c r="ET42" s="626"/>
      <c r="EU42" s="626"/>
      <c r="EV42" s="626"/>
      <c r="EW42" s="626"/>
      <c r="EX42" s="626"/>
      <c r="EY42" s="626"/>
      <c r="EZ42" s="626"/>
      <c r="FA42" s="626"/>
      <c r="FB42" s="626"/>
      <c r="FC42" s="626"/>
      <c r="FD42" s="626"/>
      <c r="FE42" s="626"/>
      <c r="FF42" s="626"/>
      <c r="FG42" s="626"/>
      <c r="FH42" s="626"/>
      <c r="FI42" s="626"/>
      <c r="FJ42" s="626"/>
      <c r="FK42" s="626"/>
      <c r="FL42" s="626"/>
      <c r="FM42" s="626"/>
      <c r="FN42" s="626"/>
      <c r="FO42" s="626"/>
      <c r="FP42" s="626"/>
      <c r="FQ42" s="626"/>
      <c r="FR42" s="626"/>
      <c r="FS42" s="626"/>
      <c r="FT42" s="626"/>
      <c r="FU42" s="626"/>
      <c r="FV42" s="626"/>
      <c r="FW42" s="626"/>
      <c r="FX42" s="626"/>
      <c r="FY42" s="626"/>
      <c r="FZ42" s="626"/>
      <c r="GA42" s="626"/>
      <c r="GB42" s="626"/>
      <c r="GC42" s="626"/>
      <c r="GD42" s="626"/>
      <c r="GE42" s="626"/>
      <c r="GF42" s="626"/>
      <c r="GG42" s="626"/>
      <c r="GH42" s="626"/>
      <c r="GI42" s="626"/>
      <c r="GJ42" s="626"/>
      <c r="GK42" s="626"/>
      <c r="GL42" s="626"/>
      <c r="GM42" s="626"/>
      <c r="GN42" s="626"/>
      <c r="GO42" s="626"/>
      <c r="GP42" s="626"/>
      <c r="GQ42" s="626"/>
      <c r="GR42" s="626"/>
      <c r="GS42" s="626"/>
      <c r="GT42" s="626"/>
      <c r="GU42" s="626"/>
      <c r="GV42" s="626"/>
      <c r="GW42" s="626"/>
      <c r="GX42" s="626"/>
      <c r="GY42" s="626"/>
      <c r="GZ42" s="626"/>
      <c r="HA42" s="626"/>
      <c r="HB42" s="626"/>
      <c r="HC42" s="626"/>
      <c r="HD42" s="626"/>
      <c r="HE42" s="626"/>
      <c r="HF42" s="626"/>
      <c r="HG42" s="626"/>
      <c r="HH42" s="626"/>
      <c r="HI42" s="626"/>
      <c r="HJ42" s="626"/>
      <c r="HK42" s="626"/>
      <c r="HL42" s="626"/>
      <c r="HM42" s="626"/>
      <c r="HN42" s="626"/>
      <c r="HO42" s="626"/>
      <c r="HP42" s="626"/>
      <c r="HQ42" s="626"/>
      <c r="HR42" s="626"/>
      <c r="HS42" s="626"/>
      <c r="HT42" s="626"/>
      <c r="HU42" s="626"/>
      <c r="HV42" s="626"/>
      <c r="HW42" s="626"/>
      <c r="HX42" s="626"/>
      <c r="HY42" s="626"/>
      <c r="HZ42" s="626"/>
      <c r="IA42" s="626"/>
      <c r="IB42" s="626"/>
      <c r="IC42" s="626"/>
      <c r="ID42" s="626"/>
      <c r="IE42" s="626"/>
      <c r="IF42" s="626"/>
      <c r="IG42" s="626"/>
      <c r="IH42" s="626"/>
      <c r="II42" s="626"/>
      <c r="IJ42" s="626"/>
      <c r="IK42" s="626"/>
      <c r="IL42" s="626"/>
      <c r="IM42" s="626"/>
      <c r="IN42" s="626"/>
      <c r="IO42" s="626"/>
      <c r="IP42" s="626"/>
      <c r="IQ42" s="626"/>
      <c r="IR42" s="626"/>
      <c r="IS42" s="626"/>
      <c r="IT42" s="626"/>
      <c r="IU42" s="626"/>
    </row>
    <row r="43" spans="1:255" s="627" customFormat="1" ht="12.75" customHeight="1" thickBot="1" x14ac:dyDescent="0.25">
      <c r="A43" s="644" t="s">
        <v>17</v>
      </c>
      <c r="B43" s="679">
        <v>42582</v>
      </c>
      <c r="C43" s="489"/>
      <c r="D43" s="489"/>
      <c r="E43" s="678" t="s">
        <v>320</v>
      </c>
      <c r="F43" s="489"/>
      <c r="G43" s="623"/>
      <c r="H43" s="676">
        <v>231</v>
      </c>
      <c r="I43" s="678" t="s">
        <v>352</v>
      </c>
      <c r="J43" s="615" t="s">
        <v>17</v>
      </c>
      <c r="K43" s="118" t="s">
        <v>145</v>
      </c>
      <c r="L43" s="12" t="s">
        <v>148</v>
      </c>
      <c r="M43" s="12"/>
      <c r="N43" s="499"/>
      <c r="O43" s="499"/>
      <c r="P43" s="658">
        <v>37.96</v>
      </c>
      <c r="Q43" s="509"/>
      <c r="R43" s="509"/>
      <c r="S43" s="623"/>
      <c r="T43" s="677">
        <v>11.6</v>
      </c>
      <c r="U43" s="677">
        <v>1.1399999999999999</v>
      </c>
      <c r="V43" s="123"/>
      <c r="W43" s="123"/>
      <c r="X43" s="123"/>
      <c r="Y43" s="624"/>
      <c r="Z43" s="625"/>
      <c r="AA43" s="625"/>
      <c r="AB43" s="625"/>
      <c r="AC43" s="625"/>
      <c r="AD43" s="625"/>
      <c r="AE43" s="625"/>
      <c r="AF43" s="625"/>
      <c r="AG43" s="625"/>
      <c r="AH43" s="625"/>
      <c r="AI43" s="625"/>
      <c r="AJ43" s="625"/>
      <c r="AK43" s="625"/>
      <c r="AL43" s="625"/>
      <c r="AM43" s="625"/>
      <c r="AN43" s="625"/>
      <c r="AO43" s="625"/>
      <c r="AP43" s="625"/>
      <c r="AQ43" s="625"/>
      <c r="AR43" s="625"/>
      <c r="AS43" s="625"/>
      <c r="AT43" s="625"/>
      <c r="AU43" s="625"/>
      <c r="AV43" s="625"/>
      <c r="AW43" s="625"/>
      <c r="AX43" s="625"/>
      <c r="AY43" s="625"/>
      <c r="AZ43" s="625"/>
      <c r="BA43" s="625"/>
      <c r="BB43" s="625"/>
      <c r="BC43" s="625"/>
      <c r="BD43" s="625"/>
      <c r="BE43" s="625"/>
      <c r="BF43" s="626"/>
      <c r="BG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626"/>
      <c r="CN43" s="626"/>
      <c r="CO43" s="626"/>
      <c r="CP43" s="626"/>
      <c r="CQ43" s="626"/>
      <c r="CR43" s="626"/>
      <c r="CS43" s="626"/>
      <c r="CT43" s="626"/>
      <c r="CU43" s="626"/>
      <c r="CV43" s="626"/>
      <c r="CW43" s="626"/>
      <c r="CX43" s="626"/>
      <c r="CY43" s="626"/>
      <c r="CZ43" s="626"/>
      <c r="DA43" s="626"/>
      <c r="DB43" s="626"/>
      <c r="DC43" s="626"/>
      <c r="DD43" s="626"/>
      <c r="DE43" s="626"/>
      <c r="DF43" s="626"/>
      <c r="DG43" s="626"/>
      <c r="DH43" s="626"/>
      <c r="DI43" s="626"/>
      <c r="DJ43" s="626"/>
      <c r="DK43" s="626"/>
      <c r="DL43" s="626"/>
      <c r="DM43" s="626"/>
      <c r="DN43" s="626"/>
      <c r="DO43" s="626"/>
      <c r="DP43" s="626"/>
      <c r="DQ43" s="626"/>
      <c r="DR43" s="626"/>
      <c r="DS43" s="626"/>
      <c r="DT43" s="626"/>
      <c r="DU43" s="626"/>
      <c r="DV43" s="626"/>
      <c r="DW43" s="626"/>
      <c r="DX43" s="626"/>
      <c r="DY43" s="626"/>
      <c r="DZ43" s="626"/>
      <c r="EA43" s="626"/>
      <c r="EB43" s="626"/>
      <c r="EC43" s="626"/>
      <c r="ED43" s="626"/>
      <c r="EE43" s="626"/>
      <c r="EF43" s="626"/>
      <c r="EG43" s="626"/>
      <c r="EH43" s="626"/>
      <c r="EI43" s="626"/>
      <c r="EJ43" s="626"/>
      <c r="EK43" s="626"/>
      <c r="EL43" s="626"/>
      <c r="EM43" s="626"/>
      <c r="EN43" s="626"/>
      <c r="EO43" s="626"/>
      <c r="EP43" s="626"/>
      <c r="EQ43" s="626"/>
      <c r="ER43" s="626"/>
      <c r="ES43" s="626"/>
      <c r="ET43" s="626"/>
      <c r="EU43" s="626"/>
      <c r="EV43" s="626"/>
      <c r="EW43" s="626"/>
      <c r="EX43" s="626"/>
      <c r="EY43" s="626"/>
      <c r="EZ43" s="626"/>
      <c r="FA43" s="626"/>
      <c r="FB43" s="626"/>
      <c r="FC43" s="626"/>
      <c r="FD43" s="626"/>
      <c r="FE43" s="626"/>
      <c r="FF43" s="626"/>
      <c r="FG43" s="626"/>
      <c r="FH43" s="626"/>
      <c r="FI43" s="626"/>
      <c r="FJ43" s="626"/>
      <c r="FK43" s="626"/>
      <c r="FL43" s="626"/>
      <c r="FM43" s="626"/>
      <c r="FN43" s="626"/>
      <c r="FO43" s="626"/>
      <c r="FP43" s="626"/>
      <c r="FQ43" s="626"/>
      <c r="FR43" s="626"/>
      <c r="FS43" s="626"/>
      <c r="FT43" s="626"/>
      <c r="FU43" s="626"/>
      <c r="FV43" s="626"/>
      <c r="FW43" s="626"/>
      <c r="FX43" s="626"/>
      <c r="FY43" s="626"/>
      <c r="FZ43" s="626"/>
      <c r="GA43" s="626"/>
      <c r="GB43" s="626"/>
      <c r="GC43" s="626"/>
      <c r="GD43" s="626"/>
      <c r="GE43" s="626"/>
      <c r="GF43" s="626"/>
      <c r="GG43" s="626"/>
      <c r="GH43" s="626"/>
      <c r="GI43" s="626"/>
      <c r="GJ43" s="626"/>
      <c r="GK43" s="626"/>
      <c r="GL43" s="626"/>
      <c r="GM43" s="626"/>
      <c r="GN43" s="626"/>
      <c r="GO43" s="626"/>
      <c r="GP43" s="626"/>
      <c r="GQ43" s="626"/>
      <c r="GR43" s="626"/>
      <c r="GS43" s="626"/>
      <c r="GT43" s="626"/>
      <c r="GU43" s="626"/>
      <c r="GV43" s="626"/>
      <c r="GW43" s="626"/>
      <c r="GX43" s="626"/>
      <c r="GY43" s="626"/>
      <c r="GZ43" s="626"/>
      <c r="HA43" s="626"/>
      <c r="HB43" s="626"/>
      <c r="HC43" s="626"/>
      <c r="HD43" s="626"/>
      <c r="HE43" s="626"/>
      <c r="HF43" s="626"/>
      <c r="HG43" s="626"/>
      <c r="HH43" s="626"/>
      <c r="HI43" s="626"/>
      <c r="HJ43" s="626"/>
      <c r="HK43" s="626"/>
      <c r="HL43" s="626"/>
      <c r="HM43" s="626"/>
      <c r="HN43" s="626"/>
      <c r="HO43" s="626"/>
      <c r="HP43" s="626"/>
      <c r="HQ43" s="626"/>
      <c r="HR43" s="626"/>
      <c r="HS43" s="626"/>
      <c r="HT43" s="626"/>
      <c r="HU43" s="626"/>
      <c r="HV43" s="626"/>
      <c r="HW43" s="626"/>
      <c r="HX43" s="626"/>
      <c r="HY43" s="626"/>
      <c r="HZ43" s="626"/>
      <c r="IA43" s="626"/>
      <c r="IB43" s="626"/>
      <c r="IC43" s="626"/>
      <c r="ID43" s="626"/>
      <c r="IE43" s="626"/>
      <c r="IF43" s="626"/>
      <c r="IG43" s="626"/>
      <c r="IH43" s="626"/>
      <c r="II43" s="626"/>
      <c r="IJ43" s="626"/>
      <c r="IK43" s="626"/>
      <c r="IL43" s="626"/>
      <c r="IM43" s="626"/>
      <c r="IN43" s="626"/>
      <c r="IO43" s="626"/>
      <c r="IP43" s="626"/>
      <c r="IQ43" s="626"/>
      <c r="IR43" s="626"/>
      <c r="IS43" s="626"/>
      <c r="IT43" s="626"/>
      <c r="IU43" s="626"/>
    </row>
    <row r="44" spans="1:255" s="627" customFormat="1" ht="12.75" customHeight="1" thickBot="1" x14ac:dyDescent="0.25">
      <c r="A44" s="644" t="s">
        <v>17</v>
      </c>
      <c r="B44" s="679">
        <v>42582</v>
      </c>
      <c r="C44" s="489"/>
      <c r="D44" s="489"/>
      <c r="E44" s="678" t="s">
        <v>320</v>
      </c>
      <c r="F44" s="489"/>
      <c r="G44" s="623"/>
      <c r="H44" s="676">
        <v>232</v>
      </c>
      <c r="I44" s="678" t="s">
        <v>353</v>
      </c>
      <c r="J44" s="615" t="s">
        <v>17</v>
      </c>
      <c r="K44" s="118" t="s">
        <v>145</v>
      </c>
      <c r="L44" s="12" t="s">
        <v>148</v>
      </c>
      <c r="M44" s="12"/>
      <c r="N44" s="499"/>
      <c r="O44" s="499"/>
      <c r="P44" s="658">
        <v>38.96</v>
      </c>
      <c r="Q44" s="509"/>
      <c r="R44" s="509"/>
      <c r="S44" s="623"/>
      <c r="T44" s="677">
        <v>11.9</v>
      </c>
      <c r="U44" s="677">
        <v>1.26</v>
      </c>
      <c r="V44" s="123"/>
      <c r="W44" s="123"/>
      <c r="X44" s="123"/>
      <c r="Y44" s="624"/>
      <c r="Z44" s="625"/>
      <c r="AA44" s="625"/>
      <c r="AB44" s="625"/>
      <c r="AC44" s="625"/>
      <c r="AD44" s="625"/>
      <c r="AE44" s="625"/>
      <c r="AF44" s="625"/>
      <c r="AG44" s="625"/>
      <c r="AH44" s="625"/>
      <c r="AI44" s="625"/>
      <c r="AJ44" s="625"/>
      <c r="AK44" s="625"/>
      <c r="AL44" s="625"/>
      <c r="AM44" s="625"/>
      <c r="AN44" s="625"/>
      <c r="AO44" s="625"/>
      <c r="AP44" s="625"/>
      <c r="AQ44" s="625"/>
      <c r="AR44" s="625"/>
      <c r="AS44" s="625"/>
      <c r="AT44" s="625"/>
      <c r="AU44" s="625"/>
      <c r="AV44" s="625"/>
      <c r="AW44" s="625"/>
      <c r="AX44" s="625"/>
      <c r="AY44" s="625"/>
      <c r="AZ44" s="625"/>
      <c r="BA44" s="625"/>
      <c r="BB44" s="625"/>
      <c r="BC44" s="625"/>
      <c r="BD44" s="625"/>
      <c r="BE44" s="625"/>
      <c r="BF44" s="626"/>
      <c r="BG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626"/>
      <c r="CN44" s="626"/>
      <c r="CO44" s="626"/>
      <c r="CP44" s="626"/>
      <c r="CQ44" s="626"/>
      <c r="CR44" s="626"/>
      <c r="CS44" s="626"/>
      <c r="CT44" s="626"/>
      <c r="CU44" s="626"/>
      <c r="CV44" s="626"/>
      <c r="CW44" s="626"/>
      <c r="CX44" s="626"/>
      <c r="CY44" s="626"/>
      <c r="CZ44" s="626"/>
      <c r="DA44" s="626"/>
      <c r="DB44" s="626"/>
      <c r="DC44" s="626"/>
      <c r="DD44" s="626"/>
      <c r="DE44" s="626"/>
      <c r="DF44" s="626"/>
      <c r="DG44" s="626"/>
      <c r="DH44" s="626"/>
      <c r="DI44" s="626"/>
      <c r="DJ44" s="626"/>
      <c r="DK44" s="626"/>
      <c r="DL44" s="626"/>
      <c r="DM44" s="626"/>
      <c r="DN44" s="626"/>
      <c r="DO44" s="626"/>
      <c r="DP44" s="626"/>
      <c r="DQ44" s="626"/>
      <c r="DR44" s="626"/>
      <c r="DS44" s="626"/>
      <c r="DT44" s="626"/>
      <c r="DU44" s="626"/>
      <c r="DV44" s="626"/>
      <c r="DW44" s="626"/>
      <c r="DX44" s="626"/>
      <c r="DY44" s="626"/>
      <c r="DZ44" s="626"/>
      <c r="EA44" s="626"/>
      <c r="EB44" s="626"/>
      <c r="EC44" s="626"/>
      <c r="ED44" s="626"/>
      <c r="EE44" s="626"/>
      <c r="EF44" s="626"/>
      <c r="EG44" s="626"/>
      <c r="EH44" s="626"/>
      <c r="EI44" s="626"/>
      <c r="EJ44" s="626"/>
      <c r="EK44" s="626"/>
      <c r="EL44" s="626"/>
      <c r="EM44" s="626"/>
      <c r="EN44" s="626"/>
      <c r="EO44" s="626"/>
      <c r="EP44" s="626"/>
      <c r="EQ44" s="626"/>
      <c r="ER44" s="626"/>
      <c r="ES44" s="626"/>
      <c r="ET44" s="626"/>
      <c r="EU44" s="626"/>
      <c r="EV44" s="626"/>
      <c r="EW44" s="626"/>
      <c r="EX44" s="626"/>
      <c r="EY44" s="626"/>
      <c r="EZ44" s="626"/>
      <c r="FA44" s="626"/>
      <c r="FB44" s="626"/>
      <c r="FC44" s="626"/>
      <c r="FD44" s="626"/>
      <c r="FE44" s="626"/>
      <c r="FF44" s="626"/>
      <c r="FG44" s="626"/>
      <c r="FH44" s="626"/>
      <c r="FI44" s="626"/>
      <c r="FJ44" s="626"/>
      <c r="FK44" s="626"/>
      <c r="FL44" s="626"/>
      <c r="FM44" s="626"/>
      <c r="FN44" s="626"/>
      <c r="FO44" s="626"/>
      <c r="FP44" s="626"/>
      <c r="FQ44" s="626"/>
      <c r="FR44" s="626"/>
      <c r="FS44" s="626"/>
      <c r="FT44" s="626"/>
      <c r="FU44" s="626"/>
      <c r="FV44" s="626"/>
      <c r="FW44" s="626"/>
      <c r="FX44" s="626"/>
      <c r="FY44" s="626"/>
      <c r="FZ44" s="626"/>
      <c r="GA44" s="626"/>
      <c r="GB44" s="626"/>
      <c r="GC44" s="626"/>
      <c r="GD44" s="626"/>
      <c r="GE44" s="626"/>
      <c r="GF44" s="626"/>
      <c r="GG44" s="626"/>
      <c r="GH44" s="626"/>
      <c r="GI44" s="626"/>
      <c r="GJ44" s="626"/>
      <c r="GK44" s="626"/>
      <c r="GL44" s="626"/>
      <c r="GM44" s="626"/>
      <c r="GN44" s="626"/>
      <c r="GO44" s="626"/>
      <c r="GP44" s="626"/>
      <c r="GQ44" s="626"/>
      <c r="GR44" s="626"/>
      <c r="GS44" s="626"/>
      <c r="GT44" s="626"/>
      <c r="GU44" s="626"/>
      <c r="GV44" s="626"/>
      <c r="GW44" s="626"/>
      <c r="GX44" s="626"/>
      <c r="GY44" s="626"/>
      <c r="GZ44" s="626"/>
      <c r="HA44" s="626"/>
      <c r="HB44" s="626"/>
      <c r="HC44" s="626"/>
      <c r="HD44" s="626"/>
      <c r="HE44" s="626"/>
      <c r="HF44" s="626"/>
      <c r="HG44" s="626"/>
      <c r="HH44" s="626"/>
      <c r="HI44" s="626"/>
      <c r="HJ44" s="626"/>
      <c r="HK44" s="626"/>
      <c r="HL44" s="626"/>
      <c r="HM44" s="626"/>
      <c r="HN44" s="626"/>
      <c r="HO44" s="626"/>
      <c r="HP44" s="626"/>
      <c r="HQ44" s="626"/>
      <c r="HR44" s="626"/>
      <c r="HS44" s="626"/>
      <c r="HT44" s="626"/>
      <c r="HU44" s="626"/>
      <c r="HV44" s="626"/>
      <c r="HW44" s="626"/>
      <c r="HX44" s="626"/>
      <c r="HY44" s="626"/>
      <c r="HZ44" s="626"/>
      <c r="IA44" s="626"/>
      <c r="IB44" s="626"/>
      <c r="IC44" s="626"/>
      <c r="ID44" s="626"/>
      <c r="IE44" s="626"/>
      <c r="IF44" s="626"/>
      <c r="IG44" s="626"/>
      <c r="IH44" s="626"/>
      <c r="II44" s="626"/>
      <c r="IJ44" s="626"/>
      <c r="IK44" s="626"/>
      <c r="IL44" s="626"/>
      <c r="IM44" s="626"/>
      <c r="IN44" s="626"/>
      <c r="IO44" s="626"/>
      <c r="IP44" s="626"/>
      <c r="IQ44" s="626"/>
      <c r="IR44" s="626"/>
      <c r="IS44" s="626"/>
      <c r="IT44" s="626"/>
      <c r="IU44" s="626"/>
    </row>
    <row r="45" spans="1:255" s="627" customFormat="1" ht="12.75" customHeight="1" thickBot="1" x14ac:dyDescent="0.25">
      <c r="A45" s="644" t="s">
        <v>17</v>
      </c>
      <c r="B45" s="679">
        <v>42582</v>
      </c>
      <c r="C45" s="489"/>
      <c r="D45" s="489"/>
      <c r="E45" s="678" t="s">
        <v>320</v>
      </c>
      <c r="F45" s="489"/>
      <c r="G45" s="623"/>
      <c r="H45" s="676">
        <v>236</v>
      </c>
      <c r="I45" s="678" t="s">
        <v>323</v>
      </c>
      <c r="J45" s="615" t="s">
        <v>17</v>
      </c>
      <c r="K45" s="118" t="s">
        <v>145</v>
      </c>
      <c r="L45" s="12" t="s">
        <v>148</v>
      </c>
      <c r="M45" s="12"/>
      <c r="N45" s="499"/>
      <c r="O45" s="499"/>
      <c r="P45" s="658">
        <v>46.66</v>
      </c>
      <c r="Q45" s="509"/>
      <c r="R45" s="509"/>
      <c r="S45" s="623"/>
      <c r="T45" s="677">
        <v>11.3</v>
      </c>
      <c r="U45" s="677">
        <v>1</v>
      </c>
      <c r="V45" s="123"/>
      <c r="W45" s="123"/>
      <c r="X45" s="123"/>
      <c r="Y45" s="624"/>
      <c r="Z45" s="625"/>
      <c r="AA45" s="625"/>
      <c r="AB45" s="625"/>
      <c r="AC45" s="625"/>
      <c r="AD45" s="625"/>
      <c r="AE45" s="625"/>
      <c r="AF45" s="625"/>
      <c r="AG45" s="625"/>
      <c r="AH45" s="625"/>
      <c r="AI45" s="625"/>
      <c r="AJ45" s="625"/>
      <c r="AK45" s="625"/>
      <c r="AL45" s="625"/>
      <c r="AM45" s="625"/>
      <c r="AN45" s="625"/>
      <c r="AO45" s="625"/>
      <c r="AP45" s="625"/>
      <c r="AQ45" s="625"/>
      <c r="AR45" s="625"/>
      <c r="AS45" s="625"/>
      <c r="AT45" s="625"/>
      <c r="AU45" s="625"/>
      <c r="AV45" s="625"/>
      <c r="AW45" s="625"/>
      <c r="AX45" s="625"/>
      <c r="AY45" s="625"/>
      <c r="AZ45" s="625"/>
      <c r="BA45" s="625"/>
      <c r="BB45" s="625"/>
      <c r="BC45" s="625"/>
      <c r="BD45" s="625"/>
      <c r="BE45" s="625"/>
      <c r="BF45" s="626"/>
      <c r="BG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626"/>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c r="DP45" s="626"/>
      <c r="DQ45" s="626"/>
      <c r="DR45" s="626"/>
      <c r="DS45" s="626"/>
      <c r="DT45" s="626"/>
      <c r="DU45" s="626"/>
      <c r="DV45" s="626"/>
      <c r="DW45" s="626"/>
      <c r="DX45" s="626"/>
      <c r="DY45" s="626"/>
      <c r="DZ45" s="626"/>
      <c r="EA45" s="626"/>
      <c r="EB45" s="626"/>
      <c r="EC45" s="626"/>
      <c r="ED45" s="626"/>
      <c r="EE45" s="626"/>
      <c r="EF45" s="626"/>
      <c r="EG45" s="626"/>
      <c r="EH45" s="626"/>
      <c r="EI45" s="626"/>
      <c r="EJ45" s="626"/>
      <c r="EK45" s="626"/>
      <c r="EL45" s="626"/>
      <c r="EM45" s="626"/>
      <c r="EN45" s="626"/>
      <c r="EO45" s="626"/>
      <c r="EP45" s="626"/>
      <c r="EQ45" s="626"/>
      <c r="ER45" s="626"/>
      <c r="ES45" s="626"/>
      <c r="ET45" s="626"/>
      <c r="EU45" s="626"/>
      <c r="EV45" s="626"/>
      <c r="EW45" s="626"/>
      <c r="EX45" s="626"/>
      <c r="EY45" s="626"/>
      <c r="EZ45" s="626"/>
      <c r="FA45" s="626"/>
      <c r="FB45" s="626"/>
      <c r="FC45" s="626"/>
      <c r="FD45" s="626"/>
      <c r="FE45" s="626"/>
      <c r="FF45" s="626"/>
      <c r="FG45" s="626"/>
      <c r="FH45" s="626"/>
      <c r="FI45" s="626"/>
      <c r="FJ45" s="626"/>
      <c r="FK45" s="626"/>
      <c r="FL45" s="626"/>
      <c r="FM45" s="626"/>
      <c r="FN45" s="626"/>
      <c r="FO45" s="626"/>
      <c r="FP45" s="626"/>
      <c r="FQ45" s="626"/>
      <c r="FR45" s="626"/>
      <c r="FS45" s="626"/>
      <c r="FT45" s="626"/>
      <c r="FU45" s="626"/>
      <c r="FV45" s="626"/>
      <c r="FW45" s="626"/>
      <c r="FX45" s="626"/>
      <c r="FY45" s="626"/>
      <c r="FZ45" s="626"/>
      <c r="GA45" s="626"/>
      <c r="GB45" s="626"/>
      <c r="GC45" s="626"/>
      <c r="GD45" s="626"/>
      <c r="GE45" s="626"/>
      <c r="GF45" s="626"/>
      <c r="GG45" s="626"/>
      <c r="GH45" s="626"/>
      <c r="GI45" s="626"/>
      <c r="GJ45" s="626"/>
      <c r="GK45" s="626"/>
      <c r="GL45" s="626"/>
      <c r="GM45" s="626"/>
      <c r="GN45" s="626"/>
      <c r="GO45" s="626"/>
      <c r="GP45" s="626"/>
      <c r="GQ45" s="626"/>
      <c r="GR45" s="626"/>
      <c r="GS45" s="626"/>
      <c r="GT45" s="626"/>
      <c r="GU45" s="626"/>
      <c r="GV45" s="626"/>
      <c r="GW45" s="626"/>
      <c r="GX45" s="626"/>
      <c r="GY45" s="626"/>
      <c r="GZ45" s="626"/>
      <c r="HA45" s="626"/>
      <c r="HB45" s="626"/>
      <c r="HC45" s="626"/>
      <c r="HD45" s="626"/>
      <c r="HE45" s="626"/>
      <c r="HF45" s="626"/>
      <c r="HG45" s="626"/>
      <c r="HH45" s="626"/>
      <c r="HI45" s="626"/>
      <c r="HJ45" s="626"/>
      <c r="HK45" s="626"/>
      <c r="HL45" s="626"/>
      <c r="HM45" s="626"/>
      <c r="HN45" s="626"/>
      <c r="HO45" s="626"/>
      <c r="HP45" s="626"/>
      <c r="HQ45" s="626"/>
      <c r="HR45" s="626"/>
      <c r="HS45" s="626"/>
      <c r="HT45" s="626"/>
      <c r="HU45" s="626"/>
      <c r="HV45" s="626"/>
      <c r="HW45" s="626"/>
      <c r="HX45" s="626"/>
      <c r="HY45" s="626"/>
      <c r="HZ45" s="626"/>
      <c r="IA45" s="626"/>
      <c r="IB45" s="626"/>
      <c r="IC45" s="626"/>
      <c r="ID45" s="626"/>
      <c r="IE45" s="626"/>
      <c r="IF45" s="626"/>
      <c r="IG45" s="626"/>
      <c r="IH45" s="626"/>
      <c r="II45" s="626"/>
      <c r="IJ45" s="626"/>
      <c r="IK45" s="626"/>
      <c r="IL45" s="626"/>
      <c r="IM45" s="626"/>
      <c r="IN45" s="626"/>
      <c r="IO45" s="626"/>
      <c r="IP45" s="626"/>
      <c r="IQ45" s="626"/>
      <c r="IR45" s="626"/>
      <c r="IS45" s="626"/>
      <c r="IT45" s="626"/>
      <c r="IU45" s="626"/>
    </row>
    <row r="46" spans="1:255" s="627" customFormat="1" ht="12.75" customHeight="1" thickBot="1" x14ac:dyDescent="0.25">
      <c r="A46" s="644" t="s">
        <v>17</v>
      </c>
      <c r="B46" s="679">
        <v>42582</v>
      </c>
      <c r="C46" s="489"/>
      <c r="D46" s="489"/>
      <c r="E46" s="678" t="s">
        <v>320</v>
      </c>
      <c r="F46" s="489"/>
      <c r="G46" s="623"/>
      <c r="H46" s="676">
        <v>248</v>
      </c>
      <c r="I46" s="678" t="s">
        <v>329</v>
      </c>
      <c r="J46" s="615" t="s">
        <v>17</v>
      </c>
      <c r="K46" s="118" t="s">
        <v>145</v>
      </c>
      <c r="L46" s="12" t="s">
        <v>148</v>
      </c>
      <c r="M46" s="12"/>
      <c r="N46" s="499"/>
      <c r="O46" s="499"/>
      <c r="P46" s="658">
        <v>32.020000000000003</v>
      </c>
      <c r="Q46" s="509"/>
      <c r="R46" s="509"/>
      <c r="S46" s="623"/>
      <c r="T46" s="677">
        <v>12.5</v>
      </c>
      <c r="U46" s="677">
        <v>1.06</v>
      </c>
      <c r="V46" s="123"/>
      <c r="W46" s="123"/>
      <c r="X46" s="123"/>
      <c r="Y46" s="624"/>
      <c r="Z46" s="625"/>
      <c r="AA46" s="625"/>
      <c r="AB46" s="625"/>
      <c r="AC46" s="625"/>
      <c r="AD46" s="625"/>
      <c r="AE46" s="625"/>
      <c r="AF46" s="625"/>
      <c r="AG46" s="625"/>
      <c r="AH46" s="625"/>
      <c r="AI46" s="625"/>
      <c r="AJ46" s="625"/>
      <c r="AK46" s="625"/>
      <c r="AL46" s="625"/>
      <c r="AM46" s="625"/>
      <c r="AN46" s="625"/>
      <c r="AO46" s="625"/>
      <c r="AP46" s="625"/>
      <c r="AQ46" s="625"/>
      <c r="AR46" s="625"/>
      <c r="AS46" s="625"/>
      <c r="AT46" s="625"/>
      <c r="AU46" s="625"/>
      <c r="AV46" s="625"/>
      <c r="AW46" s="625"/>
      <c r="AX46" s="625"/>
      <c r="AY46" s="625"/>
      <c r="AZ46" s="625"/>
      <c r="BA46" s="625"/>
      <c r="BB46" s="625"/>
      <c r="BC46" s="625"/>
      <c r="BD46" s="625"/>
      <c r="BE46" s="625"/>
      <c r="BF46" s="626"/>
      <c r="BG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c r="DP46" s="626"/>
      <c r="DQ46" s="626"/>
      <c r="DR46" s="626"/>
      <c r="DS46" s="626"/>
      <c r="DT46" s="626"/>
      <c r="DU46" s="626"/>
      <c r="DV46" s="626"/>
      <c r="DW46" s="626"/>
      <c r="DX46" s="626"/>
      <c r="DY46" s="626"/>
      <c r="DZ46" s="626"/>
      <c r="EA46" s="626"/>
      <c r="EB46" s="626"/>
      <c r="EC46" s="626"/>
      <c r="ED46" s="626"/>
      <c r="EE46" s="626"/>
      <c r="EF46" s="626"/>
      <c r="EG46" s="626"/>
      <c r="EH46" s="626"/>
      <c r="EI46" s="626"/>
      <c r="EJ46" s="626"/>
      <c r="EK46" s="626"/>
      <c r="EL46" s="626"/>
      <c r="EM46" s="626"/>
      <c r="EN46" s="626"/>
      <c r="EO46" s="626"/>
      <c r="EP46" s="626"/>
      <c r="EQ46" s="626"/>
      <c r="ER46" s="626"/>
      <c r="ES46" s="626"/>
      <c r="ET46" s="626"/>
      <c r="EU46" s="626"/>
      <c r="EV46" s="626"/>
      <c r="EW46" s="626"/>
      <c r="EX46" s="626"/>
      <c r="EY46" s="626"/>
      <c r="EZ46" s="626"/>
      <c r="FA46" s="626"/>
      <c r="FB46" s="626"/>
      <c r="FC46" s="626"/>
      <c r="FD46" s="626"/>
      <c r="FE46" s="626"/>
      <c r="FF46" s="626"/>
      <c r="FG46" s="626"/>
      <c r="FH46" s="626"/>
      <c r="FI46" s="626"/>
      <c r="FJ46" s="626"/>
      <c r="FK46" s="626"/>
      <c r="FL46" s="626"/>
      <c r="FM46" s="626"/>
      <c r="FN46" s="626"/>
      <c r="FO46" s="626"/>
      <c r="FP46" s="626"/>
      <c r="FQ46" s="626"/>
      <c r="FR46" s="626"/>
      <c r="FS46" s="626"/>
      <c r="FT46" s="626"/>
      <c r="FU46" s="626"/>
      <c r="FV46" s="626"/>
      <c r="FW46" s="626"/>
      <c r="FX46" s="626"/>
      <c r="FY46" s="626"/>
      <c r="FZ46" s="626"/>
      <c r="GA46" s="626"/>
      <c r="GB46" s="626"/>
      <c r="GC46" s="626"/>
      <c r="GD46" s="626"/>
      <c r="GE46" s="626"/>
      <c r="GF46" s="626"/>
      <c r="GG46" s="626"/>
      <c r="GH46" s="626"/>
      <c r="GI46" s="626"/>
      <c r="GJ46" s="626"/>
      <c r="GK46" s="626"/>
      <c r="GL46" s="626"/>
      <c r="GM46" s="626"/>
      <c r="GN46" s="626"/>
      <c r="GO46" s="626"/>
      <c r="GP46" s="626"/>
      <c r="GQ46" s="626"/>
      <c r="GR46" s="626"/>
      <c r="GS46" s="626"/>
      <c r="GT46" s="626"/>
      <c r="GU46" s="626"/>
      <c r="GV46" s="626"/>
      <c r="GW46" s="626"/>
      <c r="GX46" s="626"/>
      <c r="GY46" s="626"/>
      <c r="GZ46" s="626"/>
      <c r="HA46" s="626"/>
      <c r="HB46" s="626"/>
      <c r="HC46" s="626"/>
      <c r="HD46" s="626"/>
      <c r="HE46" s="626"/>
      <c r="HF46" s="626"/>
      <c r="HG46" s="626"/>
      <c r="HH46" s="626"/>
      <c r="HI46" s="626"/>
      <c r="HJ46" s="626"/>
      <c r="HK46" s="626"/>
      <c r="HL46" s="626"/>
      <c r="HM46" s="626"/>
      <c r="HN46" s="626"/>
      <c r="HO46" s="626"/>
      <c r="HP46" s="626"/>
      <c r="HQ46" s="626"/>
      <c r="HR46" s="626"/>
      <c r="HS46" s="626"/>
      <c r="HT46" s="626"/>
      <c r="HU46" s="626"/>
      <c r="HV46" s="626"/>
      <c r="HW46" s="626"/>
      <c r="HX46" s="626"/>
      <c r="HY46" s="626"/>
      <c r="HZ46" s="626"/>
      <c r="IA46" s="626"/>
      <c r="IB46" s="626"/>
      <c r="IC46" s="626"/>
      <c r="ID46" s="626"/>
      <c r="IE46" s="626"/>
      <c r="IF46" s="626"/>
      <c r="IG46" s="626"/>
      <c r="IH46" s="626"/>
      <c r="II46" s="626"/>
      <c r="IJ46" s="626"/>
      <c r="IK46" s="626"/>
      <c r="IL46" s="626"/>
      <c r="IM46" s="626"/>
      <c r="IN46" s="626"/>
      <c r="IO46" s="626"/>
      <c r="IP46" s="626"/>
      <c r="IQ46" s="626"/>
      <c r="IR46" s="626"/>
      <c r="IS46" s="626"/>
      <c r="IT46" s="626"/>
      <c r="IU46" s="626"/>
    </row>
    <row r="47" spans="1:255" s="627" customFormat="1" ht="12.75" customHeight="1" thickBot="1" x14ac:dyDescent="0.25">
      <c r="A47" s="644" t="s">
        <v>17</v>
      </c>
      <c r="B47" s="679">
        <v>42581</v>
      </c>
      <c r="C47" s="489"/>
      <c r="D47" s="489"/>
      <c r="E47" s="678" t="s">
        <v>361</v>
      </c>
      <c r="F47" s="489"/>
      <c r="G47" s="623"/>
      <c r="H47" s="676">
        <v>348890</v>
      </c>
      <c r="I47" s="678" t="s">
        <v>358</v>
      </c>
      <c r="J47" s="615" t="s">
        <v>17</v>
      </c>
      <c r="K47" s="118" t="s">
        <v>145</v>
      </c>
      <c r="L47" s="12" t="s">
        <v>149</v>
      </c>
      <c r="M47" s="12"/>
      <c r="N47" s="499"/>
      <c r="O47" s="499"/>
      <c r="P47" s="658">
        <v>24.2</v>
      </c>
      <c r="Q47" s="509"/>
      <c r="R47" s="509"/>
      <c r="S47" s="623"/>
      <c r="T47" s="677">
        <v>11.5</v>
      </c>
      <c r="U47" s="677">
        <v>2</v>
      </c>
      <c r="V47" s="123"/>
      <c r="W47" s="123"/>
      <c r="X47" s="123"/>
      <c r="Y47" s="624"/>
      <c r="Z47" s="625"/>
      <c r="AA47" s="625"/>
      <c r="AB47" s="625"/>
      <c r="AC47" s="625"/>
      <c r="AD47" s="625"/>
      <c r="AE47" s="625"/>
      <c r="AF47" s="625"/>
      <c r="AG47" s="625"/>
      <c r="AH47" s="625"/>
      <c r="AI47" s="625"/>
      <c r="AJ47" s="625"/>
      <c r="AK47" s="625"/>
      <c r="AL47" s="625"/>
      <c r="AM47" s="625"/>
      <c r="AN47" s="625"/>
      <c r="AO47" s="625"/>
      <c r="AP47" s="625"/>
      <c r="AQ47" s="625"/>
      <c r="AR47" s="625"/>
      <c r="AS47" s="625"/>
      <c r="AT47" s="625"/>
      <c r="AU47" s="625"/>
      <c r="AV47" s="625"/>
      <c r="AW47" s="625"/>
      <c r="AX47" s="625"/>
      <c r="AY47" s="625"/>
      <c r="AZ47" s="625"/>
      <c r="BA47" s="625"/>
      <c r="BB47" s="625"/>
      <c r="BC47" s="625"/>
      <c r="BD47" s="625"/>
      <c r="BE47" s="625"/>
      <c r="BF47" s="626"/>
      <c r="BG47" s="626"/>
      <c r="BH47" s="626"/>
      <c r="BI47" s="626"/>
      <c r="BJ47" s="626"/>
      <c r="BK47" s="626"/>
      <c r="BL47" s="626"/>
      <c r="BM47" s="626"/>
      <c r="BN47" s="626"/>
      <c r="BO47" s="626"/>
      <c r="BP47" s="626"/>
      <c r="BQ47" s="626"/>
      <c r="BR47" s="626"/>
      <c r="BS47" s="626"/>
      <c r="BT47" s="626"/>
      <c r="BU47" s="626"/>
      <c r="BV47" s="626"/>
      <c r="BW47" s="626"/>
      <c r="BX47" s="626"/>
      <c r="BY47" s="626"/>
      <c r="BZ47" s="626"/>
      <c r="CA47" s="626"/>
      <c r="CB47" s="626"/>
      <c r="CC47" s="626"/>
      <c r="CD47" s="626"/>
      <c r="CE47" s="626"/>
      <c r="CF47" s="626"/>
      <c r="CG47" s="626"/>
      <c r="CH47" s="626"/>
      <c r="CI47" s="626"/>
      <c r="CJ47" s="626"/>
      <c r="CK47" s="626"/>
      <c r="CL47" s="626"/>
      <c r="CM47" s="626"/>
      <c r="CN47" s="626"/>
      <c r="CO47" s="626"/>
      <c r="CP47" s="626"/>
      <c r="CQ47" s="626"/>
      <c r="CR47" s="626"/>
      <c r="CS47" s="626"/>
      <c r="CT47" s="626"/>
      <c r="CU47" s="626"/>
      <c r="CV47" s="626"/>
      <c r="CW47" s="626"/>
      <c r="CX47" s="626"/>
      <c r="CY47" s="626"/>
      <c r="CZ47" s="626"/>
      <c r="DA47" s="626"/>
      <c r="DB47" s="626"/>
      <c r="DC47" s="626"/>
      <c r="DD47" s="626"/>
      <c r="DE47" s="626"/>
      <c r="DF47" s="626"/>
      <c r="DG47" s="626"/>
      <c r="DH47" s="626"/>
      <c r="DI47" s="626"/>
      <c r="DJ47" s="626"/>
      <c r="DK47" s="626"/>
      <c r="DL47" s="626"/>
      <c r="DM47" s="626"/>
      <c r="DN47" s="626"/>
      <c r="DO47" s="626"/>
      <c r="DP47" s="626"/>
      <c r="DQ47" s="626"/>
      <c r="DR47" s="626"/>
      <c r="DS47" s="626"/>
      <c r="DT47" s="626"/>
      <c r="DU47" s="626"/>
      <c r="DV47" s="626"/>
      <c r="DW47" s="626"/>
      <c r="DX47" s="626"/>
      <c r="DY47" s="626"/>
      <c r="DZ47" s="626"/>
      <c r="EA47" s="626"/>
      <c r="EB47" s="626"/>
      <c r="EC47" s="626"/>
      <c r="ED47" s="626"/>
      <c r="EE47" s="626"/>
      <c r="EF47" s="626"/>
      <c r="EG47" s="626"/>
      <c r="EH47" s="626"/>
      <c r="EI47" s="626"/>
      <c r="EJ47" s="626"/>
      <c r="EK47" s="626"/>
      <c r="EL47" s="626"/>
      <c r="EM47" s="626"/>
      <c r="EN47" s="626"/>
      <c r="EO47" s="626"/>
      <c r="EP47" s="626"/>
      <c r="EQ47" s="626"/>
      <c r="ER47" s="626"/>
      <c r="ES47" s="626"/>
      <c r="ET47" s="626"/>
      <c r="EU47" s="626"/>
      <c r="EV47" s="626"/>
      <c r="EW47" s="626"/>
      <c r="EX47" s="626"/>
      <c r="EY47" s="626"/>
      <c r="EZ47" s="626"/>
      <c r="FA47" s="626"/>
      <c r="FB47" s="626"/>
      <c r="FC47" s="626"/>
      <c r="FD47" s="626"/>
      <c r="FE47" s="626"/>
      <c r="FF47" s="626"/>
      <c r="FG47" s="626"/>
      <c r="FH47" s="626"/>
      <c r="FI47" s="626"/>
      <c r="FJ47" s="626"/>
      <c r="FK47" s="626"/>
      <c r="FL47" s="626"/>
      <c r="FM47" s="626"/>
      <c r="FN47" s="626"/>
      <c r="FO47" s="626"/>
      <c r="FP47" s="626"/>
      <c r="FQ47" s="626"/>
      <c r="FR47" s="626"/>
      <c r="FS47" s="626"/>
      <c r="FT47" s="626"/>
      <c r="FU47" s="626"/>
      <c r="FV47" s="626"/>
      <c r="FW47" s="626"/>
      <c r="FX47" s="626"/>
      <c r="FY47" s="626"/>
      <c r="FZ47" s="626"/>
      <c r="GA47" s="626"/>
      <c r="GB47" s="626"/>
      <c r="GC47" s="626"/>
      <c r="GD47" s="626"/>
      <c r="GE47" s="626"/>
      <c r="GF47" s="626"/>
      <c r="GG47" s="626"/>
      <c r="GH47" s="626"/>
      <c r="GI47" s="626"/>
      <c r="GJ47" s="626"/>
      <c r="GK47" s="626"/>
      <c r="GL47" s="626"/>
      <c r="GM47" s="626"/>
      <c r="GN47" s="626"/>
      <c r="GO47" s="626"/>
      <c r="GP47" s="626"/>
      <c r="GQ47" s="626"/>
      <c r="GR47" s="626"/>
      <c r="GS47" s="626"/>
      <c r="GT47" s="626"/>
      <c r="GU47" s="626"/>
      <c r="GV47" s="626"/>
      <c r="GW47" s="626"/>
      <c r="GX47" s="626"/>
      <c r="GY47" s="626"/>
      <c r="GZ47" s="626"/>
      <c r="HA47" s="626"/>
      <c r="HB47" s="626"/>
      <c r="HC47" s="626"/>
      <c r="HD47" s="626"/>
      <c r="HE47" s="626"/>
      <c r="HF47" s="626"/>
      <c r="HG47" s="626"/>
      <c r="HH47" s="626"/>
      <c r="HI47" s="626"/>
      <c r="HJ47" s="626"/>
      <c r="HK47" s="626"/>
      <c r="HL47" s="626"/>
      <c r="HM47" s="626"/>
      <c r="HN47" s="626"/>
      <c r="HO47" s="626"/>
      <c r="HP47" s="626"/>
      <c r="HQ47" s="626"/>
      <c r="HR47" s="626"/>
      <c r="HS47" s="626"/>
      <c r="HT47" s="626"/>
      <c r="HU47" s="626"/>
      <c r="HV47" s="626"/>
      <c r="HW47" s="626"/>
      <c r="HX47" s="626"/>
      <c r="HY47" s="626"/>
      <c r="HZ47" s="626"/>
      <c r="IA47" s="626"/>
      <c r="IB47" s="626"/>
      <c r="IC47" s="626"/>
      <c r="ID47" s="626"/>
      <c r="IE47" s="626"/>
      <c r="IF47" s="626"/>
      <c r="IG47" s="626"/>
      <c r="IH47" s="626"/>
      <c r="II47" s="626"/>
      <c r="IJ47" s="626"/>
      <c r="IK47" s="626"/>
      <c r="IL47" s="626"/>
      <c r="IM47" s="626"/>
      <c r="IN47" s="626"/>
      <c r="IO47" s="626"/>
      <c r="IP47" s="626"/>
      <c r="IQ47" s="626"/>
      <c r="IR47" s="626"/>
      <c r="IS47" s="626"/>
      <c r="IT47" s="626"/>
      <c r="IU47" s="626"/>
    </row>
    <row r="48" spans="1:255" s="627" customFormat="1" ht="12.75" customHeight="1" thickBot="1" x14ac:dyDescent="0.25">
      <c r="A48" s="644" t="s">
        <v>17</v>
      </c>
      <c r="B48" s="679">
        <v>42581</v>
      </c>
      <c r="C48" s="489"/>
      <c r="D48" s="489"/>
      <c r="E48" s="678" t="s">
        <v>361</v>
      </c>
      <c r="F48" s="489"/>
      <c r="G48" s="623"/>
      <c r="H48" s="676">
        <v>348889</v>
      </c>
      <c r="I48" s="678" t="s">
        <v>389</v>
      </c>
      <c r="J48" s="615" t="s">
        <v>17</v>
      </c>
      <c r="K48" s="118" t="s">
        <v>145</v>
      </c>
      <c r="L48" s="12" t="s">
        <v>149</v>
      </c>
      <c r="M48" s="12"/>
      <c r="N48" s="499"/>
      <c r="O48" s="499"/>
      <c r="P48" s="658">
        <v>25.3</v>
      </c>
      <c r="Q48" s="509"/>
      <c r="R48" s="509"/>
      <c r="S48" s="623"/>
      <c r="T48" s="677">
        <v>11.1</v>
      </c>
      <c r="U48" s="677">
        <v>1.22</v>
      </c>
      <c r="V48" s="123"/>
      <c r="W48" s="123"/>
      <c r="X48" s="123"/>
      <c r="Y48" s="624"/>
      <c r="Z48" s="625"/>
      <c r="AA48" s="625"/>
      <c r="AB48" s="625"/>
      <c r="AC48" s="625"/>
      <c r="AD48" s="625"/>
      <c r="AE48" s="625"/>
      <c r="AF48" s="625"/>
      <c r="AG48" s="625"/>
      <c r="AH48" s="625"/>
      <c r="AI48" s="625"/>
      <c r="AJ48" s="625"/>
      <c r="AK48" s="625"/>
      <c r="AL48" s="625"/>
      <c r="AM48" s="625"/>
      <c r="AN48" s="625"/>
      <c r="AO48" s="625"/>
      <c r="AP48" s="625"/>
      <c r="AQ48" s="625"/>
      <c r="AR48" s="625"/>
      <c r="AS48" s="625"/>
      <c r="AT48" s="625"/>
      <c r="AU48" s="625"/>
      <c r="AV48" s="625"/>
      <c r="AW48" s="625"/>
      <c r="AX48" s="625"/>
      <c r="AY48" s="625"/>
      <c r="AZ48" s="625"/>
      <c r="BA48" s="625"/>
      <c r="BB48" s="625"/>
      <c r="BC48" s="625"/>
      <c r="BD48" s="625"/>
      <c r="BE48" s="625"/>
      <c r="BF48" s="626"/>
      <c r="BG48" s="626"/>
      <c r="BH48" s="626"/>
      <c r="BI48" s="626"/>
      <c r="BJ48" s="626"/>
      <c r="BK48" s="626"/>
      <c r="BL48" s="626"/>
      <c r="BM48" s="626"/>
      <c r="BN48" s="626"/>
      <c r="BO48" s="626"/>
      <c r="BP48" s="626"/>
      <c r="BQ48" s="626"/>
      <c r="BR48" s="626"/>
      <c r="BS48" s="626"/>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626"/>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c r="DQ48" s="626"/>
      <c r="DR48" s="626"/>
      <c r="DS48" s="626"/>
      <c r="DT48" s="626"/>
      <c r="DU48" s="626"/>
      <c r="DV48" s="626"/>
      <c r="DW48" s="626"/>
      <c r="DX48" s="626"/>
      <c r="DY48" s="626"/>
      <c r="DZ48" s="626"/>
      <c r="EA48" s="626"/>
      <c r="EB48" s="626"/>
      <c r="EC48" s="626"/>
      <c r="ED48" s="626"/>
      <c r="EE48" s="626"/>
      <c r="EF48" s="626"/>
      <c r="EG48" s="626"/>
      <c r="EH48" s="626"/>
      <c r="EI48" s="626"/>
      <c r="EJ48" s="626"/>
      <c r="EK48" s="626"/>
      <c r="EL48" s="626"/>
      <c r="EM48" s="626"/>
      <c r="EN48" s="626"/>
      <c r="EO48" s="626"/>
      <c r="EP48" s="626"/>
      <c r="EQ48" s="626"/>
      <c r="ER48" s="626"/>
      <c r="ES48" s="626"/>
      <c r="ET48" s="626"/>
      <c r="EU48" s="626"/>
      <c r="EV48" s="626"/>
      <c r="EW48" s="626"/>
      <c r="EX48" s="626"/>
      <c r="EY48" s="626"/>
      <c r="EZ48" s="626"/>
      <c r="FA48" s="626"/>
      <c r="FB48" s="626"/>
      <c r="FC48" s="626"/>
      <c r="FD48" s="626"/>
      <c r="FE48" s="626"/>
      <c r="FF48" s="626"/>
      <c r="FG48" s="626"/>
      <c r="FH48" s="626"/>
      <c r="FI48" s="626"/>
      <c r="FJ48" s="626"/>
      <c r="FK48" s="626"/>
      <c r="FL48" s="626"/>
      <c r="FM48" s="626"/>
      <c r="FN48" s="626"/>
      <c r="FO48" s="626"/>
      <c r="FP48" s="626"/>
      <c r="FQ48" s="626"/>
      <c r="FR48" s="626"/>
      <c r="FS48" s="626"/>
      <c r="FT48" s="626"/>
      <c r="FU48" s="626"/>
      <c r="FV48" s="626"/>
      <c r="FW48" s="626"/>
      <c r="FX48" s="626"/>
      <c r="FY48" s="626"/>
      <c r="FZ48" s="626"/>
      <c r="GA48" s="626"/>
      <c r="GB48" s="626"/>
      <c r="GC48" s="626"/>
      <c r="GD48" s="626"/>
      <c r="GE48" s="626"/>
      <c r="GF48" s="626"/>
      <c r="GG48" s="626"/>
      <c r="GH48" s="626"/>
      <c r="GI48" s="626"/>
      <c r="GJ48" s="626"/>
      <c r="GK48" s="626"/>
      <c r="GL48" s="626"/>
      <c r="GM48" s="626"/>
      <c r="GN48" s="626"/>
      <c r="GO48" s="626"/>
      <c r="GP48" s="626"/>
      <c r="GQ48" s="626"/>
      <c r="GR48" s="626"/>
      <c r="GS48" s="626"/>
      <c r="GT48" s="626"/>
      <c r="GU48" s="626"/>
      <c r="GV48" s="626"/>
      <c r="GW48" s="626"/>
      <c r="GX48" s="626"/>
      <c r="GY48" s="626"/>
      <c r="GZ48" s="626"/>
      <c r="HA48" s="626"/>
      <c r="HB48" s="626"/>
      <c r="HC48" s="626"/>
      <c r="HD48" s="626"/>
      <c r="HE48" s="626"/>
      <c r="HF48" s="626"/>
      <c r="HG48" s="626"/>
      <c r="HH48" s="626"/>
      <c r="HI48" s="626"/>
      <c r="HJ48" s="626"/>
      <c r="HK48" s="626"/>
      <c r="HL48" s="626"/>
      <c r="HM48" s="626"/>
      <c r="HN48" s="626"/>
      <c r="HO48" s="626"/>
      <c r="HP48" s="626"/>
      <c r="HQ48" s="626"/>
      <c r="HR48" s="626"/>
      <c r="HS48" s="626"/>
      <c r="HT48" s="626"/>
      <c r="HU48" s="626"/>
      <c r="HV48" s="626"/>
      <c r="HW48" s="626"/>
      <c r="HX48" s="626"/>
      <c r="HY48" s="626"/>
      <c r="HZ48" s="626"/>
      <c r="IA48" s="626"/>
      <c r="IB48" s="626"/>
      <c r="IC48" s="626"/>
      <c r="ID48" s="626"/>
      <c r="IE48" s="626"/>
      <c r="IF48" s="626"/>
      <c r="IG48" s="626"/>
      <c r="IH48" s="626"/>
      <c r="II48" s="626"/>
      <c r="IJ48" s="626"/>
      <c r="IK48" s="626"/>
      <c r="IL48" s="626"/>
      <c r="IM48" s="626"/>
      <c r="IN48" s="626"/>
      <c r="IO48" s="626"/>
      <c r="IP48" s="626"/>
      <c r="IQ48" s="626"/>
      <c r="IR48" s="626"/>
      <c r="IS48" s="626"/>
      <c r="IT48" s="626"/>
      <c r="IU48" s="626"/>
    </row>
    <row r="49" spans="1:255" s="627" customFormat="1" ht="12.75" customHeight="1" thickBot="1" x14ac:dyDescent="0.25">
      <c r="A49" s="644" t="s">
        <v>17</v>
      </c>
      <c r="B49" s="679">
        <v>42581</v>
      </c>
      <c r="C49" s="489"/>
      <c r="D49" s="489"/>
      <c r="E49" s="678" t="s">
        <v>361</v>
      </c>
      <c r="F49" s="489"/>
      <c r="G49" s="623"/>
      <c r="H49" s="676">
        <v>348888</v>
      </c>
      <c r="I49" s="678" t="s">
        <v>390</v>
      </c>
      <c r="J49" s="615" t="s">
        <v>17</v>
      </c>
      <c r="K49" s="118" t="s">
        <v>145</v>
      </c>
      <c r="L49" s="12" t="s">
        <v>149</v>
      </c>
      <c r="M49" s="12"/>
      <c r="N49" s="499"/>
      <c r="O49" s="499"/>
      <c r="P49" s="658">
        <v>21.94</v>
      </c>
      <c r="Q49" s="509"/>
      <c r="R49" s="509"/>
      <c r="S49" s="623"/>
      <c r="T49" s="677">
        <v>12.1</v>
      </c>
      <c r="U49" s="677">
        <v>1.96</v>
      </c>
      <c r="V49" s="123"/>
      <c r="W49" s="123"/>
      <c r="X49" s="123"/>
      <c r="Y49" s="624"/>
      <c r="Z49" s="625"/>
      <c r="AA49" s="625"/>
      <c r="AB49" s="625"/>
      <c r="AC49" s="625"/>
      <c r="AD49" s="625"/>
      <c r="AE49" s="625"/>
      <c r="AF49" s="625"/>
      <c r="AG49" s="625"/>
      <c r="AH49" s="625"/>
      <c r="AI49" s="625"/>
      <c r="AJ49" s="625"/>
      <c r="AK49" s="625"/>
      <c r="AL49" s="625"/>
      <c r="AM49" s="625"/>
      <c r="AN49" s="625"/>
      <c r="AO49" s="625"/>
      <c r="AP49" s="625"/>
      <c r="AQ49" s="625"/>
      <c r="AR49" s="625"/>
      <c r="AS49" s="625"/>
      <c r="AT49" s="625"/>
      <c r="AU49" s="625"/>
      <c r="AV49" s="625"/>
      <c r="AW49" s="625"/>
      <c r="AX49" s="625"/>
      <c r="AY49" s="625"/>
      <c r="AZ49" s="625"/>
      <c r="BA49" s="625"/>
      <c r="BB49" s="625"/>
      <c r="BC49" s="625"/>
      <c r="BD49" s="625"/>
      <c r="BE49" s="625"/>
      <c r="BF49" s="626"/>
      <c r="BG49" s="626"/>
      <c r="BH49" s="626"/>
      <c r="BI49" s="626"/>
      <c r="BJ49" s="626"/>
      <c r="BK49" s="626"/>
      <c r="BL49" s="626"/>
      <c r="BM49" s="626"/>
      <c r="BN49" s="626"/>
      <c r="BO49" s="626"/>
      <c r="BP49" s="626"/>
      <c r="BQ49" s="626"/>
      <c r="BR49" s="626"/>
      <c r="BS49" s="626"/>
      <c r="BT49" s="626"/>
      <c r="BU49" s="626"/>
      <c r="BV49" s="626"/>
      <c r="BW49" s="626"/>
      <c r="BX49" s="626"/>
      <c r="BY49" s="626"/>
      <c r="BZ49" s="626"/>
      <c r="CA49" s="626"/>
      <c r="CB49" s="626"/>
      <c r="CC49" s="626"/>
      <c r="CD49" s="626"/>
      <c r="CE49" s="626"/>
      <c r="CF49" s="626"/>
      <c r="CG49" s="626"/>
      <c r="CH49" s="626"/>
      <c r="CI49" s="626"/>
      <c r="CJ49" s="626"/>
      <c r="CK49" s="626"/>
      <c r="CL49" s="626"/>
      <c r="CM49" s="626"/>
      <c r="CN49" s="626"/>
      <c r="CO49" s="626"/>
      <c r="CP49" s="626"/>
      <c r="CQ49" s="626"/>
      <c r="CR49" s="626"/>
      <c r="CS49" s="626"/>
      <c r="CT49" s="626"/>
      <c r="CU49" s="626"/>
      <c r="CV49" s="626"/>
      <c r="CW49" s="626"/>
      <c r="CX49" s="626"/>
      <c r="CY49" s="626"/>
      <c r="CZ49" s="626"/>
      <c r="DA49" s="626"/>
      <c r="DB49" s="626"/>
      <c r="DC49" s="626"/>
      <c r="DD49" s="626"/>
      <c r="DE49" s="626"/>
      <c r="DF49" s="626"/>
      <c r="DG49" s="626"/>
      <c r="DH49" s="626"/>
      <c r="DI49" s="626"/>
      <c r="DJ49" s="626"/>
      <c r="DK49" s="626"/>
      <c r="DL49" s="626"/>
      <c r="DM49" s="626"/>
      <c r="DN49" s="626"/>
      <c r="DO49" s="626"/>
      <c r="DP49" s="626"/>
      <c r="DQ49" s="626"/>
      <c r="DR49" s="626"/>
      <c r="DS49" s="626"/>
      <c r="DT49" s="626"/>
      <c r="DU49" s="626"/>
      <c r="DV49" s="626"/>
      <c r="DW49" s="626"/>
      <c r="DX49" s="626"/>
      <c r="DY49" s="626"/>
      <c r="DZ49" s="626"/>
      <c r="EA49" s="626"/>
      <c r="EB49" s="626"/>
      <c r="EC49" s="626"/>
      <c r="ED49" s="626"/>
      <c r="EE49" s="626"/>
      <c r="EF49" s="626"/>
      <c r="EG49" s="626"/>
      <c r="EH49" s="626"/>
      <c r="EI49" s="626"/>
      <c r="EJ49" s="626"/>
      <c r="EK49" s="626"/>
      <c r="EL49" s="626"/>
      <c r="EM49" s="626"/>
      <c r="EN49" s="626"/>
      <c r="EO49" s="626"/>
      <c r="EP49" s="626"/>
      <c r="EQ49" s="626"/>
      <c r="ER49" s="626"/>
      <c r="ES49" s="626"/>
      <c r="ET49" s="626"/>
      <c r="EU49" s="626"/>
      <c r="EV49" s="626"/>
      <c r="EW49" s="626"/>
      <c r="EX49" s="626"/>
      <c r="EY49" s="626"/>
      <c r="EZ49" s="626"/>
      <c r="FA49" s="626"/>
      <c r="FB49" s="626"/>
      <c r="FC49" s="626"/>
      <c r="FD49" s="626"/>
      <c r="FE49" s="626"/>
      <c r="FF49" s="626"/>
      <c r="FG49" s="626"/>
      <c r="FH49" s="626"/>
      <c r="FI49" s="626"/>
      <c r="FJ49" s="626"/>
      <c r="FK49" s="626"/>
      <c r="FL49" s="626"/>
      <c r="FM49" s="626"/>
      <c r="FN49" s="626"/>
      <c r="FO49" s="626"/>
      <c r="FP49" s="626"/>
      <c r="FQ49" s="626"/>
      <c r="FR49" s="626"/>
      <c r="FS49" s="626"/>
      <c r="FT49" s="626"/>
      <c r="FU49" s="626"/>
      <c r="FV49" s="626"/>
      <c r="FW49" s="626"/>
      <c r="FX49" s="626"/>
      <c r="FY49" s="626"/>
      <c r="FZ49" s="626"/>
      <c r="GA49" s="626"/>
      <c r="GB49" s="626"/>
      <c r="GC49" s="626"/>
      <c r="GD49" s="626"/>
      <c r="GE49" s="626"/>
      <c r="GF49" s="626"/>
      <c r="GG49" s="626"/>
      <c r="GH49" s="626"/>
      <c r="GI49" s="626"/>
      <c r="GJ49" s="626"/>
      <c r="GK49" s="626"/>
      <c r="GL49" s="626"/>
      <c r="GM49" s="626"/>
      <c r="GN49" s="626"/>
      <c r="GO49" s="626"/>
      <c r="GP49" s="626"/>
      <c r="GQ49" s="626"/>
      <c r="GR49" s="626"/>
      <c r="GS49" s="626"/>
      <c r="GT49" s="626"/>
      <c r="GU49" s="626"/>
      <c r="GV49" s="626"/>
      <c r="GW49" s="626"/>
      <c r="GX49" s="626"/>
      <c r="GY49" s="626"/>
      <c r="GZ49" s="626"/>
      <c r="HA49" s="626"/>
      <c r="HB49" s="626"/>
      <c r="HC49" s="626"/>
      <c r="HD49" s="626"/>
      <c r="HE49" s="626"/>
      <c r="HF49" s="626"/>
      <c r="HG49" s="626"/>
      <c r="HH49" s="626"/>
      <c r="HI49" s="626"/>
      <c r="HJ49" s="626"/>
      <c r="HK49" s="626"/>
      <c r="HL49" s="626"/>
      <c r="HM49" s="626"/>
      <c r="HN49" s="626"/>
      <c r="HO49" s="626"/>
      <c r="HP49" s="626"/>
      <c r="HQ49" s="626"/>
      <c r="HR49" s="626"/>
      <c r="HS49" s="626"/>
      <c r="HT49" s="626"/>
      <c r="HU49" s="626"/>
      <c r="HV49" s="626"/>
      <c r="HW49" s="626"/>
      <c r="HX49" s="626"/>
      <c r="HY49" s="626"/>
      <c r="HZ49" s="626"/>
      <c r="IA49" s="626"/>
      <c r="IB49" s="626"/>
      <c r="IC49" s="626"/>
      <c r="ID49" s="626"/>
      <c r="IE49" s="626"/>
      <c r="IF49" s="626"/>
      <c r="IG49" s="626"/>
      <c r="IH49" s="626"/>
      <c r="II49" s="626"/>
      <c r="IJ49" s="626"/>
      <c r="IK49" s="626"/>
      <c r="IL49" s="626"/>
      <c r="IM49" s="626"/>
      <c r="IN49" s="626"/>
      <c r="IO49" s="626"/>
      <c r="IP49" s="626"/>
      <c r="IQ49" s="626"/>
      <c r="IR49" s="626"/>
      <c r="IS49" s="626"/>
      <c r="IT49" s="626"/>
      <c r="IU49" s="626"/>
    </row>
    <row r="50" spans="1:255" s="627" customFormat="1" ht="12.75" customHeight="1" thickBot="1" x14ac:dyDescent="0.25">
      <c r="A50" s="644" t="s">
        <v>17</v>
      </c>
      <c r="B50" s="679">
        <v>42582</v>
      </c>
      <c r="C50" s="489"/>
      <c r="D50" s="489"/>
      <c r="E50" s="678" t="s">
        <v>320</v>
      </c>
      <c r="F50" s="489"/>
      <c r="G50" s="623"/>
      <c r="H50" s="676">
        <v>234</v>
      </c>
      <c r="I50" s="678" t="s">
        <v>328</v>
      </c>
      <c r="J50" s="615" t="s">
        <v>17</v>
      </c>
      <c r="K50" s="118" t="s">
        <v>145</v>
      </c>
      <c r="L50" s="12" t="s">
        <v>149</v>
      </c>
      <c r="M50" s="12"/>
      <c r="N50" s="499"/>
      <c r="O50" s="499"/>
      <c r="P50" s="658">
        <v>49.16</v>
      </c>
      <c r="Q50" s="509"/>
      <c r="R50" s="509"/>
      <c r="S50" s="623"/>
      <c r="T50" s="677">
        <v>11.8</v>
      </c>
      <c r="U50" s="677">
        <v>1.5</v>
      </c>
      <c r="V50" s="123"/>
      <c r="W50" s="123"/>
      <c r="X50" s="123"/>
      <c r="Y50" s="624"/>
      <c r="Z50" s="625"/>
      <c r="AA50" s="625"/>
      <c r="AB50" s="625"/>
      <c r="AC50" s="625"/>
      <c r="AD50" s="625"/>
      <c r="AE50" s="625"/>
      <c r="AF50" s="625"/>
      <c r="AG50" s="625"/>
      <c r="AH50" s="625"/>
      <c r="AI50" s="625"/>
      <c r="AJ50" s="625"/>
      <c r="AK50" s="625"/>
      <c r="AL50" s="625"/>
      <c r="AM50" s="625"/>
      <c r="AN50" s="625"/>
      <c r="AO50" s="625"/>
      <c r="AP50" s="625"/>
      <c r="AQ50" s="625"/>
      <c r="AR50" s="625"/>
      <c r="AS50" s="625"/>
      <c r="AT50" s="625"/>
      <c r="AU50" s="625"/>
      <c r="AV50" s="625"/>
      <c r="AW50" s="625"/>
      <c r="AX50" s="625"/>
      <c r="AY50" s="625"/>
      <c r="AZ50" s="625"/>
      <c r="BA50" s="625"/>
      <c r="BB50" s="625"/>
      <c r="BC50" s="625"/>
      <c r="BD50" s="625"/>
      <c r="BE50" s="625"/>
      <c r="BF50" s="626"/>
      <c r="BG50" s="626"/>
      <c r="BH50" s="626"/>
      <c r="BI50" s="626"/>
      <c r="BJ50" s="626"/>
      <c r="BK50" s="626"/>
      <c r="BL50" s="626"/>
      <c r="BM50" s="626"/>
      <c r="BN50" s="626"/>
      <c r="BO50" s="626"/>
      <c r="BP50" s="626"/>
      <c r="BQ50" s="626"/>
      <c r="BR50" s="626"/>
      <c r="BS50" s="626"/>
      <c r="BT50" s="626"/>
      <c r="BU50" s="626"/>
      <c r="BV50" s="626"/>
      <c r="BW50" s="626"/>
      <c r="BX50" s="626"/>
      <c r="BY50" s="626"/>
      <c r="BZ50" s="626"/>
      <c r="CA50" s="626"/>
      <c r="CB50" s="626"/>
      <c r="CC50" s="626"/>
      <c r="CD50" s="626"/>
      <c r="CE50" s="626"/>
      <c r="CF50" s="626"/>
      <c r="CG50" s="626"/>
      <c r="CH50" s="626"/>
      <c r="CI50" s="626"/>
      <c r="CJ50" s="626"/>
      <c r="CK50" s="626"/>
      <c r="CL50" s="626"/>
      <c r="CM50" s="626"/>
      <c r="CN50" s="626"/>
      <c r="CO50" s="626"/>
      <c r="CP50" s="626"/>
      <c r="CQ50" s="626"/>
      <c r="CR50" s="626"/>
      <c r="CS50" s="626"/>
      <c r="CT50" s="626"/>
      <c r="CU50" s="626"/>
      <c r="CV50" s="626"/>
      <c r="CW50" s="626"/>
      <c r="CX50" s="626"/>
      <c r="CY50" s="626"/>
      <c r="CZ50" s="626"/>
      <c r="DA50" s="626"/>
      <c r="DB50" s="626"/>
      <c r="DC50" s="626"/>
      <c r="DD50" s="626"/>
      <c r="DE50" s="626"/>
      <c r="DF50" s="626"/>
      <c r="DG50" s="626"/>
      <c r="DH50" s="626"/>
      <c r="DI50" s="626"/>
      <c r="DJ50" s="626"/>
      <c r="DK50" s="626"/>
      <c r="DL50" s="626"/>
      <c r="DM50" s="626"/>
      <c r="DN50" s="626"/>
      <c r="DO50" s="626"/>
      <c r="DP50" s="626"/>
      <c r="DQ50" s="626"/>
      <c r="DR50" s="626"/>
      <c r="DS50" s="626"/>
      <c r="DT50" s="626"/>
      <c r="DU50" s="626"/>
      <c r="DV50" s="626"/>
      <c r="DW50" s="626"/>
      <c r="DX50" s="626"/>
      <c r="DY50" s="626"/>
      <c r="DZ50" s="626"/>
      <c r="EA50" s="626"/>
      <c r="EB50" s="626"/>
      <c r="EC50" s="626"/>
      <c r="ED50" s="626"/>
      <c r="EE50" s="626"/>
      <c r="EF50" s="626"/>
      <c r="EG50" s="626"/>
      <c r="EH50" s="626"/>
      <c r="EI50" s="626"/>
      <c r="EJ50" s="626"/>
      <c r="EK50" s="626"/>
      <c r="EL50" s="626"/>
      <c r="EM50" s="626"/>
      <c r="EN50" s="626"/>
      <c r="EO50" s="626"/>
      <c r="EP50" s="626"/>
      <c r="EQ50" s="626"/>
      <c r="ER50" s="626"/>
      <c r="ES50" s="626"/>
      <c r="ET50" s="626"/>
      <c r="EU50" s="626"/>
      <c r="EV50" s="626"/>
      <c r="EW50" s="626"/>
      <c r="EX50" s="626"/>
      <c r="EY50" s="626"/>
      <c r="EZ50" s="626"/>
      <c r="FA50" s="626"/>
      <c r="FB50" s="626"/>
      <c r="FC50" s="626"/>
      <c r="FD50" s="626"/>
      <c r="FE50" s="626"/>
      <c r="FF50" s="626"/>
      <c r="FG50" s="626"/>
      <c r="FH50" s="626"/>
      <c r="FI50" s="626"/>
      <c r="FJ50" s="626"/>
      <c r="FK50" s="626"/>
      <c r="FL50" s="626"/>
      <c r="FM50" s="626"/>
      <c r="FN50" s="626"/>
      <c r="FO50" s="626"/>
      <c r="FP50" s="626"/>
      <c r="FQ50" s="626"/>
      <c r="FR50" s="626"/>
      <c r="FS50" s="626"/>
      <c r="FT50" s="626"/>
      <c r="FU50" s="626"/>
      <c r="FV50" s="626"/>
      <c r="FW50" s="626"/>
      <c r="FX50" s="626"/>
      <c r="FY50" s="626"/>
      <c r="FZ50" s="626"/>
      <c r="GA50" s="626"/>
      <c r="GB50" s="626"/>
      <c r="GC50" s="626"/>
      <c r="GD50" s="626"/>
      <c r="GE50" s="626"/>
      <c r="GF50" s="626"/>
      <c r="GG50" s="626"/>
      <c r="GH50" s="626"/>
      <c r="GI50" s="626"/>
      <c r="GJ50" s="626"/>
      <c r="GK50" s="626"/>
      <c r="GL50" s="626"/>
      <c r="GM50" s="626"/>
      <c r="GN50" s="626"/>
      <c r="GO50" s="626"/>
      <c r="GP50" s="626"/>
      <c r="GQ50" s="626"/>
      <c r="GR50" s="626"/>
      <c r="GS50" s="626"/>
      <c r="GT50" s="626"/>
      <c r="GU50" s="626"/>
      <c r="GV50" s="626"/>
      <c r="GW50" s="626"/>
      <c r="GX50" s="626"/>
      <c r="GY50" s="626"/>
      <c r="GZ50" s="626"/>
      <c r="HA50" s="626"/>
      <c r="HB50" s="626"/>
      <c r="HC50" s="626"/>
      <c r="HD50" s="626"/>
      <c r="HE50" s="626"/>
      <c r="HF50" s="626"/>
      <c r="HG50" s="626"/>
      <c r="HH50" s="626"/>
      <c r="HI50" s="626"/>
      <c r="HJ50" s="626"/>
      <c r="HK50" s="626"/>
      <c r="HL50" s="626"/>
      <c r="HM50" s="626"/>
      <c r="HN50" s="626"/>
      <c r="HO50" s="626"/>
      <c r="HP50" s="626"/>
      <c r="HQ50" s="626"/>
      <c r="HR50" s="626"/>
      <c r="HS50" s="626"/>
      <c r="HT50" s="626"/>
      <c r="HU50" s="626"/>
      <c r="HV50" s="626"/>
      <c r="HW50" s="626"/>
      <c r="HX50" s="626"/>
      <c r="HY50" s="626"/>
      <c r="HZ50" s="626"/>
      <c r="IA50" s="626"/>
      <c r="IB50" s="626"/>
      <c r="IC50" s="626"/>
      <c r="ID50" s="626"/>
      <c r="IE50" s="626"/>
      <c r="IF50" s="626"/>
      <c r="IG50" s="626"/>
      <c r="IH50" s="626"/>
      <c r="II50" s="626"/>
      <c r="IJ50" s="626"/>
      <c r="IK50" s="626"/>
      <c r="IL50" s="626"/>
      <c r="IM50" s="626"/>
      <c r="IN50" s="626"/>
      <c r="IO50" s="626"/>
      <c r="IP50" s="626"/>
      <c r="IQ50" s="626"/>
      <c r="IR50" s="626"/>
      <c r="IS50" s="626"/>
      <c r="IT50" s="626"/>
      <c r="IU50" s="626"/>
    </row>
    <row r="51" spans="1:255" s="627" customFormat="1" ht="12.75" customHeight="1" thickBot="1" x14ac:dyDescent="0.25">
      <c r="A51" s="644" t="s">
        <v>17</v>
      </c>
      <c r="B51" s="679">
        <v>42582</v>
      </c>
      <c r="C51" s="489"/>
      <c r="D51" s="489"/>
      <c r="E51" s="678" t="s">
        <v>320</v>
      </c>
      <c r="F51" s="489"/>
      <c r="G51" s="623"/>
      <c r="H51" s="676">
        <v>233</v>
      </c>
      <c r="I51" s="678" t="s">
        <v>355</v>
      </c>
      <c r="J51" s="615" t="s">
        <v>17</v>
      </c>
      <c r="K51" s="118" t="s">
        <v>145</v>
      </c>
      <c r="L51" s="12" t="s">
        <v>149</v>
      </c>
      <c r="M51" s="12"/>
      <c r="N51" s="499"/>
      <c r="O51" s="499"/>
      <c r="P51" s="658">
        <v>39.6</v>
      </c>
      <c r="Q51" s="509"/>
      <c r="R51" s="509"/>
      <c r="S51" s="623"/>
      <c r="T51" s="677">
        <v>11.8</v>
      </c>
      <c r="U51" s="677">
        <v>1.1599999999999999</v>
      </c>
      <c r="V51" s="123"/>
      <c r="W51" s="123"/>
      <c r="X51" s="123"/>
      <c r="Y51" s="624"/>
      <c r="Z51" s="625"/>
      <c r="AA51" s="625"/>
      <c r="AB51" s="625"/>
      <c r="AC51" s="625"/>
      <c r="AD51" s="625"/>
      <c r="AE51" s="625"/>
      <c r="AF51" s="625"/>
      <c r="AG51" s="625"/>
      <c r="AH51" s="625"/>
      <c r="AI51" s="625"/>
      <c r="AJ51" s="625"/>
      <c r="AK51" s="625"/>
      <c r="AL51" s="625"/>
      <c r="AM51" s="625"/>
      <c r="AN51" s="625"/>
      <c r="AO51" s="625"/>
      <c r="AP51" s="625"/>
      <c r="AQ51" s="625"/>
      <c r="AR51" s="625"/>
      <c r="AS51" s="625"/>
      <c r="AT51" s="625"/>
      <c r="AU51" s="625"/>
      <c r="AV51" s="625"/>
      <c r="AW51" s="625"/>
      <c r="AX51" s="625"/>
      <c r="AY51" s="625"/>
      <c r="AZ51" s="625"/>
      <c r="BA51" s="625"/>
      <c r="BB51" s="625"/>
      <c r="BC51" s="625"/>
      <c r="BD51" s="625"/>
      <c r="BE51" s="625"/>
      <c r="BF51" s="626"/>
      <c r="BG51" s="626"/>
      <c r="BH51" s="626"/>
      <c r="BI51" s="626"/>
      <c r="BJ51" s="626"/>
      <c r="BK51" s="626"/>
      <c r="BL51" s="626"/>
      <c r="BM51" s="626"/>
      <c r="BN51" s="626"/>
      <c r="BO51" s="626"/>
      <c r="BP51" s="626"/>
      <c r="BQ51" s="626"/>
      <c r="BR51" s="626"/>
      <c r="BS51" s="626"/>
      <c r="BT51" s="626"/>
      <c r="BU51" s="626"/>
      <c r="BV51" s="626"/>
      <c r="BW51" s="626"/>
      <c r="BX51" s="626"/>
      <c r="BY51" s="626"/>
      <c r="BZ51" s="626"/>
      <c r="CA51" s="626"/>
      <c r="CB51" s="626"/>
      <c r="CC51" s="626"/>
      <c r="CD51" s="626"/>
      <c r="CE51" s="626"/>
      <c r="CF51" s="626"/>
      <c r="CG51" s="626"/>
      <c r="CH51" s="626"/>
      <c r="CI51" s="626"/>
      <c r="CJ51" s="626"/>
      <c r="CK51" s="626"/>
      <c r="CL51" s="626"/>
      <c r="CM51" s="626"/>
      <c r="CN51" s="626"/>
      <c r="CO51" s="626"/>
      <c r="CP51" s="626"/>
      <c r="CQ51" s="626"/>
      <c r="CR51" s="626"/>
      <c r="CS51" s="626"/>
      <c r="CT51" s="626"/>
      <c r="CU51" s="626"/>
      <c r="CV51" s="626"/>
      <c r="CW51" s="626"/>
      <c r="CX51" s="626"/>
      <c r="CY51" s="626"/>
      <c r="CZ51" s="626"/>
      <c r="DA51" s="626"/>
      <c r="DB51" s="626"/>
      <c r="DC51" s="626"/>
      <c r="DD51" s="626"/>
      <c r="DE51" s="626"/>
      <c r="DF51" s="626"/>
      <c r="DG51" s="626"/>
      <c r="DH51" s="626"/>
      <c r="DI51" s="626"/>
      <c r="DJ51" s="626"/>
      <c r="DK51" s="626"/>
      <c r="DL51" s="626"/>
      <c r="DM51" s="626"/>
      <c r="DN51" s="626"/>
      <c r="DO51" s="626"/>
      <c r="DP51" s="626"/>
      <c r="DQ51" s="626"/>
      <c r="DR51" s="626"/>
      <c r="DS51" s="626"/>
      <c r="DT51" s="626"/>
      <c r="DU51" s="626"/>
      <c r="DV51" s="626"/>
      <c r="DW51" s="626"/>
      <c r="DX51" s="626"/>
      <c r="DY51" s="626"/>
      <c r="DZ51" s="626"/>
      <c r="EA51" s="626"/>
      <c r="EB51" s="626"/>
      <c r="EC51" s="626"/>
      <c r="ED51" s="626"/>
      <c r="EE51" s="626"/>
      <c r="EF51" s="626"/>
      <c r="EG51" s="626"/>
      <c r="EH51" s="626"/>
      <c r="EI51" s="626"/>
      <c r="EJ51" s="626"/>
      <c r="EK51" s="626"/>
      <c r="EL51" s="626"/>
      <c r="EM51" s="626"/>
      <c r="EN51" s="626"/>
      <c r="EO51" s="626"/>
      <c r="EP51" s="626"/>
      <c r="EQ51" s="626"/>
      <c r="ER51" s="626"/>
      <c r="ES51" s="626"/>
      <c r="ET51" s="626"/>
      <c r="EU51" s="626"/>
      <c r="EV51" s="626"/>
      <c r="EW51" s="626"/>
      <c r="EX51" s="626"/>
      <c r="EY51" s="626"/>
      <c r="EZ51" s="626"/>
      <c r="FA51" s="626"/>
      <c r="FB51" s="626"/>
      <c r="FC51" s="626"/>
      <c r="FD51" s="626"/>
      <c r="FE51" s="626"/>
      <c r="FF51" s="626"/>
      <c r="FG51" s="626"/>
      <c r="FH51" s="626"/>
      <c r="FI51" s="626"/>
      <c r="FJ51" s="626"/>
      <c r="FK51" s="626"/>
      <c r="FL51" s="626"/>
      <c r="FM51" s="626"/>
      <c r="FN51" s="626"/>
      <c r="FO51" s="626"/>
      <c r="FP51" s="626"/>
      <c r="FQ51" s="626"/>
      <c r="FR51" s="626"/>
      <c r="FS51" s="626"/>
      <c r="FT51" s="626"/>
      <c r="FU51" s="626"/>
      <c r="FV51" s="626"/>
      <c r="FW51" s="626"/>
      <c r="FX51" s="626"/>
      <c r="FY51" s="626"/>
      <c r="FZ51" s="626"/>
      <c r="GA51" s="626"/>
      <c r="GB51" s="626"/>
      <c r="GC51" s="626"/>
      <c r="GD51" s="626"/>
      <c r="GE51" s="626"/>
      <c r="GF51" s="626"/>
      <c r="GG51" s="626"/>
      <c r="GH51" s="626"/>
      <c r="GI51" s="626"/>
      <c r="GJ51" s="626"/>
      <c r="GK51" s="626"/>
      <c r="GL51" s="626"/>
      <c r="GM51" s="626"/>
      <c r="GN51" s="626"/>
      <c r="GO51" s="626"/>
      <c r="GP51" s="626"/>
      <c r="GQ51" s="626"/>
      <c r="GR51" s="626"/>
      <c r="GS51" s="626"/>
      <c r="GT51" s="626"/>
      <c r="GU51" s="626"/>
      <c r="GV51" s="626"/>
      <c r="GW51" s="626"/>
      <c r="GX51" s="626"/>
      <c r="GY51" s="626"/>
      <c r="GZ51" s="626"/>
      <c r="HA51" s="626"/>
      <c r="HB51" s="626"/>
      <c r="HC51" s="626"/>
      <c r="HD51" s="626"/>
      <c r="HE51" s="626"/>
      <c r="HF51" s="626"/>
      <c r="HG51" s="626"/>
      <c r="HH51" s="626"/>
      <c r="HI51" s="626"/>
      <c r="HJ51" s="626"/>
      <c r="HK51" s="626"/>
      <c r="HL51" s="626"/>
      <c r="HM51" s="626"/>
      <c r="HN51" s="626"/>
      <c r="HO51" s="626"/>
      <c r="HP51" s="626"/>
      <c r="HQ51" s="626"/>
      <c r="HR51" s="626"/>
      <c r="HS51" s="626"/>
      <c r="HT51" s="626"/>
      <c r="HU51" s="626"/>
      <c r="HV51" s="626"/>
      <c r="HW51" s="626"/>
      <c r="HX51" s="626"/>
      <c r="HY51" s="626"/>
      <c r="HZ51" s="626"/>
      <c r="IA51" s="626"/>
      <c r="IB51" s="626"/>
      <c r="IC51" s="626"/>
      <c r="ID51" s="626"/>
      <c r="IE51" s="626"/>
      <c r="IF51" s="626"/>
      <c r="IG51" s="626"/>
      <c r="IH51" s="626"/>
      <c r="II51" s="626"/>
      <c r="IJ51" s="626"/>
      <c r="IK51" s="626"/>
      <c r="IL51" s="626"/>
      <c r="IM51" s="626"/>
      <c r="IN51" s="626"/>
      <c r="IO51" s="626"/>
      <c r="IP51" s="626"/>
      <c r="IQ51" s="626"/>
      <c r="IR51" s="626"/>
      <c r="IS51" s="626"/>
      <c r="IT51" s="626"/>
      <c r="IU51" s="626"/>
    </row>
    <row r="52" spans="1:255" s="627" customFormat="1" ht="12.75" customHeight="1" thickBot="1" x14ac:dyDescent="0.25">
      <c r="A52" s="644" t="s">
        <v>17</v>
      </c>
      <c r="B52" s="679">
        <v>42582</v>
      </c>
      <c r="C52" s="489"/>
      <c r="D52" s="489"/>
      <c r="E52" s="678" t="s">
        <v>320</v>
      </c>
      <c r="F52" s="489"/>
      <c r="G52" s="623"/>
      <c r="H52" s="676">
        <v>249</v>
      </c>
      <c r="I52" s="678" t="s">
        <v>322</v>
      </c>
      <c r="J52" s="615" t="s">
        <v>17</v>
      </c>
      <c r="K52" s="118" t="s">
        <v>145</v>
      </c>
      <c r="L52" s="12" t="s">
        <v>149</v>
      </c>
      <c r="M52" s="12"/>
      <c r="N52" s="499"/>
      <c r="O52" s="499"/>
      <c r="P52" s="658">
        <v>32.06</v>
      </c>
      <c r="Q52" s="509"/>
      <c r="R52" s="509"/>
      <c r="S52" s="623"/>
      <c r="T52" s="677">
        <v>12.4</v>
      </c>
      <c r="U52" s="677">
        <v>1.04</v>
      </c>
      <c r="V52" s="123"/>
      <c r="W52" s="123"/>
      <c r="X52" s="123"/>
      <c r="Y52" s="624"/>
      <c r="Z52" s="625"/>
      <c r="AA52" s="625"/>
      <c r="AB52" s="625"/>
      <c r="AC52" s="625"/>
      <c r="AD52" s="625"/>
      <c r="AE52" s="625"/>
      <c r="AF52" s="625"/>
      <c r="AG52" s="625"/>
      <c r="AH52" s="625"/>
      <c r="AI52" s="625"/>
      <c r="AJ52" s="625"/>
      <c r="AK52" s="625"/>
      <c r="AL52" s="625"/>
      <c r="AM52" s="625"/>
      <c r="AN52" s="625"/>
      <c r="AO52" s="625"/>
      <c r="AP52" s="625"/>
      <c r="AQ52" s="625"/>
      <c r="AR52" s="625"/>
      <c r="AS52" s="625"/>
      <c r="AT52" s="625"/>
      <c r="AU52" s="625"/>
      <c r="AV52" s="625"/>
      <c r="AW52" s="625"/>
      <c r="AX52" s="625"/>
      <c r="AY52" s="625"/>
      <c r="AZ52" s="625"/>
      <c r="BA52" s="625"/>
      <c r="BB52" s="625"/>
      <c r="BC52" s="625"/>
      <c r="BD52" s="625"/>
      <c r="BE52" s="625"/>
      <c r="BF52" s="626"/>
      <c r="BG52" s="626"/>
      <c r="BH52" s="626"/>
      <c r="BI52" s="626"/>
      <c r="BJ52" s="626"/>
      <c r="BK52" s="626"/>
      <c r="BL52" s="626"/>
      <c r="BM52" s="626"/>
      <c r="BN52" s="626"/>
      <c r="BO52" s="626"/>
      <c r="BP52" s="626"/>
      <c r="BQ52" s="626"/>
      <c r="BR52" s="626"/>
      <c r="BS52" s="626"/>
      <c r="BT52" s="626"/>
      <c r="BU52" s="626"/>
      <c r="BV52" s="626"/>
      <c r="BW52" s="626"/>
      <c r="BX52" s="626"/>
      <c r="BY52" s="626"/>
      <c r="BZ52" s="626"/>
      <c r="CA52" s="626"/>
      <c r="CB52" s="626"/>
      <c r="CC52" s="626"/>
      <c r="CD52" s="626"/>
      <c r="CE52" s="626"/>
      <c r="CF52" s="626"/>
      <c r="CG52" s="626"/>
      <c r="CH52" s="626"/>
      <c r="CI52" s="626"/>
      <c r="CJ52" s="626"/>
      <c r="CK52" s="626"/>
      <c r="CL52" s="626"/>
      <c r="CM52" s="626"/>
      <c r="CN52" s="626"/>
      <c r="CO52" s="626"/>
      <c r="CP52" s="626"/>
      <c r="CQ52" s="626"/>
      <c r="CR52" s="626"/>
      <c r="CS52" s="626"/>
      <c r="CT52" s="626"/>
      <c r="CU52" s="626"/>
      <c r="CV52" s="626"/>
      <c r="CW52" s="626"/>
      <c r="CX52" s="626"/>
      <c r="CY52" s="626"/>
      <c r="CZ52" s="626"/>
      <c r="DA52" s="626"/>
      <c r="DB52" s="626"/>
      <c r="DC52" s="626"/>
      <c r="DD52" s="626"/>
      <c r="DE52" s="626"/>
      <c r="DF52" s="626"/>
      <c r="DG52" s="626"/>
      <c r="DH52" s="626"/>
      <c r="DI52" s="626"/>
      <c r="DJ52" s="626"/>
      <c r="DK52" s="626"/>
      <c r="DL52" s="626"/>
      <c r="DM52" s="626"/>
      <c r="DN52" s="626"/>
      <c r="DO52" s="626"/>
      <c r="DP52" s="626"/>
      <c r="DQ52" s="626"/>
      <c r="DR52" s="626"/>
      <c r="DS52" s="626"/>
      <c r="DT52" s="626"/>
      <c r="DU52" s="626"/>
      <c r="DV52" s="626"/>
      <c r="DW52" s="626"/>
      <c r="DX52" s="626"/>
      <c r="DY52" s="626"/>
      <c r="DZ52" s="626"/>
      <c r="EA52" s="626"/>
      <c r="EB52" s="626"/>
      <c r="EC52" s="626"/>
      <c r="ED52" s="626"/>
      <c r="EE52" s="626"/>
      <c r="EF52" s="626"/>
      <c r="EG52" s="626"/>
      <c r="EH52" s="626"/>
      <c r="EI52" s="626"/>
      <c r="EJ52" s="626"/>
      <c r="EK52" s="626"/>
      <c r="EL52" s="626"/>
      <c r="EM52" s="626"/>
      <c r="EN52" s="626"/>
      <c r="EO52" s="626"/>
      <c r="EP52" s="626"/>
      <c r="EQ52" s="626"/>
      <c r="ER52" s="626"/>
      <c r="ES52" s="626"/>
      <c r="ET52" s="626"/>
      <c r="EU52" s="626"/>
      <c r="EV52" s="626"/>
      <c r="EW52" s="626"/>
      <c r="EX52" s="626"/>
      <c r="EY52" s="626"/>
      <c r="EZ52" s="626"/>
      <c r="FA52" s="626"/>
      <c r="FB52" s="626"/>
      <c r="FC52" s="626"/>
      <c r="FD52" s="626"/>
      <c r="FE52" s="626"/>
      <c r="FF52" s="626"/>
      <c r="FG52" s="626"/>
      <c r="FH52" s="626"/>
      <c r="FI52" s="626"/>
      <c r="FJ52" s="626"/>
      <c r="FK52" s="626"/>
      <c r="FL52" s="626"/>
      <c r="FM52" s="626"/>
      <c r="FN52" s="626"/>
      <c r="FO52" s="626"/>
      <c r="FP52" s="626"/>
      <c r="FQ52" s="626"/>
      <c r="FR52" s="626"/>
      <c r="FS52" s="626"/>
      <c r="FT52" s="626"/>
      <c r="FU52" s="626"/>
      <c r="FV52" s="626"/>
      <c r="FW52" s="626"/>
      <c r="FX52" s="626"/>
      <c r="FY52" s="626"/>
      <c r="FZ52" s="626"/>
      <c r="GA52" s="626"/>
      <c r="GB52" s="626"/>
      <c r="GC52" s="626"/>
      <c r="GD52" s="626"/>
      <c r="GE52" s="626"/>
      <c r="GF52" s="626"/>
      <c r="GG52" s="626"/>
      <c r="GH52" s="626"/>
      <c r="GI52" s="626"/>
      <c r="GJ52" s="626"/>
      <c r="GK52" s="626"/>
      <c r="GL52" s="626"/>
      <c r="GM52" s="626"/>
      <c r="GN52" s="626"/>
      <c r="GO52" s="626"/>
      <c r="GP52" s="626"/>
      <c r="GQ52" s="626"/>
      <c r="GR52" s="626"/>
      <c r="GS52" s="626"/>
      <c r="GT52" s="626"/>
      <c r="GU52" s="626"/>
      <c r="GV52" s="626"/>
      <c r="GW52" s="626"/>
      <c r="GX52" s="626"/>
      <c r="GY52" s="626"/>
      <c r="GZ52" s="626"/>
      <c r="HA52" s="626"/>
      <c r="HB52" s="626"/>
      <c r="HC52" s="626"/>
      <c r="HD52" s="626"/>
      <c r="HE52" s="626"/>
      <c r="HF52" s="626"/>
      <c r="HG52" s="626"/>
      <c r="HH52" s="626"/>
      <c r="HI52" s="626"/>
      <c r="HJ52" s="626"/>
      <c r="HK52" s="626"/>
      <c r="HL52" s="626"/>
      <c r="HM52" s="626"/>
      <c r="HN52" s="626"/>
      <c r="HO52" s="626"/>
      <c r="HP52" s="626"/>
      <c r="HQ52" s="626"/>
      <c r="HR52" s="626"/>
      <c r="HS52" s="626"/>
      <c r="HT52" s="626"/>
      <c r="HU52" s="626"/>
      <c r="HV52" s="626"/>
      <c r="HW52" s="626"/>
      <c r="HX52" s="626"/>
      <c r="HY52" s="626"/>
      <c r="HZ52" s="626"/>
      <c r="IA52" s="626"/>
      <c r="IB52" s="626"/>
      <c r="IC52" s="626"/>
      <c r="ID52" s="626"/>
      <c r="IE52" s="626"/>
      <c r="IF52" s="626"/>
      <c r="IG52" s="626"/>
      <c r="IH52" s="626"/>
      <c r="II52" s="626"/>
      <c r="IJ52" s="626"/>
      <c r="IK52" s="626"/>
      <c r="IL52" s="626"/>
      <c r="IM52" s="626"/>
      <c r="IN52" s="626"/>
      <c r="IO52" s="626"/>
      <c r="IP52" s="626"/>
      <c r="IQ52" s="626"/>
      <c r="IR52" s="626"/>
      <c r="IS52" s="626"/>
      <c r="IT52" s="626"/>
      <c r="IU52" s="626"/>
    </row>
    <row r="53" spans="1:255" s="627" customFormat="1" ht="12.75" customHeight="1" thickBot="1" x14ac:dyDescent="0.25">
      <c r="A53" s="644" t="s">
        <v>17</v>
      </c>
      <c r="B53" s="679">
        <v>42580</v>
      </c>
      <c r="C53" s="489"/>
      <c r="D53" s="489"/>
      <c r="E53" s="292" t="s">
        <v>388</v>
      </c>
      <c r="F53" s="489"/>
      <c r="G53" s="623"/>
      <c r="H53" s="676">
        <v>49742901</v>
      </c>
      <c r="I53" s="676">
        <v>95353082</v>
      </c>
      <c r="J53" s="615" t="s">
        <v>17</v>
      </c>
      <c r="K53" s="3" t="s">
        <v>67</v>
      </c>
      <c r="L53" s="12"/>
      <c r="M53" s="12"/>
      <c r="N53" s="499"/>
      <c r="O53" s="499"/>
      <c r="P53" s="681">
        <v>56.95</v>
      </c>
      <c r="Q53" s="509"/>
      <c r="R53" s="509"/>
      <c r="S53" s="623"/>
      <c r="T53" s="677">
        <v>12.1</v>
      </c>
      <c r="U53" s="677">
        <v>1.96</v>
      </c>
      <c r="V53" s="123"/>
      <c r="W53" s="123"/>
      <c r="X53" s="123"/>
      <c r="Y53" s="624"/>
      <c r="Z53" s="625"/>
      <c r="AA53" s="625"/>
      <c r="AB53" s="625"/>
      <c r="AC53" s="625"/>
      <c r="AD53" s="625"/>
      <c r="AE53" s="625"/>
      <c r="AF53" s="625"/>
      <c r="AG53" s="625"/>
      <c r="AH53" s="625"/>
      <c r="AI53" s="625"/>
      <c r="AJ53" s="625"/>
      <c r="AK53" s="625"/>
      <c r="AL53" s="625"/>
      <c r="AM53" s="625"/>
      <c r="AN53" s="625"/>
      <c r="AO53" s="625"/>
      <c r="AP53" s="625"/>
      <c r="AQ53" s="625"/>
      <c r="AR53" s="625"/>
      <c r="AS53" s="625"/>
      <c r="AT53" s="625"/>
      <c r="AU53" s="625"/>
      <c r="AV53" s="625"/>
      <c r="AW53" s="625"/>
      <c r="AX53" s="625"/>
      <c r="AY53" s="625"/>
      <c r="AZ53" s="625"/>
      <c r="BA53" s="625"/>
      <c r="BB53" s="625"/>
      <c r="BC53" s="625"/>
      <c r="BD53" s="625"/>
      <c r="BE53" s="625"/>
      <c r="BF53" s="626"/>
      <c r="BG53" s="626"/>
      <c r="BH53" s="626"/>
      <c r="BI53" s="626"/>
      <c r="BJ53" s="626"/>
      <c r="BK53" s="626"/>
      <c r="BL53" s="626"/>
      <c r="BM53" s="626"/>
      <c r="BN53" s="626"/>
      <c r="BO53" s="626"/>
      <c r="BP53" s="626"/>
      <c r="BQ53" s="626"/>
      <c r="BR53" s="626"/>
      <c r="BS53" s="626"/>
      <c r="BT53" s="626"/>
      <c r="BU53" s="626"/>
      <c r="BV53" s="626"/>
      <c r="BW53" s="626"/>
      <c r="BX53" s="626"/>
      <c r="BY53" s="626"/>
      <c r="BZ53" s="626"/>
      <c r="CA53" s="626"/>
      <c r="CB53" s="626"/>
      <c r="CC53" s="626"/>
      <c r="CD53" s="626"/>
      <c r="CE53" s="626"/>
      <c r="CF53" s="626"/>
      <c r="CG53" s="626"/>
      <c r="CH53" s="626"/>
      <c r="CI53" s="626"/>
      <c r="CJ53" s="626"/>
      <c r="CK53" s="626"/>
      <c r="CL53" s="626"/>
      <c r="CM53" s="626"/>
      <c r="CN53" s="626"/>
      <c r="CO53" s="626"/>
      <c r="CP53" s="626"/>
      <c r="CQ53" s="626"/>
      <c r="CR53" s="626"/>
      <c r="CS53" s="626"/>
      <c r="CT53" s="626"/>
      <c r="CU53" s="626"/>
      <c r="CV53" s="626"/>
      <c r="CW53" s="626"/>
      <c r="CX53" s="626"/>
      <c r="CY53" s="626"/>
      <c r="CZ53" s="626"/>
      <c r="DA53" s="626"/>
      <c r="DB53" s="626"/>
      <c r="DC53" s="626"/>
      <c r="DD53" s="626"/>
      <c r="DE53" s="626"/>
      <c r="DF53" s="626"/>
      <c r="DG53" s="626"/>
      <c r="DH53" s="626"/>
      <c r="DI53" s="626"/>
      <c r="DJ53" s="626"/>
      <c r="DK53" s="626"/>
      <c r="DL53" s="626"/>
      <c r="DM53" s="626"/>
      <c r="DN53" s="626"/>
      <c r="DO53" s="626"/>
      <c r="DP53" s="626"/>
      <c r="DQ53" s="626"/>
      <c r="DR53" s="626"/>
      <c r="DS53" s="626"/>
      <c r="DT53" s="626"/>
      <c r="DU53" s="626"/>
      <c r="DV53" s="626"/>
      <c r="DW53" s="626"/>
      <c r="DX53" s="626"/>
      <c r="DY53" s="626"/>
      <c r="DZ53" s="626"/>
      <c r="EA53" s="626"/>
      <c r="EB53" s="626"/>
      <c r="EC53" s="626"/>
      <c r="ED53" s="626"/>
      <c r="EE53" s="626"/>
      <c r="EF53" s="626"/>
      <c r="EG53" s="626"/>
      <c r="EH53" s="626"/>
      <c r="EI53" s="626"/>
      <c r="EJ53" s="626"/>
      <c r="EK53" s="626"/>
      <c r="EL53" s="626"/>
      <c r="EM53" s="626"/>
      <c r="EN53" s="626"/>
      <c r="EO53" s="626"/>
      <c r="EP53" s="626"/>
      <c r="EQ53" s="626"/>
      <c r="ER53" s="626"/>
      <c r="ES53" s="626"/>
      <c r="ET53" s="626"/>
      <c r="EU53" s="626"/>
      <c r="EV53" s="626"/>
      <c r="EW53" s="626"/>
      <c r="EX53" s="626"/>
      <c r="EY53" s="626"/>
      <c r="EZ53" s="626"/>
      <c r="FA53" s="626"/>
      <c r="FB53" s="626"/>
      <c r="FC53" s="626"/>
      <c r="FD53" s="626"/>
      <c r="FE53" s="626"/>
      <c r="FF53" s="626"/>
      <c r="FG53" s="626"/>
      <c r="FH53" s="626"/>
      <c r="FI53" s="626"/>
      <c r="FJ53" s="626"/>
      <c r="FK53" s="626"/>
      <c r="FL53" s="626"/>
      <c r="FM53" s="626"/>
      <c r="FN53" s="626"/>
      <c r="FO53" s="626"/>
      <c r="FP53" s="626"/>
      <c r="FQ53" s="626"/>
      <c r="FR53" s="626"/>
      <c r="FS53" s="626"/>
      <c r="FT53" s="626"/>
      <c r="FU53" s="626"/>
      <c r="FV53" s="626"/>
      <c r="FW53" s="626"/>
      <c r="FX53" s="626"/>
      <c r="FY53" s="626"/>
      <c r="FZ53" s="626"/>
      <c r="GA53" s="626"/>
      <c r="GB53" s="626"/>
      <c r="GC53" s="626"/>
      <c r="GD53" s="626"/>
      <c r="GE53" s="626"/>
      <c r="GF53" s="626"/>
      <c r="GG53" s="626"/>
      <c r="GH53" s="626"/>
      <c r="GI53" s="626"/>
      <c r="GJ53" s="626"/>
      <c r="GK53" s="626"/>
      <c r="GL53" s="626"/>
      <c r="GM53" s="626"/>
      <c r="GN53" s="626"/>
      <c r="GO53" s="626"/>
      <c r="GP53" s="626"/>
      <c r="GQ53" s="626"/>
      <c r="GR53" s="626"/>
      <c r="GS53" s="626"/>
      <c r="GT53" s="626"/>
      <c r="GU53" s="626"/>
      <c r="GV53" s="626"/>
      <c r="GW53" s="626"/>
      <c r="GX53" s="626"/>
      <c r="GY53" s="626"/>
      <c r="GZ53" s="626"/>
      <c r="HA53" s="626"/>
      <c r="HB53" s="626"/>
      <c r="HC53" s="626"/>
      <c r="HD53" s="626"/>
      <c r="HE53" s="626"/>
      <c r="HF53" s="626"/>
      <c r="HG53" s="626"/>
      <c r="HH53" s="626"/>
      <c r="HI53" s="626"/>
      <c r="HJ53" s="626"/>
      <c r="HK53" s="626"/>
      <c r="HL53" s="626"/>
      <c r="HM53" s="626"/>
      <c r="HN53" s="626"/>
      <c r="HO53" s="626"/>
      <c r="HP53" s="626"/>
      <c r="HQ53" s="626"/>
      <c r="HR53" s="626"/>
      <c r="HS53" s="626"/>
      <c r="HT53" s="626"/>
      <c r="HU53" s="626"/>
      <c r="HV53" s="626"/>
      <c r="HW53" s="626"/>
      <c r="HX53" s="626"/>
      <c r="HY53" s="626"/>
      <c r="HZ53" s="626"/>
      <c r="IA53" s="626"/>
      <c r="IB53" s="626"/>
      <c r="IC53" s="626"/>
      <c r="ID53" s="626"/>
      <c r="IE53" s="626"/>
      <c r="IF53" s="626"/>
      <c r="IG53" s="626"/>
      <c r="IH53" s="626"/>
      <c r="II53" s="626"/>
      <c r="IJ53" s="626"/>
      <c r="IK53" s="626"/>
      <c r="IL53" s="626"/>
      <c r="IM53" s="626"/>
      <c r="IN53" s="626"/>
      <c r="IO53" s="626"/>
      <c r="IP53" s="626"/>
      <c r="IQ53" s="626"/>
      <c r="IR53" s="626"/>
      <c r="IS53" s="626"/>
      <c r="IT53" s="626"/>
      <c r="IU53" s="626"/>
    </row>
    <row r="54" spans="1:255" s="627" customFormat="1" ht="12.75" customHeight="1" thickBot="1" x14ac:dyDescent="0.25">
      <c r="A54" s="644" t="s">
        <v>17</v>
      </c>
      <c r="B54" s="679">
        <v>42580</v>
      </c>
      <c r="C54" s="489"/>
      <c r="D54" s="489"/>
      <c r="E54" s="292" t="s">
        <v>388</v>
      </c>
      <c r="F54" s="489"/>
      <c r="G54" s="623"/>
      <c r="H54" s="676">
        <v>49742901</v>
      </c>
      <c r="I54" s="676">
        <v>95448304</v>
      </c>
      <c r="J54" s="615" t="s">
        <v>17</v>
      </c>
      <c r="K54" s="3" t="s">
        <v>67</v>
      </c>
      <c r="L54" s="12"/>
      <c r="M54" s="12"/>
      <c r="N54" s="499"/>
      <c r="O54" s="499"/>
      <c r="P54" s="681">
        <v>60.15</v>
      </c>
      <c r="Q54" s="509"/>
      <c r="R54" s="509"/>
      <c r="S54" s="623"/>
      <c r="T54" s="677">
        <v>12.4</v>
      </c>
      <c r="U54" s="677">
        <v>1.98</v>
      </c>
      <c r="V54" s="123"/>
      <c r="W54" s="123"/>
      <c r="X54" s="123"/>
      <c r="Y54" s="624"/>
      <c r="Z54" s="625"/>
      <c r="AA54" s="625"/>
      <c r="AB54" s="625"/>
      <c r="AC54" s="625"/>
      <c r="AD54" s="625"/>
      <c r="AE54" s="625"/>
      <c r="AF54" s="625"/>
      <c r="AG54" s="625"/>
      <c r="AH54" s="625"/>
      <c r="AI54" s="625"/>
      <c r="AJ54" s="625"/>
      <c r="AK54" s="625"/>
      <c r="AL54" s="625"/>
      <c r="AM54" s="625"/>
      <c r="AN54" s="625"/>
      <c r="AO54" s="625"/>
      <c r="AP54" s="625"/>
      <c r="AQ54" s="625"/>
      <c r="AR54" s="625"/>
      <c r="AS54" s="625"/>
      <c r="AT54" s="625"/>
      <c r="AU54" s="625"/>
      <c r="AV54" s="625"/>
      <c r="AW54" s="625"/>
      <c r="AX54" s="625"/>
      <c r="AY54" s="625"/>
      <c r="AZ54" s="625"/>
      <c r="BA54" s="625"/>
      <c r="BB54" s="625"/>
      <c r="BC54" s="625"/>
      <c r="BD54" s="625"/>
      <c r="BE54" s="625"/>
      <c r="BF54" s="626"/>
      <c r="BG54" s="626"/>
      <c r="BH54" s="626"/>
      <c r="BI54" s="626"/>
      <c r="BJ54" s="626"/>
      <c r="BK54" s="626"/>
      <c r="BL54" s="626"/>
      <c r="BM54" s="626"/>
      <c r="BN54" s="626"/>
      <c r="BO54" s="626"/>
      <c r="BP54" s="626"/>
      <c r="BQ54" s="626"/>
      <c r="BR54" s="626"/>
      <c r="BS54" s="626"/>
      <c r="BT54" s="626"/>
      <c r="BU54" s="626"/>
      <c r="BV54" s="626"/>
      <c r="BW54" s="626"/>
      <c r="BX54" s="626"/>
      <c r="BY54" s="626"/>
      <c r="BZ54" s="626"/>
      <c r="CA54" s="626"/>
      <c r="CB54" s="626"/>
      <c r="CC54" s="626"/>
      <c r="CD54" s="626"/>
      <c r="CE54" s="626"/>
      <c r="CF54" s="626"/>
      <c r="CG54" s="626"/>
      <c r="CH54" s="626"/>
      <c r="CI54" s="626"/>
      <c r="CJ54" s="626"/>
      <c r="CK54" s="626"/>
      <c r="CL54" s="626"/>
      <c r="CM54" s="626"/>
      <c r="CN54" s="626"/>
      <c r="CO54" s="626"/>
      <c r="CP54" s="626"/>
      <c r="CQ54" s="626"/>
      <c r="CR54" s="626"/>
      <c r="CS54" s="626"/>
      <c r="CT54" s="626"/>
      <c r="CU54" s="626"/>
      <c r="CV54" s="626"/>
      <c r="CW54" s="626"/>
      <c r="CX54" s="626"/>
      <c r="CY54" s="626"/>
      <c r="CZ54" s="626"/>
      <c r="DA54" s="626"/>
      <c r="DB54" s="626"/>
      <c r="DC54" s="626"/>
      <c r="DD54" s="626"/>
      <c r="DE54" s="626"/>
      <c r="DF54" s="626"/>
      <c r="DG54" s="626"/>
      <c r="DH54" s="626"/>
      <c r="DI54" s="626"/>
      <c r="DJ54" s="626"/>
      <c r="DK54" s="626"/>
      <c r="DL54" s="626"/>
      <c r="DM54" s="626"/>
      <c r="DN54" s="626"/>
      <c r="DO54" s="626"/>
      <c r="DP54" s="626"/>
      <c r="DQ54" s="626"/>
      <c r="DR54" s="626"/>
      <c r="DS54" s="626"/>
      <c r="DT54" s="626"/>
      <c r="DU54" s="626"/>
      <c r="DV54" s="626"/>
      <c r="DW54" s="626"/>
      <c r="DX54" s="626"/>
      <c r="DY54" s="626"/>
      <c r="DZ54" s="626"/>
      <c r="EA54" s="626"/>
      <c r="EB54" s="626"/>
      <c r="EC54" s="626"/>
      <c r="ED54" s="626"/>
      <c r="EE54" s="626"/>
      <c r="EF54" s="626"/>
      <c r="EG54" s="626"/>
      <c r="EH54" s="626"/>
      <c r="EI54" s="626"/>
      <c r="EJ54" s="626"/>
      <c r="EK54" s="626"/>
      <c r="EL54" s="626"/>
      <c r="EM54" s="626"/>
      <c r="EN54" s="626"/>
      <c r="EO54" s="626"/>
      <c r="EP54" s="626"/>
      <c r="EQ54" s="626"/>
      <c r="ER54" s="626"/>
      <c r="ES54" s="626"/>
      <c r="ET54" s="626"/>
      <c r="EU54" s="626"/>
      <c r="EV54" s="626"/>
      <c r="EW54" s="626"/>
      <c r="EX54" s="626"/>
      <c r="EY54" s="626"/>
      <c r="EZ54" s="626"/>
      <c r="FA54" s="626"/>
      <c r="FB54" s="626"/>
      <c r="FC54" s="626"/>
      <c r="FD54" s="626"/>
      <c r="FE54" s="626"/>
      <c r="FF54" s="626"/>
      <c r="FG54" s="626"/>
      <c r="FH54" s="626"/>
      <c r="FI54" s="626"/>
      <c r="FJ54" s="626"/>
      <c r="FK54" s="626"/>
      <c r="FL54" s="626"/>
      <c r="FM54" s="626"/>
      <c r="FN54" s="626"/>
      <c r="FO54" s="626"/>
      <c r="FP54" s="626"/>
      <c r="FQ54" s="626"/>
      <c r="FR54" s="626"/>
      <c r="FS54" s="626"/>
      <c r="FT54" s="626"/>
      <c r="FU54" s="626"/>
      <c r="FV54" s="626"/>
      <c r="FW54" s="626"/>
      <c r="FX54" s="626"/>
      <c r="FY54" s="626"/>
      <c r="FZ54" s="626"/>
      <c r="GA54" s="626"/>
      <c r="GB54" s="626"/>
      <c r="GC54" s="626"/>
      <c r="GD54" s="626"/>
      <c r="GE54" s="626"/>
      <c r="GF54" s="626"/>
      <c r="GG54" s="626"/>
      <c r="GH54" s="626"/>
      <c r="GI54" s="626"/>
      <c r="GJ54" s="626"/>
      <c r="GK54" s="626"/>
      <c r="GL54" s="626"/>
      <c r="GM54" s="626"/>
      <c r="GN54" s="626"/>
      <c r="GO54" s="626"/>
      <c r="GP54" s="626"/>
      <c r="GQ54" s="626"/>
      <c r="GR54" s="626"/>
      <c r="GS54" s="626"/>
      <c r="GT54" s="626"/>
      <c r="GU54" s="626"/>
      <c r="GV54" s="626"/>
      <c r="GW54" s="626"/>
      <c r="GX54" s="626"/>
      <c r="GY54" s="626"/>
      <c r="GZ54" s="626"/>
      <c r="HA54" s="626"/>
      <c r="HB54" s="626"/>
      <c r="HC54" s="626"/>
      <c r="HD54" s="626"/>
      <c r="HE54" s="626"/>
      <c r="HF54" s="626"/>
      <c r="HG54" s="626"/>
      <c r="HH54" s="626"/>
      <c r="HI54" s="626"/>
      <c r="HJ54" s="626"/>
      <c r="HK54" s="626"/>
      <c r="HL54" s="626"/>
      <c r="HM54" s="626"/>
      <c r="HN54" s="626"/>
      <c r="HO54" s="626"/>
      <c r="HP54" s="626"/>
      <c r="HQ54" s="626"/>
      <c r="HR54" s="626"/>
      <c r="HS54" s="626"/>
      <c r="HT54" s="626"/>
      <c r="HU54" s="626"/>
      <c r="HV54" s="626"/>
      <c r="HW54" s="626"/>
      <c r="HX54" s="626"/>
      <c r="HY54" s="626"/>
      <c r="HZ54" s="626"/>
      <c r="IA54" s="626"/>
      <c r="IB54" s="626"/>
      <c r="IC54" s="626"/>
      <c r="ID54" s="626"/>
      <c r="IE54" s="626"/>
      <c r="IF54" s="626"/>
      <c r="IG54" s="626"/>
      <c r="IH54" s="626"/>
      <c r="II54" s="626"/>
      <c r="IJ54" s="626"/>
      <c r="IK54" s="626"/>
      <c r="IL54" s="626"/>
      <c r="IM54" s="626"/>
      <c r="IN54" s="626"/>
      <c r="IO54" s="626"/>
      <c r="IP54" s="626"/>
      <c r="IQ54" s="626"/>
      <c r="IR54" s="626"/>
      <c r="IS54" s="626"/>
      <c r="IT54" s="626"/>
      <c r="IU54" s="626"/>
    </row>
    <row r="55" spans="1:255" s="627" customFormat="1" ht="12.75" customHeight="1" thickBot="1" x14ac:dyDescent="0.25">
      <c r="A55" s="644" t="s">
        <v>17</v>
      </c>
      <c r="B55" s="679">
        <v>42580</v>
      </c>
      <c r="C55" s="489"/>
      <c r="D55" s="489"/>
      <c r="E55" s="292" t="s">
        <v>388</v>
      </c>
      <c r="F55" s="489"/>
      <c r="G55" s="623"/>
      <c r="H55" s="676">
        <v>49742901</v>
      </c>
      <c r="I55" s="676">
        <v>95617858</v>
      </c>
      <c r="J55" s="615" t="s">
        <v>17</v>
      </c>
      <c r="K55" s="3" t="s">
        <v>67</v>
      </c>
      <c r="L55" s="12"/>
      <c r="M55" s="12"/>
      <c r="N55" s="499"/>
      <c r="O55" s="499"/>
      <c r="P55" s="681">
        <v>60.3</v>
      </c>
      <c r="Q55" s="509"/>
      <c r="R55" s="509"/>
      <c r="S55" s="623"/>
      <c r="T55" s="677">
        <v>12.6</v>
      </c>
      <c r="U55" s="677">
        <v>1.96</v>
      </c>
      <c r="V55" s="123"/>
      <c r="W55" s="123"/>
      <c r="X55" s="123"/>
      <c r="Y55" s="624"/>
      <c r="Z55" s="625"/>
      <c r="AA55" s="625"/>
      <c r="AB55" s="625"/>
      <c r="AC55" s="625"/>
      <c r="AD55" s="625"/>
      <c r="AE55" s="625"/>
      <c r="AF55" s="625"/>
      <c r="AG55" s="625"/>
      <c r="AH55" s="625"/>
      <c r="AI55" s="625"/>
      <c r="AJ55" s="625"/>
      <c r="AK55" s="625"/>
      <c r="AL55" s="625"/>
      <c r="AM55" s="625"/>
      <c r="AN55" s="625"/>
      <c r="AO55" s="625"/>
      <c r="AP55" s="625"/>
      <c r="AQ55" s="625"/>
      <c r="AR55" s="625"/>
      <c r="AS55" s="625"/>
      <c r="AT55" s="625"/>
      <c r="AU55" s="625"/>
      <c r="AV55" s="625"/>
      <c r="AW55" s="625"/>
      <c r="AX55" s="625"/>
      <c r="AY55" s="625"/>
      <c r="AZ55" s="625"/>
      <c r="BA55" s="625"/>
      <c r="BB55" s="625"/>
      <c r="BC55" s="625"/>
      <c r="BD55" s="625"/>
      <c r="BE55" s="625"/>
      <c r="BF55" s="626"/>
      <c r="BG55" s="626"/>
      <c r="BH55" s="626"/>
      <c r="BI55" s="626"/>
      <c r="BJ55" s="626"/>
      <c r="BK55" s="626"/>
      <c r="BL55" s="626"/>
      <c r="BM55" s="626"/>
      <c r="BN55" s="626"/>
      <c r="BO55" s="626"/>
      <c r="BP55" s="626"/>
      <c r="BQ55" s="626"/>
      <c r="BR55" s="626"/>
      <c r="BS55" s="626"/>
      <c r="BT55" s="626"/>
      <c r="BU55" s="626"/>
      <c r="BV55" s="626"/>
      <c r="BW55" s="626"/>
      <c r="BX55" s="626"/>
      <c r="BY55" s="626"/>
      <c r="BZ55" s="626"/>
      <c r="CA55" s="626"/>
      <c r="CB55" s="626"/>
      <c r="CC55" s="626"/>
      <c r="CD55" s="626"/>
      <c r="CE55" s="626"/>
      <c r="CF55" s="626"/>
      <c r="CG55" s="626"/>
      <c r="CH55" s="626"/>
      <c r="CI55" s="626"/>
      <c r="CJ55" s="626"/>
      <c r="CK55" s="626"/>
      <c r="CL55" s="626"/>
      <c r="CM55" s="626"/>
      <c r="CN55" s="626"/>
      <c r="CO55" s="626"/>
      <c r="CP55" s="626"/>
      <c r="CQ55" s="626"/>
      <c r="CR55" s="626"/>
      <c r="CS55" s="626"/>
      <c r="CT55" s="626"/>
      <c r="CU55" s="626"/>
      <c r="CV55" s="626"/>
      <c r="CW55" s="626"/>
      <c r="CX55" s="626"/>
      <c r="CY55" s="626"/>
      <c r="CZ55" s="626"/>
      <c r="DA55" s="626"/>
      <c r="DB55" s="626"/>
      <c r="DC55" s="626"/>
      <c r="DD55" s="626"/>
      <c r="DE55" s="626"/>
      <c r="DF55" s="626"/>
      <c r="DG55" s="626"/>
      <c r="DH55" s="626"/>
      <c r="DI55" s="626"/>
      <c r="DJ55" s="626"/>
      <c r="DK55" s="626"/>
      <c r="DL55" s="626"/>
      <c r="DM55" s="626"/>
      <c r="DN55" s="626"/>
      <c r="DO55" s="626"/>
      <c r="DP55" s="626"/>
      <c r="DQ55" s="626"/>
      <c r="DR55" s="626"/>
      <c r="DS55" s="626"/>
      <c r="DT55" s="626"/>
      <c r="DU55" s="626"/>
      <c r="DV55" s="626"/>
      <c r="DW55" s="626"/>
      <c r="DX55" s="626"/>
      <c r="DY55" s="626"/>
      <c r="DZ55" s="626"/>
      <c r="EA55" s="626"/>
      <c r="EB55" s="626"/>
      <c r="EC55" s="626"/>
      <c r="ED55" s="626"/>
      <c r="EE55" s="626"/>
      <c r="EF55" s="626"/>
      <c r="EG55" s="626"/>
      <c r="EH55" s="626"/>
      <c r="EI55" s="626"/>
      <c r="EJ55" s="626"/>
      <c r="EK55" s="626"/>
      <c r="EL55" s="626"/>
      <c r="EM55" s="626"/>
      <c r="EN55" s="626"/>
      <c r="EO55" s="626"/>
      <c r="EP55" s="626"/>
      <c r="EQ55" s="626"/>
      <c r="ER55" s="626"/>
      <c r="ES55" s="626"/>
      <c r="ET55" s="626"/>
      <c r="EU55" s="626"/>
      <c r="EV55" s="626"/>
      <c r="EW55" s="626"/>
      <c r="EX55" s="626"/>
      <c r="EY55" s="626"/>
      <c r="EZ55" s="626"/>
      <c r="FA55" s="626"/>
      <c r="FB55" s="626"/>
      <c r="FC55" s="626"/>
      <c r="FD55" s="626"/>
      <c r="FE55" s="626"/>
      <c r="FF55" s="626"/>
      <c r="FG55" s="626"/>
      <c r="FH55" s="626"/>
      <c r="FI55" s="626"/>
      <c r="FJ55" s="626"/>
      <c r="FK55" s="626"/>
      <c r="FL55" s="626"/>
      <c r="FM55" s="626"/>
      <c r="FN55" s="626"/>
      <c r="FO55" s="626"/>
      <c r="FP55" s="626"/>
      <c r="FQ55" s="626"/>
      <c r="FR55" s="626"/>
      <c r="FS55" s="626"/>
      <c r="FT55" s="626"/>
      <c r="FU55" s="626"/>
      <c r="FV55" s="626"/>
      <c r="FW55" s="626"/>
      <c r="FX55" s="626"/>
      <c r="FY55" s="626"/>
      <c r="FZ55" s="626"/>
      <c r="GA55" s="626"/>
      <c r="GB55" s="626"/>
      <c r="GC55" s="626"/>
      <c r="GD55" s="626"/>
      <c r="GE55" s="626"/>
      <c r="GF55" s="626"/>
      <c r="GG55" s="626"/>
      <c r="GH55" s="626"/>
      <c r="GI55" s="626"/>
      <c r="GJ55" s="626"/>
      <c r="GK55" s="626"/>
      <c r="GL55" s="626"/>
      <c r="GM55" s="626"/>
      <c r="GN55" s="626"/>
      <c r="GO55" s="626"/>
      <c r="GP55" s="626"/>
      <c r="GQ55" s="626"/>
      <c r="GR55" s="626"/>
      <c r="GS55" s="626"/>
      <c r="GT55" s="626"/>
      <c r="GU55" s="626"/>
      <c r="GV55" s="626"/>
      <c r="GW55" s="626"/>
      <c r="GX55" s="626"/>
      <c r="GY55" s="626"/>
      <c r="GZ55" s="626"/>
      <c r="HA55" s="626"/>
      <c r="HB55" s="626"/>
      <c r="HC55" s="626"/>
      <c r="HD55" s="626"/>
      <c r="HE55" s="626"/>
      <c r="HF55" s="626"/>
      <c r="HG55" s="626"/>
      <c r="HH55" s="626"/>
      <c r="HI55" s="626"/>
      <c r="HJ55" s="626"/>
      <c r="HK55" s="626"/>
      <c r="HL55" s="626"/>
      <c r="HM55" s="626"/>
      <c r="HN55" s="626"/>
      <c r="HO55" s="626"/>
      <c r="HP55" s="626"/>
      <c r="HQ55" s="626"/>
      <c r="HR55" s="626"/>
      <c r="HS55" s="626"/>
      <c r="HT55" s="626"/>
      <c r="HU55" s="626"/>
      <c r="HV55" s="626"/>
      <c r="HW55" s="626"/>
      <c r="HX55" s="626"/>
      <c r="HY55" s="626"/>
      <c r="HZ55" s="626"/>
      <c r="IA55" s="626"/>
      <c r="IB55" s="626"/>
      <c r="IC55" s="626"/>
      <c r="ID55" s="626"/>
      <c r="IE55" s="626"/>
      <c r="IF55" s="626"/>
      <c r="IG55" s="626"/>
      <c r="IH55" s="626"/>
      <c r="II55" s="626"/>
      <c r="IJ55" s="626"/>
      <c r="IK55" s="626"/>
      <c r="IL55" s="626"/>
      <c r="IM55" s="626"/>
      <c r="IN55" s="626"/>
      <c r="IO55" s="626"/>
      <c r="IP55" s="626"/>
      <c r="IQ55" s="626"/>
      <c r="IR55" s="626"/>
      <c r="IS55" s="626"/>
      <c r="IT55" s="626"/>
      <c r="IU55" s="626"/>
    </row>
    <row r="56" spans="1:255" s="627" customFormat="1" ht="12.75" customHeight="1" thickBot="1" x14ac:dyDescent="0.25">
      <c r="A56" s="644" t="s">
        <v>17</v>
      </c>
      <c r="B56" s="679">
        <v>42580</v>
      </c>
      <c r="C56" s="489"/>
      <c r="D56" s="489"/>
      <c r="E56" s="292" t="s">
        <v>388</v>
      </c>
      <c r="F56" s="489"/>
      <c r="G56" s="623"/>
      <c r="H56" s="676">
        <v>49742901</v>
      </c>
      <c r="I56" s="676">
        <v>95292561</v>
      </c>
      <c r="J56" s="615" t="s">
        <v>17</v>
      </c>
      <c r="K56" s="3" t="s">
        <v>67</v>
      </c>
      <c r="L56" s="12"/>
      <c r="M56" s="12"/>
      <c r="N56" s="499"/>
      <c r="O56" s="499"/>
      <c r="P56" s="681">
        <v>54.85</v>
      </c>
      <c r="Q56" s="509"/>
      <c r="R56" s="509"/>
      <c r="S56" s="623"/>
      <c r="T56" s="677">
        <v>12.1</v>
      </c>
      <c r="U56" s="677">
        <v>1.96</v>
      </c>
      <c r="V56" s="123"/>
      <c r="W56" s="123"/>
      <c r="X56" s="123"/>
      <c r="Y56" s="624"/>
      <c r="Z56" s="625"/>
      <c r="AA56" s="625"/>
      <c r="AB56" s="625"/>
      <c r="AC56" s="625"/>
      <c r="AD56" s="625"/>
      <c r="AE56" s="625"/>
      <c r="AF56" s="625"/>
      <c r="AG56" s="625"/>
      <c r="AH56" s="625"/>
      <c r="AI56" s="625"/>
      <c r="AJ56" s="625"/>
      <c r="AK56" s="625"/>
      <c r="AL56" s="625"/>
      <c r="AM56" s="625"/>
      <c r="AN56" s="625"/>
      <c r="AO56" s="625"/>
      <c r="AP56" s="625"/>
      <c r="AQ56" s="625"/>
      <c r="AR56" s="625"/>
      <c r="AS56" s="625"/>
      <c r="AT56" s="625"/>
      <c r="AU56" s="625"/>
      <c r="AV56" s="625"/>
      <c r="AW56" s="625"/>
      <c r="AX56" s="625"/>
      <c r="AY56" s="625"/>
      <c r="AZ56" s="625"/>
      <c r="BA56" s="625"/>
      <c r="BB56" s="625"/>
      <c r="BC56" s="625"/>
      <c r="BD56" s="625"/>
      <c r="BE56" s="625"/>
      <c r="BF56" s="626"/>
      <c r="BG56" s="626"/>
      <c r="BH56" s="626"/>
      <c r="BI56" s="626"/>
      <c r="BJ56" s="626"/>
      <c r="BK56" s="626"/>
      <c r="BL56" s="626"/>
      <c r="BM56" s="626"/>
      <c r="BN56" s="626"/>
      <c r="BO56" s="626"/>
      <c r="BP56" s="626"/>
      <c r="BQ56" s="626"/>
      <c r="BR56" s="626"/>
      <c r="BS56" s="626"/>
      <c r="BT56" s="626"/>
      <c r="BU56" s="626"/>
      <c r="BV56" s="626"/>
      <c r="BW56" s="626"/>
      <c r="BX56" s="626"/>
      <c r="BY56" s="626"/>
      <c r="BZ56" s="626"/>
      <c r="CA56" s="626"/>
      <c r="CB56" s="626"/>
      <c r="CC56" s="626"/>
      <c r="CD56" s="626"/>
      <c r="CE56" s="626"/>
      <c r="CF56" s="626"/>
      <c r="CG56" s="626"/>
      <c r="CH56" s="626"/>
      <c r="CI56" s="626"/>
      <c r="CJ56" s="626"/>
      <c r="CK56" s="626"/>
      <c r="CL56" s="626"/>
      <c r="CM56" s="626"/>
      <c r="CN56" s="626"/>
      <c r="CO56" s="626"/>
      <c r="CP56" s="626"/>
      <c r="CQ56" s="626"/>
      <c r="CR56" s="626"/>
      <c r="CS56" s="626"/>
      <c r="CT56" s="626"/>
      <c r="CU56" s="626"/>
      <c r="CV56" s="626"/>
      <c r="CW56" s="626"/>
      <c r="CX56" s="626"/>
      <c r="CY56" s="626"/>
      <c r="CZ56" s="626"/>
      <c r="DA56" s="626"/>
      <c r="DB56" s="626"/>
      <c r="DC56" s="626"/>
      <c r="DD56" s="626"/>
      <c r="DE56" s="626"/>
      <c r="DF56" s="626"/>
      <c r="DG56" s="626"/>
      <c r="DH56" s="626"/>
      <c r="DI56" s="626"/>
      <c r="DJ56" s="626"/>
      <c r="DK56" s="626"/>
      <c r="DL56" s="626"/>
      <c r="DM56" s="626"/>
      <c r="DN56" s="626"/>
      <c r="DO56" s="626"/>
      <c r="DP56" s="626"/>
      <c r="DQ56" s="626"/>
      <c r="DR56" s="626"/>
      <c r="DS56" s="626"/>
      <c r="DT56" s="626"/>
      <c r="DU56" s="626"/>
      <c r="DV56" s="626"/>
      <c r="DW56" s="626"/>
      <c r="DX56" s="626"/>
      <c r="DY56" s="626"/>
      <c r="DZ56" s="626"/>
      <c r="EA56" s="626"/>
      <c r="EB56" s="626"/>
      <c r="EC56" s="626"/>
      <c r="ED56" s="626"/>
      <c r="EE56" s="626"/>
      <c r="EF56" s="626"/>
      <c r="EG56" s="626"/>
      <c r="EH56" s="626"/>
      <c r="EI56" s="626"/>
      <c r="EJ56" s="626"/>
      <c r="EK56" s="626"/>
      <c r="EL56" s="626"/>
      <c r="EM56" s="626"/>
      <c r="EN56" s="626"/>
      <c r="EO56" s="626"/>
      <c r="EP56" s="626"/>
      <c r="EQ56" s="626"/>
      <c r="ER56" s="626"/>
      <c r="ES56" s="626"/>
      <c r="ET56" s="626"/>
      <c r="EU56" s="626"/>
      <c r="EV56" s="626"/>
      <c r="EW56" s="626"/>
      <c r="EX56" s="626"/>
      <c r="EY56" s="626"/>
      <c r="EZ56" s="626"/>
      <c r="FA56" s="626"/>
      <c r="FB56" s="626"/>
      <c r="FC56" s="626"/>
      <c r="FD56" s="626"/>
      <c r="FE56" s="626"/>
      <c r="FF56" s="626"/>
      <c r="FG56" s="626"/>
      <c r="FH56" s="626"/>
      <c r="FI56" s="626"/>
      <c r="FJ56" s="626"/>
      <c r="FK56" s="626"/>
      <c r="FL56" s="626"/>
      <c r="FM56" s="626"/>
      <c r="FN56" s="626"/>
      <c r="FO56" s="626"/>
      <c r="FP56" s="626"/>
      <c r="FQ56" s="626"/>
      <c r="FR56" s="626"/>
      <c r="FS56" s="626"/>
      <c r="FT56" s="626"/>
      <c r="FU56" s="626"/>
      <c r="FV56" s="626"/>
      <c r="FW56" s="626"/>
      <c r="FX56" s="626"/>
      <c r="FY56" s="626"/>
      <c r="FZ56" s="626"/>
      <c r="GA56" s="626"/>
      <c r="GB56" s="626"/>
      <c r="GC56" s="626"/>
      <c r="GD56" s="626"/>
      <c r="GE56" s="626"/>
      <c r="GF56" s="626"/>
      <c r="GG56" s="626"/>
      <c r="GH56" s="626"/>
      <c r="GI56" s="626"/>
      <c r="GJ56" s="626"/>
      <c r="GK56" s="626"/>
      <c r="GL56" s="626"/>
      <c r="GM56" s="626"/>
      <c r="GN56" s="626"/>
      <c r="GO56" s="626"/>
      <c r="GP56" s="626"/>
      <c r="GQ56" s="626"/>
      <c r="GR56" s="626"/>
      <c r="GS56" s="626"/>
      <c r="GT56" s="626"/>
      <c r="GU56" s="626"/>
      <c r="GV56" s="626"/>
      <c r="GW56" s="626"/>
      <c r="GX56" s="626"/>
      <c r="GY56" s="626"/>
      <c r="GZ56" s="626"/>
      <c r="HA56" s="626"/>
      <c r="HB56" s="626"/>
      <c r="HC56" s="626"/>
      <c r="HD56" s="626"/>
      <c r="HE56" s="626"/>
      <c r="HF56" s="626"/>
      <c r="HG56" s="626"/>
      <c r="HH56" s="626"/>
      <c r="HI56" s="626"/>
      <c r="HJ56" s="626"/>
      <c r="HK56" s="626"/>
      <c r="HL56" s="626"/>
      <c r="HM56" s="626"/>
      <c r="HN56" s="626"/>
      <c r="HO56" s="626"/>
      <c r="HP56" s="626"/>
      <c r="HQ56" s="626"/>
      <c r="HR56" s="626"/>
      <c r="HS56" s="626"/>
      <c r="HT56" s="626"/>
      <c r="HU56" s="626"/>
      <c r="HV56" s="626"/>
      <c r="HW56" s="626"/>
      <c r="HX56" s="626"/>
      <c r="HY56" s="626"/>
      <c r="HZ56" s="626"/>
      <c r="IA56" s="626"/>
      <c r="IB56" s="626"/>
      <c r="IC56" s="626"/>
      <c r="ID56" s="626"/>
      <c r="IE56" s="626"/>
      <c r="IF56" s="626"/>
      <c r="IG56" s="626"/>
      <c r="IH56" s="626"/>
      <c r="II56" s="626"/>
      <c r="IJ56" s="626"/>
      <c r="IK56" s="626"/>
      <c r="IL56" s="626"/>
      <c r="IM56" s="626"/>
      <c r="IN56" s="626"/>
      <c r="IO56" s="626"/>
      <c r="IP56" s="626"/>
      <c r="IQ56" s="626"/>
      <c r="IR56" s="626"/>
      <c r="IS56" s="626"/>
      <c r="IT56" s="626"/>
      <c r="IU56" s="626"/>
    </row>
    <row r="57" spans="1:255" s="627" customFormat="1" ht="12.75" customHeight="1" thickBot="1" x14ac:dyDescent="0.25">
      <c r="A57" s="644" t="s">
        <v>17</v>
      </c>
      <c r="B57" s="679">
        <v>42580</v>
      </c>
      <c r="C57" s="489"/>
      <c r="D57" s="489"/>
      <c r="E57" s="292" t="s">
        <v>388</v>
      </c>
      <c r="F57" s="489"/>
      <c r="G57" s="623"/>
      <c r="H57" s="676">
        <v>49742901</v>
      </c>
      <c r="I57" s="676">
        <v>95333803</v>
      </c>
      <c r="J57" s="615" t="s">
        <v>17</v>
      </c>
      <c r="K57" s="3" t="s">
        <v>67</v>
      </c>
      <c r="L57" s="12"/>
      <c r="M57" s="12"/>
      <c r="N57" s="499"/>
      <c r="O57" s="499"/>
      <c r="P57" s="681">
        <v>55.6</v>
      </c>
      <c r="Q57" s="509"/>
      <c r="R57" s="509"/>
      <c r="S57" s="623"/>
      <c r="T57" s="677">
        <v>12.2</v>
      </c>
      <c r="U57" s="677">
        <v>1.98</v>
      </c>
      <c r="V57" s="123"/>
      <c r="W57" s="123"/>
      <c r="X57" s="123"/>
      <c r="Y57" s="624"/>
      <c r="Z57" s="625"/>
      <c r="AA57" s="625"/>
      <c r="AB57" s="625"/>
      <c r="AC57" s="625"/>
      <c r="AD57" s="625"/>
      <c r="AE57" s="625"/>
      <c r="AF57" s="625"/>
      <c r="AG57" s="625"/>
      <c r="AH57" s="625"/>
      <c r="AI57" s="625"/>
      <c r="AJ57" s="625"/>
      <c r="AK57" s="625"/>
      <c r="AL57" s="625"/>
      <c r="AM57" s="625"/>
      <c r="AN57" s="625"/>
      <c r="AO57" s="625"/>
      <c r="AP57" s="625"/>
      <c r="AQ57" s="625"/>
      <c r="AR57" s="625"/>
      <c r="AS57" s="625"/>
      <c r="AT57" s="625"/>
      <c r="AU57" s="625"/>
      <c r="AV57" s="625"/>
      <c r="AW57" s="625"/>
      <c r="AX57" s="625"/>
      <c r="AY57" s="625"/>
      <c r="AZ57" s="625"/>
      <c r="BA57" s="625"/>
      <c r="BB57" s="625"/>
      <c r="BC57" s="625"/>
      <c r="BD57" s="625"/>
      <c r="BE57" s="625"/>
      <c r="BF57" s="626"/>
      <c r="BG57" s="626"/>
      <c r="BH57" s="626"/>
      <c r="BI57" s="626"/>
      <c r="BJ57" s="626"/>
      <c r="BK57" s="626"/>
      <c r="BL57" s="626"/>
      <c r="BM57" s="626"/>
      <c r="BN57" s="626"/>
      <c r="BO57" s="626"/>
      <c r="BP57" s="626"/>
      <c r="BQ57" s="626"/>
      <c r="BR57" s="626"/>
      <c r="BS57" s="626"/>
      <c r="BT57" s="626"/>
      <c r="BU57" s="626"/>
      <c r="BV57" s="626"/>
      <c r="BW57" s="626"/>
      <c r="BX57" s="626"/>
      <c r="BY57" s="626"/>
      <c r="BZ57" s="626"/>
      <c r="CA57" s="626"/>
      <c r="CB57" s="626"/>
      <c r="CC57" s="626"/>
      <c r="CD57" s="626"/>
      <c r="CE57" s="626"/>
      <c r="CF57" s="626"/>
      <c r="CG57" s="626"/>
      <c r="CH57" s="626"/>
      <c r="CI57" s="626"/>
      <c r="CJ57" s="626"/>
      <c r="CK57" s="626"/>
      <c r="CL57" s="626"/>
      <c r="CM57" s="626"/>
      <c r="CN57" s="626"/>
      <c r="CO57" s="626"/>
      <c r="CP57" s="626"/>
      <c r="CQ57" s="626"/>
      <c r="CR57" s="626"/>
      <c r="CS57" s="626"/>
      <c r="CT57" s="626"/>
      <c r="CU57" s="626"/>
      <c r="CV57" s="626"/>
      <c r="CW57" s="626"/>
      <c r="CX57" s="626"/>
      <c r="CY57" s="626"/>
      <c r="CZ57" s="626"/>
      <c r="DA57" s="626"/>
      <c r="DB57" s="626"/>
      <c r="DC57" s="626"/>
      <c r="DD57" s="626"/>
      <c r="DE57" s="626"/>
      <c r="DF57" s="626"/>
      <c r="DG57" s="626"/>
      <c r="DH57" s="626"/>
      <c r="DI57" s="626"/>
      <c r="DJ57" s="626"/>
      <c r="DK57" s="626"/>
      <c r="DL57" s="626"/>
      <c r="DM57" s="626"/>
      <c r="DN57" s="626"/>
      <c r="DO57" s="626"/>
      <c r="DP57" s="626"/>
      <c r="DQ57" s="626"/>
      <c r="DR57" s="626"/>
      <c r="DS57" s="626"/>
      <c r="DT57" s="626"/>
      <c r="DU57" s="626"/>
      <c r="DV57" s="626"/>
      <c r="DW57" s="626"/>
      <c r="DX57" s="626"/>
      <c r="DY57" s="626"/>
      <c r="DZ57" s="626"/>
      <c r="EA57" s="626"/>
      <c r="EB57" s="626"/>
      <c r="EC57" s="626"/>
      <c r="ED57" s="626"/>
      <c r="EE57" s="626"/>
      <c r="EF57" s="626"/>
      <c r="EG57" s="626"/>
      <c r="EH57" s="626"/>
      <c r="EI57" s="626"/>
      <c r="EJ57" s="626"/>
      <c r="EK57" s="626"/>
      <c r="EL57" s="626"/>
      <c r="EM57" s="626"/>
      <c r="EN57" s="626"/>
      <c r="EO57" s="626"/>
      <c r="EP57" s="626"/>
      <c r="EQ57" s="626"/>
      <c r="ER57" s="626"/>
      <c r="ES57" s="626"/>
      <c r="ET57" s="626"/>
      <c r="EU57" s="626"/>
      <c r="EV57" s="626"/>
      <c r="EW57" s="626"/>
      <c r="EX57" s="626"/>
      <c r="EY57" s="626"/>
      <c r="EZ57" s="626"/>
      <c r="FA57" s="626"/>
      <c r="FB57" s="626"/>
      <c r="FC57" s="626"/>
      <c r="FD57" s="626"/>
      <c r="FE57" s="626"/>
      <c r="FF57" s="626"/>
      <c r="FG57" s="626"/>
      <c r="FH57" s="626"/>
      <c r="FI57" s="626"/>
      <c r="FJ57" s="626"/>
      <c r="FK57" s="626"/>
      <c r="FL57" s="626"/>
      <c r="FM57" s="626"/>
      <c r="FN57" s="626"/>
      <c r="FO57" s="626"/>
      <c r="FP57" s="626"/>
      <c r="FQ57" s="626"/>
      <c r="FR57" s="626"/>
      <c r="FS57" s="626"/>
      <c r="FT57" s="626"/>
      <c r="FU57" s="626"/>
      <c r="FV57" s="626"/>
      <c r="FW57" s="626"/>
      <c r="FX57" s="626"/>
      <c r="FY57" s="626"/>
      <c r="FZ57" s="626"/>
      <c r="GA57" s="626"/>
      <c r="GB57" s="626"/>
      <c r="GC57" s="626"/>
      <c r="GD57" s="626"/>
      <c r="GE57" s="626"/>
      <c r="GF57" s="626"/>
      <c r="GG57" s="626"/>
      <c r="GH57" s="626"/>
      <c r="GI57" s="626"/>
      <c r="GJ57" s="626"/>
      <c r="GK57" s="626"/>
      <c r="GL57" s="626"/>
      <c r="GM57" s="626"/>
      <c r="GN57" s="626"/>
      <c r="GO57" s="626"/>
      <c r="GP57" s="626"/>
      <c r="GQ57" s="626"/>
      <c r="GR57" s="626"/>
      <c r="GS57" s="626"/>
      <c r="GT57" s="626"/>
      <c r="GU57" s="626"/>
      <c r="GV57" s="626"/>
      <c r="GW57" s="626"/>
      <c r="GX57" s="626"/>
      <c r="GY57" s="626"/>
      <c r="GZ57" s="626"/>
      <c r="HA57" s="626"/>
      <c r="HB57" s="626"/>
      <c r="HC57" s="626"/>
      <c r="HD57" s="626"/>
      <c r="HE57" s="626"/>
      <c r="HF57" s="626"/>
      <c r="HG57" s="626"/>
      <c r="HH57" s="626"/>
      <c r="HI57" s="626"/>
      <c r="HJ57" s="626"/>
      <c r="HK57" s="626"/>
      <c r="HL57" s="626"/>
      <c r="HM57" s="626"/>
      <c r="HN57" s="626"/>
      <c r="HO57" s="626"/>
      <c r="HP57" s="626"/>
      <c r="HQ57" s="626"/>
      <c r="HR57" s="626"/>
      <c r="HS57" s="626"/>
      <c r="HT57" s="626"/>
      <c r="HU57" s="626"/>
      <c r="HV57" s="626"/>
      <c r="HW57" s="626"/>
      <c r="HX57" s="626"/>
      <c r="HY57" s="626"/>
      <c r="HZ57" s="626"/>
      <c r="IA57" s="626"/>
      <c r="IB57" s="626"/>
      <c r="IC57" s="626"/>
      <c r="ID57" s="626"/>
      <c r="IE57" s="626"/>
      <c r="IF57" s="626"/>
      <c r="IG57" s="626"/>
      <c r="IH57" s="626"/>
      <c r="II57" s="626"/>
      <c r="IJ57" s="626"/>
      <c r="IK57" s="626"/>
      <c r="IL57" s="626"/>
      <c r="IM57" s="626"/>
      <c r="IN57" s="626"/>
      <c r="IO57" s="626"/>
      <c r="IP57" s="626"/>
      <c r="IQ57" s="626"/>
      <c r="IR57" s="626"/>
      <c r="IS57" s="626"/>
      <c r="IT57" s="626"/>
      <c r="IU57" s="626"/>
    </row>
    <row r="58" spans="1:255" s="627" customFormat="1" ht="12.75" customHeight="1" thickBot="1" x14ac:dyDescent="0.25">
      <c r="A58" s="644" t="s">
        <v>17</v>
      </c>
      <c r="B58" s="679">
        <v>42581</v>
      </c>
      <c r="C58" s="489"/>
      <c r="D58" s="489"/>
      <c r="E58" s="678" t="s">
        <v>320</v>
      </c>
      <c r="F58" s="489"/>
      <c r="G58" s="623"/>
      <c r="H58" s="676">
        <v>219</v>
      </c>
      <c r="I58" s="678" t="s">
        <v>355</v>
      </c>
      <c r="J58" s="615" t="s">
        <v>17</v>
      </c>
      <c r="K58" s="3" t="s">
        <v>67</v>
      </c>
      <c r="L58" s="12"/>
      <c r="M58" s="12"/>
      <c r="N58" s="499"/>
      <c r="O58" s="499"/>
      <c r="P58" s="681">
        <v>41.6</v>
      </c>
      <c r="Q58" s="509"/>
      <c r="R58" s="509"/>
      <c r="S58" s="623"/>
      <c r="T58" s="677">
        <v>12.6</v>
      </c>
      <c r="U58" s="677">
        <v>1.94</v>
      </c>
      <c r="V58" s="123"/>
      <c r="W58" s="123"/>
      <c r="X58" s="123"/>
      <c r="Y58" s="624"/>
      <c r="Z58" s="625"/>
      <c r="AA58" s="625"/>
      <c r="AB58" s="625"/>
      <c r="AC58" s="625"/>
      <c r="AD58" s="625"/>
      <c r="AE58" s="625"/>
      <c r="AF58" s="625"/>
      <c r="AG58" s="625"/>
      <c r="AH58" s="625"/>
      <c r="AI58" s="625"/>
      <c r="AJ58" s="625"/>
      <c r="AK58" s="625"/>
      <c r="AL58" s="625"/>
      <c r="AM58" s="625"/>
      <c r="AN58" s="625"/>
      <c r="AO58" s="625"/>
      <c r="AP58" s="625"/>
      <c r="AQ58" s="625"/>
      <c r="AR58" s="625"/>
      <c r="AS58" s="625"/>
      <c r="AT58" s="625"/>
      <c r="AU58" s="625"/>
      <c r="AV58" s="625"/>
      <c r="AW58" s="625"/>
      <c r="AX58" s="625"/>
      <c r="AY58" s="625"/>
      <c r="AZ58" s="625"/>
      <c r="BA58" s="625"/>
      <c r="BB58" s="625"/>
      <c r="BC58" s="625"/>
      <c r="BD58" s="625"/>
      <c r="BE58" s="625"/>
      <c r="BF58" s="626"/>
      <c r="BG58" s="626"/>
      <c r="BH58" s="626"/>
      <c r="BI58" s="626"/>
      <c r="BJ58" s="626"/>
      <c r="BK58" s="626"/>
      <c r="BL58" s="626"/>
      <c r="BM58" s="626"/>
      <c r="BN58" s="626"/>
      <c r="BO58" s="626"/>
      <c r="BP58" s="626"/>
      <c r="BQ58" s="626"/>
      <c r="BR58" s="626"/>
      <c r="BS58" s="626"/>
      <c r="BT58" s="626"/>
      <c r="BU58" s="626"/>
      <c r="BV58" s="626"/>
      <c r="BW58" s="626"/>
      <c r="BX58" s="626"/>
      <c r="BY58" s="626"/>
      <c r="BZ58" s="626"/>
      <c r="CA58" s="626"/>
      <c r="CB58" s="626"/>
      <c r="CC58" s="626"/>
      <c r="CD58" s="626"/>
      <c r="CE58" s="626"/>
      <c r="CF58" s="626"/>
      <c r="CG58" s="626"/>
      <c r="CH58" s="626"/>
      <c r="CI58" s="626"/>
      <c r="CJ58" s="626"/>
      <c r="CK58" s="626"/>
      <c r="CL58" s="626"/>
      <c r="CM58" s="626"/>
      <c r="CN58" s="626"/>
      <c r="CO58" s="626"/>
      <c r="CP58" s="626"/>
      <c r="CQ58" s="626"/>
      <c r="CR58" s="626"/>
      <c r="CS58" s="626"/>
      <c r="CT58" s="626"/>
      <c r="CU58" s="626"/>
      <c r="CV58" s="626"/>
      <c r="CW58" s="626"/>
      <c r="CX58" s="626"/>
      <c r="CY58" s="626"/>
      <c r="CZ58" s="626"/>
      <c r="DA58" s="626"/>
      <c r="DB58" s="626"/>
      <c r="DC58" s="626"/>
      <c r="DD58" s="626"/>
      <c r="DE58" s="626"/>
      <c r="DF58" s="626"/>
      <c r="DG58" s="626"/>
      <c r="DH58" s="626"/>
      <c r="DI58" s="626"/>
      <c r="DJ58" s="626"/>
      <c r="DK58" s="626"/>
      <c r="DL58" s="626"/>
      <c r="DM58" s="626"/>
      <c r="DN58" s="626"/>
      <c r="DO58" s="626"/>
      <c r="DP58" s="626"/>
      <c r="DQ58" s="626"/>
      <c r="DR58" s="626"/>
      <c r="DS58" s="626"/>
      <c r="DT58" s="626"/>
      <c r="DU58" s="626"/>
      <c r="DV58" s="626"/>
      <c r="DW58" s="626"/>
      <c r="DX58" s="626"/>
      <c r="DY58" s="626"/>
      <c r="DZ58" s="626"/>
      <c r="EA58" s="626"/>
      <c r="EB58" s="626"/>
      <c r="EC58" s="626"/>
      <c r="ED58" s="626"/>
      <c r="EE58" s="626"/>
      <c r="EF58" s="626"/>
      <c r="EG58" s="626"/>
      <c r="EH58" s="626"/>
      <c r="EI58" s="626"/>
      <c r="EJ58" s="626"/>
      <c r="EK58" s="626"/>
      <c r="EL58" s="626"/>
      <c r="EM58" s="626"/>
      <c r="EN58" s="626"/>
      <c r="EO58" s="626"/>
      <c r="EP58" s="626"/>
      <c r="EQ58" s="626"/>
      <c r="ER58" s="626"/>
      <c r="ES58" s="626"/>
      <c r="ET58" s="626"/>
      <c r="EU58" s="626"/>
      <c r="EV58" s="626"/>
      <c r="EW58" s="626"/>
      <c r="EX58" s="626"/>
      <c r="EY58" s="626"/>
      <c r="EZ58" s="626"/>
      <c r="FA58" s="626"/>
      <c r="FB58" s="626"/>
      <c r="FC58" s="626"/>
      <c r="FD58" s="626"/>
      <c r="FE58" s="626"/>
      <c r="FF58" s="626"/>
      <c r="FG58" s="626"/>
      <c r="FH58" s="626"/>
      <c r="FI58" s="626"/>
      <c r="FJ58" s="626"/>
      <c r="FK58" s="626"/>
      <c r="FL58" s="626"/>
      <c r="FM58" s="626"/>
      <c r="FN58" s="626"/>
      <c r="FO58" s="626"/>
      <c r="FP58" s="626"/>
      <c r="FQ58" s="626"/>
      <c r="FR58" s="626"/>
      <c r="FS58" s="626"/>
      <c r="FT58" s="626"/>
      <c r="FU58" s="626"/>
      <c r="FV58" s="626"/>
      <c r="FW58" s="626"/>
      <c r="FX58" s="626"/>
      <c r="FY58" s="626"/>
      <c r="FZ58" s="626"/>
      <c r="GA58" s="626"/>
      <c r="GB58" s="626"/>
      <c r="GC58" s="626"/>
      <c r="GD58" s="626"/>
      <c r="GE58" s="626"/>
      <c r="GF58" s="626"/>
      <c r="GG58" s="626"/>
      <c r="GH58" s="626"/>
      <c r="GI58" s="626"/>
      <c r="GJ58" s="626"/>
      <c r="GK58" s="626"/>
      <c r="GL58" s="626"/>
      <c r="GM58" s="626"/>
      <c r="GN58" s="626"/>
      <c r="GO58" s="626"/>
      <c r="GP58" s="626"/>
      <c r="GQ58" s="626"/>
      <c r="GR58" s="626"/>
      <c r="GS58" s="626"/>
      <c r="GT58" s="626"/>
      <c r="GU58" s="626"/>
      <c r="GV58" s="626"/>
      <c r="GW58" s="626"/>
      <c r="GX58" s="626"/>
      <c r="GY58" s="626"/>
      <c r="GZ58" s="626"/>
      <c r="HA58" s="626"/>
      <c r="HB58" s="626"/>
      <c r="HC58" s="626"/>
      <c r="HD58" s="626"/>
      <c r="HE58" s="626"/>
      <c r="HF58" s="626"/>
      <c r="HG58" s="626"/>
      <c r="HH58" s="626"/>
      <c r="HI58" s="626"/>
      <c r="HJ58" s="626"/>
      <c r="HK58" s="626"/>
      <c r="HL58" s="626"/>
      <c r="HM58" s="626"/>
      <c r="HN58" s="626"/>
      <c r="HO58" s="626"/>
      <c r="HP58" s="626"/>
      <c r="HQ58" s="626"/>
      <c r="HR58" s="626"/>
      <c r="HS58" s="626"/>
      <c r="HT58" s="626"/>
      <c r="HU58" s="626"/>
      <c r="HV58" s="626"/>
      <c r="HW58" s="626"/>
      <c r="HX58" s="626"/>
      <c r="HY58" s="626"/>
      <c r="HZ58" s="626"/>
      <c r="IA58" s="626"/>
      <c r="IB58" s="626"/>
      <c r="IC58" s="626"/>
      <c r="ID58" s="626"/>
      <c r="IE58" s="626"/>
      <c r="IF58" s="626"/>
      <c r="IG58" s="626"/>
      <c r="IH58" s="626"/>
      <c r="II58" s="626"/>
      <c r="IJ58" s="626"/>
      <c r="IK58" s="626"/>
      <c r="IL58" s="626"/>
      <c r="IM58" s="626"/>
      <c r="IN58" s="626"/>
      <c r="IO58" s="626"/>
      <c r="IP58" s="626"/>
      <c r="IQ58" s="626"/>
      <c r="IR58" s="626"/>
      <c r="IS58" s="626"/>
      <c r="IT58" s="626"/>
      <c r="IU58" s="626"/>
    </row>
    <row r="59" spans="1:255" s="627" customFormat="1" ht="12.75" customHeight="1" thickBot="1" x14ac:dyDescent="0.25">
      <c r="A59" s="644" t="s">
        <v>17</v>
      </c>
      <c r="B59" s="679">
        <v>42581</v>
      </c>
      <c r="C59" s="489"/>
      <c r="D59" s="489"/>
      <c r="E59" s="678" t="s">
        <v>320</v>
      </c>
      <c r="F59" s="489"/>
      <c r="G59" s="623"/>
      <c r="H59" s="676">
        <v>220</v>
      </c>
      <c r="I59" s="678" t="s">
        <v>352</v>
      </c>
      <c r="J59" s="615" t="s">
        <v>17</v>
      </c>
      <c r="K59" s="3" t="s">
        <v>67</v>
      </c>
      <c r="L59" s="12"/>
      <c r="M59" s="12"/>
      <c r="N59" s="499"/>
      <c r="O59" s="499"/>
      <c r="P59" s="681">
        <v>37.5</v>
      </c>
      <c r="Q59" s="509"/>
      <c r="R59" s="509"/>
      <c r="S59" s="623"/>
      <c r="T59" s="677">
        <v>12.5</v>
      </c>
      <c r="U59" s="677">
        <v>1.92</v>
      </c>
      <c r="V59" s="123"/>
      <c r="W59" s="123"/>
      <c r="X59" s="123"/>
      <c r="Y59" s="624"/>
      <c r="Z59" s="625"/>
      <c r="AA59" s="625"/>
      <c r="AB59" s="625"/>
      <c r="AC59" s="625"/>
      <c r="AD59" s="625"/>
      <c r="AE59" s="625"/>
      <c r="AF59" s="625"/>
      <c r="AG59" s="625"/>
      <c r="AH59" s="625"/>
      <c r="AI59" s="625"/>
      <c r="AJ59" s="625"/>
      <c r="AK59" s="625"/>
      <c r="AL59" s="625"/>
      <c r="AM59" s="625"/>
      <c r="AN59" s="625"/>
      <c r="AO59" s="625"/>
      <c r="AP59" s="625"/>
      <c r="AQ59" s="625"/>
      <c r="AR59" s="625"/>
      <c r="AS59" s="625"/>
      <c r="AT59" s="625"/>
      <c r="AU59" s="625"/>
      <c r="AV59" s="625"/>
      <c r="AW59" s="625"/>
      <c r="AX59" s="625"/>
      <c r="AY59" s="625"/>
      <c r="AZ59" s="625"/>
      <c r="BA59" s="625"/>
      <c r="BB59" s="625"/>
      <c r="BC59" s="625"/>
      <c r="BD59" s="625"/>
      <c r="BE59" s="625"/>
      <c r="BF59" s="626"/>
      <c r="BG59" s="626"/>
      <c r="BH59" s="626"/>
      <c r="BI59" s="626"/>
      <c r="BJ59" s="626"/>
      <c r="BK59" s="626"/>
      <c r="BL59" s="626"/>
      <c r="BM59" s="626"/>
      <c r="BN59" s="626"/>
      <c r="BO59" s="626"/>
      <c r="BP59" s="626"/>
      <c r="BQ59" s="626"/>
      <c r="BR59" s="626"/>
      <c r="BS59" s="626"/>
      <c r="BT59" s="626"/>
      <c r="BU59" s="626"/>
      <c r="BV59" s="626"/>
      <c r="BW59" s="626"/>
      <c r="BX59" s="626"/>
      <c r="BY59" s="626"/>
      <c r="BZ59" s="626"/>
      <c r="CA59" s="626"/>
      <c r="CB59" s="626"/>
      <c r="CC59" s="626"/>
      <c r="CD59" s="626"/>
      <c r="CE59" s="626"/>
      <c r="CF59" s="626"/>
      <c r="CG59" s="626"/>
      <c r="CH59" s="626"/>
      <c r="CI59" s="626"/>
      <c r="CJ59" s="626"/>
      <c r="CK59" s="626"/>
      <c r="CL59" s="626"/>
      <c r="CM59" s="626"/>
      <c r="CN59" s="626"/>
      <c r="CO59" s="626"/>
      <c r="CP59" s="626"/>
      <c r="CQ59" s="626"/>
      <c r="CR59" s="626"/>
      <c r="CS59" s="626"/>
      <c r="CT59" s="626"/>
      <c r="CU59" s="626"/>
      <c r="CV59" s="626"/>
      <c r="CW59" s="626"/>
      <c r="CX59" s="626"/>
      <c r="CY59" s="626"/>
      <c r="CZ59" s="626"/>
      <c r="DA59" s="626"/>
      <c r="DB59" s="626"/>
      <c r="DC59" s="626"/>
      <c r="DD59" s="626"/>
      <c r="DE59" s="626"/>
      <c r="DF59" s="626"/>
      <c r="DG59" s="626"/>
      <c r="DH59" s="626"/>
      <c r="DI59" s="626"/>
      <c r="DJ59" s="626"/>
      <c r="DK59" s="626"/>
      <c r="DL59" s="626"/>
      <c r="DM59" s="626"/>
      <c r="DN59" s="626"/>
      <c r="DO59" s="626"/>
      <c r="DP59" s="626"/>
      <c r="DQ59" s="626"/>
      <c r="DR59" s="626"/>
      <c r="DS59" s="626"/>
      <c r="DT59" s="626"/>
      <c r="DU59" s="626"/>
      <c r="DV59" s="626"/>
      <c r="DW59" s="626"/>
      <c r="DX59" s="626"/>
      <c r="DY59" s="626"/>
      <c r="DZ59" s="626"/>
      <c r="EA59" s="626"/>
      <c r="EB59" s="626"/>
      <c r="EC59" s="626"/>
      <c r="ED59" s="626"/>
      <c r="EE59" s="626"/>
      <c r="EF59" s="626"/>
      <c r="EG59" s="626"/>
      <c r="EH59" s="626"/>
      <c r="EI59" s="626"/>
      <c r="EJ59" s="626"/>
      <c r="EK59" s="626"/>
      <c r="EL59" s="626"/>
      <c r="EM59" s="626"/>
      <c r="EN59" s="626"/>
      <c r="EO59" s="626"/>
      <c r="EP59" s="626"/>
      <c r="EQ59" s="626"/>
      <c r="ER59" s="626"/>
      <c r="ES59" s="626"/>
      <c r="ET59" s="626"/>
      <c r="EU59" s="626"/>
      <c r="EV59" s="626"/>
      <c r="EW59" s="626"/>
      <c r="EX59" s="626"/>
      <c r="EY59" s="626"/>
      <c r="EZ59" s="626"/>
      <c r="FA59" s="626"/>
      <c r="FB59" s="626"/>
      <c r="FC59" s="626"/>
      <c r="FD59" s="626"/>
      <c r="FE59" s="626"/>
      <c r="FF59" s="626"/>
      <c r="FG59" s="626"/>
      <c r="FH59" s="626"/>
      <c r="FI59" s="626"/>
      <c r="FJ59" s="626"/>
      <c r="FK59" s="626"/>
      <c r="FL59" s="626"/>
      <c r="FM59" s="626"/>
      <c r="FN59" s="626"/>
      <c r="FO59" s="626"/>
      <c r="FP59" s="626"/>
      <c r="FQ59" s="626"/>
      <c r="FR59" s="626"/>
      <c r="FS59" s="626"/>
      <c r="FT59" s="626"/>
      <c r="FU59" s="626"/>
      <c r="FV59" s="626"/>
      <c r="FW59" s="626"/>
      <c r="FX59" s="626"/>
      <c r="FY59" s="626"/>
      <c r="FZ59" s="626"/>
      <c r="GA59" s="626"/>
      <c r="GB59" s="626"/>
      <c r="GC59" s="626"/>
      <c r="GD59" s="626"/>
      <c r="GE59" s="626"/>
      <c r="GF59" s="626"/>
      <c r="GG59" s="626"/>
      <c r="GH59" s="626"/>
      <c r="GI59" s="626"/>
      <c r="GJ59" s="626"/>
      <c r="GK59" s="626"/>
      <c r="GL59" s="626"/>
      <c r="GM59" s="626"/>
      <c r="GN59" s="626"/>
      <c r="GO59" s="626"/>
      <c r="GP59" s="626"/>
      <c r="GQ59" s="626"/>
      <c r="GR59" s="626"/>
      <c r="GS59" s="626"/>
      <c r="GT59" s="626"/>
      <c r="GU59" s="626"/>
      <c r="GV59" s="626"/>
      <c r="GW59" s="626"/>
      <c r="GX59" s="626"/>
      <c r="GY59" s="626"/>
      <c r="GZ59" s="626"/>
      <c r="HA59" s="626"/>
      <c r="HB59" s="626"/>
      <c r="HC59" s="626"/>
      <c r="HD59" s="626"/>
      <c r="HE59" s="626"/>
      <c r="HF59" s="626"/>
      <c r="HG59" s="626"/>
      <c r="HH59" s="626"/>
      <c r="HI59" s="626"/>
      <c r="HJ59" s="626"/>
      <c r="HK59" s="626"/>
      <c r="HL59" s="626"/>
      <c r="HM59" s="626"/>
      <c r="HN59" s="626"/>
      <c r="HO59" s="626"/>
      <c r="HP59" s="626"/>
      <c r="HQ59" s="626"/>
      <c r="HR59" s="626"/>
      <c r="HS59" s="626"/>
      <c r="HT59" s="626"/>
      <c r="HU59" s="626"/>
      <c r="HV59" s="626"/>
      <c r="HW59" s="626"/>
      <c r="HX59" s="626"/>
      <c r="HY59" s="626"/>
      <c r="HZ59" s="626"/>
      <c r="IA59" s="626"/>
      <c r="IB59" s="626"/>
      <c r="IC59" s="626"/>
      <c r="ID59" s="626"/>
      <c r="IE59" s="626"/>
      <c r="IF59" s="626"/>
      <c r="IG59" s="626"/>
      <c r="IH59" s="626"/>
      <c r="II59" s="626"/>
      <c r="IJ59" s="626"/>
      <c r="IK59" s="626"/>
      <c r="IL59" s="626"/>
      <c r="IM59" s="626"/>
      <c r="IN59" s="626"/>
      <c r="IO59" s="626"/>
      <c r="IP59" s="626"/>
      <c r="IQ59" s="626"/>
      <c r="IR59" s="626"/>
      <c r="IS59" s="626"/>
      <c r="IT59" s="626"/>
      <c r="IU59" s="626"/>
    </row>
    <row r="60" spans="1:255" s="627" customFormat="1" ht="12.75" customHeight="1" thickBot="1" x14ac:dyDescent="0.25">
      <c r="A60" s="644" t="s">
        <v>17</v>
      </c>
      <c r="B60" s="679">
        <v>42581</v>
      </c>
      <c r="C60" s="489"/>
      <c r="D60" s="489"/>
      <c r="E60" s="678" t="s">
        <v>391</v>
      </c>
      <c r="F60" s="489"/>
      <c r="G60" s="623"/>
      <c r="H60" s="676">
        <v>218</v>
      </c>
      <c r="I60" s="678" t="s">
        <v>353</v>
      </c>
      <c r="J60" s="615" t="s">
        <v>17</v>
      </c>
      <c r="K60" s="3" t="s">
        <v>67</v>
      </c>
      <c r="L60" s="12"/>
      <c r="M60" s="12"/>
      <c r="N60" s="499"/>
      <c r="O60" s="499"/>
      <c r="P60" s="681">
        <v>39.26</v>
      </c>
      <c r="Q60" s="509"/>
      <c r="R60" s="509"/>
      <c r="S60" s="623"/>
      <c r="T60" s="677">
        <v>11.4</v>
      </c>
      <c r="U60" s="677">
        <v>1.94</v>
      </c>
      <c r="V60" s="123"/>
      <c r="W60" s="123"/>
      <c r="X60" s="123"/>
      <c r="Y60" s="624"/>
      <c r="Z60" s="625"/>
      <c r="AA60" s="625"/>
      <c r="AB60" s="625"/>
      <c r="AC60" s="625"/>
      <c r="AD60" s="625"/>
      <c r="AE60" s="625"/>
      <c r="AF60" s="625"/>
      <c r="AG60" s="625"/>
      <c r="AH60" s="625"/>
      <c r="AI60" s="625"/>
      <c r="AJ60" s="625"/>
      <c r="AK60" s="625"/>
      <c r="AL60" s="625"/>
      <c r="AM60" s="625"/>
      <c r="AN60" s="625"/>
      <c r="AO60" s="625"/>
      <c r="AP60" s="625"/>
      <c r="AQ60" s="625"/>
      <c r="AR60" s="625"/>
      <c r="AS60" s="625"/>
      <c r="AT60" s="625"/>
      <c r="AU60" s="625"/>
      <c r="AV60" s="625"/>
      <c r="AW60" s="625"/>
      <c r="AX60" s="625"/>
      <c r="AY60" s="625"/>
      <c r="AZ60" s="625"/>
      <c r="BA60" s="625"/>
      <c r="BB60" s="625"/>
      <c r="BC60" s="625"/>
      <c r="BD60" s="625"/>
      <c r="BE60" s="625"/>
      <c r="BF60" s="626"/>
      <c r="BG60" s="626"/>
      <c r="BH60" s="626"/>
      <c r="BI60" s="626"/>
      <c r="BJ60" s="626"/>
      <c r="BK60" s="626"/>
      <c r="BL60" s="626"/>
      <c r="BM60" s="626"/>
      <c r="BN60" s="626"/>
      <c r="BO60" s="626"/>
      <c r="BP60" s="626"/>
      <c r="BQ60" s="626"/>
      <c r="BR60" s="626"/>
      <c r="BS60" s="626"/>
      <c r="BT60" s="626"/>
      <c r="BU60" s="626"/>
      <c r="BV60" s="626"/>
      <c r="BW60" s="626"/>
      <c r="BX60" s="626"/>
      <c r="BY60" s="626"/>
      <c r="BZ60" s="626"/>
      <c r="CA60" s="626"/>
      <c r="CB60" s="626"/>
      <c r="CC60" s="626"/>
      <c r="CD60" s="626"/>
      <c r="CE60" s="626"/>
      <c r="CF60" s="626"/>
      <c r="CG60" s="626"/>
      <c r="CH60" s="626"/>
      <c r="CI60" s="626"/>
      <c r="CJ60" s="626"/>
      <c r="CK60" s="626"/>
      <c r="CL60" s="626"/>
      <c r="CM60" s="626"/>
      <c r="CN60" s="626"/>
      <c r="CO60" s="626"/>
      <c r="CP60" s="626"/>
      <c r="CQ60" s="626"/>
      <c r="CR60" s="626"/>
      <c r="CS60" s="626"/>
      <c r="CT60" s="626"/>
      <c r="CU60" s="626"/>
      <c r="CV60" s="626"/>
      <c r="CW60" s="626"/>
      <c r="CX60" s="626"/>
      <c r="CY60" s="626"/>
      <c r="CZ60" s="626"/>
      <c r="DA60" s="626"/>
      <c r="DB60" s="626"/>
      <c r="DC60" s="626"/>
      <c r="DD60" s="626"/>
      <c r="DE60" s="626"/>
      <c r="DF60" s="626"/>
      <c r="DG60" s="626"/>
      <c r="DH60" s="626"/>
      <c r="DI60" s="626"/>
      <c r="DJ60" s="626"/>
      <c r="DK60" s="626"/>
      <c r="DL60" s="626"/>
      <c r="DM60" s="626"/>
      <c r="DN60" s="626"/>
      <c r="DO60" s="626"/>
      <c r="DP60" s="626"/>
      <c r="DQ60" s="626"/>
      <c r="DR60" s="626"/>
      <c r="DS60" s="626"/>
      <c r="DT60" s="626"/>
      <c r="DU60" s="626"/>
      <c r="DV60" s="626"/>
      <c r="DW60" s="626"/>
      <c r="DX60" s="626"/>
      <c r="DY60" s="626"/>
      <c r="DZ60" s="626"/>
      <c r="EA60" s="626"/>
      <c r="EB60" s="626"/>
      <c r="EC60" s="626"/>
      <c r="ED60" s="626"/>
      <c r="EE60" s="626"/>
      <c r="EF60" s="626"/>
      <c r="EG60" s="626"/>
      <c r="EH60" s="626"/>
      <c r="EI60" s="626"/>
      <c r="EJ60" s="626"/>
      <c r="EK60" s="626"/>
      <c r="EL60" s="626"/>
      <c r="EM60" s="626"/>
      <c r="EN60" s="626"/>
      <c r="EO60" s="626"/>
      <c r="EP60" s="626"/>
      <c r="EQ60" s="626"/>
      <c r="ER60" s="626"/>
      <c r="ES60" s="626"/>
      <c r="ET60" s="626"/>
      <c r="EU60" s="626"/>
      <c r="EV60" s="626"/>
      <c r="EW60" s="626"/>
      <c r="EX60" s="626"/>
      <c r="EY60" s="626"/>
      <c r="EZ60" s="626"/>
      <c r="FA60" s="626"/>
      <c r="FB60" s="626"/>
      <c r="FC60" s="626"/>
      <c r="FD60" s="626"/>
      <c r="FE60" s="626"/>
      <c r="FF60" s="626"/>
      <c r="FG60" s="626"/>
      <c r="FH60" s="626"/>
      <c r="FI60" s="626"/>
      <c r="FJ60" s="626"/>
      <c r="FK60" s="626"/>
      <c r="FL60" s="626"/>
      <c r="FM60" s="626"/>
      <c r="FN60" s="626"/>
      <c r="FO60" s="626"/>
      <c r="FP60" s="626"/>
      <c r="FQ60" s="626"/>
      <c r="FR60" s="626"/>
      <c r="FS60" s="626"/>
      <c r="FT60" s="626"/>
      <c r="FU60" s="626"/>
      <c r="FV60" s="626"/>
      <c r="FW60" s="626"/>
      <c r="FX60" s="626"/>
      <c r="FY60" s="626"/>
      <c r="FZ60" s="626"/>
      <c r="GA60" s="626"/>
      <c r="GB60" s="626"/>
      <c r="GC60" s="626"/>
      <c r="GD60" s="626"/>
      <c r="GE60" s="626"/>
      <c r="GF60" s="626"/>
      <c r="GG60" s="626"/>
      <c r="GH60" s="626"/>
      <c r="GI60" s="626"/>
      <c r="GJ60" s="626"/>
      <c r="GK60" s="626"/>
      <c r="GL60" s="626"/>
      <c r="GM60" s="626"/>
      <c r="GN60" s="626"/>
      <c r="GO60" s="626"/>
      <c r="GP60" s="626"/>
      <c r="GQ60" s="626"/>
      <c r="GR60" s="626"/>
      <c r="GS60" s="626"/>
      <c r="GT60" s="626"/>
      <c r="GU60" s="626"/>
      <c r="GV60" s="626"/>
      <c r="GW60" s="626"/>
      <c r="GX60" s="626"/>
      <c r="GY60" s="626"/>
      <c r="GZ60" s="626"/>
      <c r="HA60" s="626"/>
      <c r="HB60" s="626"/>
      <c r="HC60" s="626"/>
      <c r="HD60" s="626"/>
      <c r="HE60" s="626"/>
      <c r="HF60" s="626"/>
      <c r="HG60" s="626"/>
      <c r="HH60" s="626"/>
      <c r="HI60" s="626"/>
      <c r="HJ60" s="626"/>
      <c r="HK60" s="626"/>
      <c r="HL60" s="626"/>
      <c r="HM60" s="626"/>
      <c r="HN60" s="626"/>
      <c r="HO60" s="626"/>
      <c r="HP60" s="626"/>
      <c r="HQ60" s="626"/>
      <c r="HR60" s="626"/>
      <c r="HS60" s="626"/>
      <c r="HT60" s="626"/>
      <c r="HU60" s="626"/>
      <c r="HV60" s="626"/>
      <c r="HW60" s="626"/>
      <c r="HX60" s="626"/>
      <c r="HY60" s="626"/>
      <c r="HZ60" s="626"/>
      <c r="IA60" s="626"/>
      <c r="IB60" s="626"/>
      <c r="IC60" s="626"/>
      <c r="ID60" s="626"/>
      <c r="IE60" s="626"/>
      <c r="IF60" s="626"/>
      <c r="IG60" s="626"/>
      <c r="IH60" s="626"/>
      <c r="II60" s="626"/>
      <c r="IJ60" s="626"/>
      <c r="IK60" s="626"/>
      <c r="IL60" s="626"/>
      <c r="IM60" s="626"/>
      <c r="IN60" s="626"/>
      <c r="IO60" s="626"/>
      <c r="IP60" s="626"/>
      <c r="IQ60" s="626"/>
      <c r="IR60" s="626"/>
      <c r="IS60" s="626"/>
      <c r="IT60" s="626"/>
      <c r="IU60" s="626"/>
    </row>
    <row r="61" spans="1:255" s="627" customFormat="1" ht="12.75" customHeight="1" thickBot="1" x14ac:dyDescent="0.25">
      <c r="A61" s="644" t="s">
        <v>17</v>
      </c>
      <c r="B61" s="679">
        <v>42581</v>
      </c>
      <c r="C61" s="489"/>
      <c r="D61" s="489"/>
      <c r="E61" s="292" t="s">
        <v>388</v>
      </c>
      <c r="F61" s="489"/>
      <c r="G61" s="623"/>
      <c r="H61" s="676">
        <v>49775034</v>
      </c>
      <c r="I61" s="676">
        <v>95617536</v>
      </c>
      <c r="J61" s="615" t="s">
        <v>17</v>
      </c>
      <c r="K61" s="3" t="s">
        <v>67</v>
      </c>
      <c r="L61" s="12"/>
      <c r="M61" s="12"/>
      <c r="N61" s="499"/>
      <c r="O61" s="499"/>
      <c r="P61" s="681">
        <v>59.95</v>
      </c>
      <c r="Q61" s="509"/>
      <c r="R61" s="509"/>
      <c r="S61" s="623"/>
      <c r="T61" s="677">
        <v>11.4</v>
      </c>
      <c r="U61" s="677">
        <v>1.9</v>
      </c>
      <c r="V61" s="123"/>
      <c r="W61" s="123"/>
      <c r="X61" s="123"/>
      <c r="Y61" s="624"/>
      <c r="Z61" s="625"/>
      <c r="AA61" s="625"/>
      <c r="AB61" s="625"/>
      <c r="AC61" s="625"/>
      <c r="AD61" s="625"/>
      <c r="AE61" s="625"/>
      <c r="AF61" s="625"/>
      <c r="AG61" s="625"/>
      <c r="AH61" s="625"/>
      <c r="AI61" s="625"/>
      <c r="AJ61" s="625"/>
      <c r="AK61" s="625"/>
      <c r="AL61" s="625"/>
      <c r="AM61" s="625"/>
      <c r="AN61" s="625"/>
      <c r="AO61" s="625"/>
      <c r="AP61" s="625"/>
      <c r="AQ61" s="625"/>
      <c r="AR61" s="625"/>
      <c r="AS61" s="625"/>
      <c r="AT61" s="625"/>
      <c r="AU61" s="625"/>
      <c r="AV61" s="625"/>
      <c r="AW61" s="625"/>
      <c r="AX61" s="625"/>
      <c r="AY61" s="625"/>
      <c r="AZ61" s="625"/>
      <c r="BA61" s="625"/>
      <c r="BB61" s="625"/>
      <c r="BC61" s="625"/>
      <c r="BD61" s="625"/>
      <c r="BE61" s="625"/>
      <c r="BF61" s="626"/>
      <c r="BG61" s="626"/>
      <c r="BH61" s="626"/>
      <c r="BI61" s="626"/>
      <c r="BJ61" s="626"/>
      <c r="BK61" s="626"/>
      <c r="BL61" s="626"/>
      <c r="BM61" s="626"/>
      <c r="BN61" s="626"/>
      <c r="BO61" s="626"/>
      <c r="BP61" s="626"/>
      <c r="BQ61" s="626"/>
      <c r="BR61" s="626"/>
      <c r="BS61" s="626"/>
      <c r="BT61" s="626"/>
      <c r="BU61" s="626"/>
      <c r="BV61" s="626"/>
      <c r="BW61" s="626"/>
      <c r="BX61" s="626"/>
      <c r="BY61" s="626"/>
      <c r="BZ61" s="626"/>
      <c r="CA61" s="626"/>
      <c r="CB61" s="626"/>
      <c r="CC61" s="626"/>
      <c r="CD61" s="626"/>
      <c r="CE61" s="626"/>
      <c r="CF61" s="626"/>
      <c r="CG61" s="626"/>
      <c r="CH61" s="626"/>
      <c r="CI61" s="626"/>
      <c r="CJ61" s="626"/>
      <c r="CK61" s="626"/>
      <c r="CL61" s="626"/>
      <c r="CM61" s="626"/>
      <c r="CN61" s="626"/>
      <c r="CO61" s="626"/>
      <c r="CP61" s="626"/>
      <c r="CQ61" s="626"/>
      <c r="CR61" s="626"/>
      <c r="CS61" s="626"/>
      <c r="CT61" s="626"/>
      <c r="CU61" s="626"/>
      <c r="CV61" s="626"/>
      <c r="CW61" s="626"/>
      <c r="CX61" s="626"/>
      <c r="CY61" s="626"/>
      <c r="CZ61" s="626"/>
      <c r="DA61" s="626"/>
      <c r="DB61" s="626"/>
      <c r="DC61" s="626"/>
      <c r="DD61" s="626"/>
      <c r="DE61" s="626"/>
      <c r="DF61" s="626"/>
      <c r="DG61" s="626"/>
      <c r="DH61" s="626"/>
      <c r="DI61" s="626"/>
      <c r="DJ61" s="626"/>
      <c r="DK61" s="626"/>
      <c r="DL61" s="626"/>
      <c r="DM61" s="626"/>
      <c r="DN61" s="626"/>
      <c r="DO61" s="626"/>
      <c r="DP61" s="626"/>
      <c r="DQ61" s="626"/>
      <c r="DR61" s="626"/>
      <c r="DS61" s="626"/>
      <c r="DT61" s="626"/>
      <c r="DU61" s="626"/>
      <c r="DV61" s="626"/>
      <c r="DW61" s="626"/>
      <c r="DX61" s="626"/>
      <c r="DY61" s="626"/>
      <c r="DZ61" s="626"/>
      <c r="EA61" s="626"/>
      <c r="EB61" s="626"/>
      <c r="EC61" s="626"/>
      <c r="ED61" s="626"/>
      <c r="EE61" s="626"/>
      <c r="EF61" s="626"/>
      <c r="EG61" s="626"/>
      <c r="EH61" s="626"/>
      <c r="EI61" s="626"/>
      <c r="EJ61" s="626"/>
      <c r="EK61" s="626"/>
      <c r="EL61" s="626"/>
      <c r="EM61" s="626"/>
      <c r="EN61" s="626"/>
      <c r="EO61" s="626"/>
      <c r="EP61" s="626"/>
      <c r="EQ61" s="626"/>
      <c r="ER61" s="626"/>
      <c r="ES61" s="626"/>
      <c r="ET61" s="626"/>
      <c r="EU61" s="626"/>
      <c r="EV61" s="626"/>
      <c r="EW61" s="626"/>
      <c r="EX61" s="626"/>
      <c r="EY61" s="626"/>
      <c r="EZ61" s="626"/>
      <c r="FA61" s="626"/>
      <c r="FB61" s="626"/>
      <c r="FC61" s="626"/>
      <c r="FD61" s="626"/>
      <c r="FE61" s="626"/>
      <c r="FF61" s="626"/>
      <c r="FG61" s="626"/>
      <c r="FH61" s="626"/>
      <c r="FI61" s="626"/>
      <c r="FJ61" s="626"/>
      <c r="FK61" s="626"/>
      <c r="FL61" s="626"/>
      <c r="FM61" s="626"/>
      <c r="FN61" s="626"/>
      <c r="FO61" s="626"/>
      <c r="FP61" s="626"/>
      <c r="FQ61" s="626"/>
      <c r="FR61" s="626"/>
      <c r="FS61" s="626"/>
      <c r="FT61" s="626"/>
      <c r="FU61" s="626"/>
      <c r="FV61" s="626"/>
      <c r="FW61" s="626"/>
      <c r="FX61" s="626"/>
      <c r="FY61" s="626"/>
      <c r="FZ61" s="626"/>
      <c r="GA61" s="626"/>
      <c r="GB61" s="626"/>
      <c r="GC61" s="626"/>
      <c r="GD61" s="626"/>
      <c r="GE61" s="626"/>
      <c r="GF61" s="626"/>
      <c r="GG61" s="626"/>
      <c r="GH61" s="626"/>
      <c r="GI61" s="626"/>
      <c r="GJ61" s="626"/>
      <c r="GK61" s="626"/>
      <c r="GL61" s="626"/>
      <c r="GM61" s="626"/>
      <c r="GN61" s="626"/>
      <c r="GO61" s="626"/>
      <c r="GP61" s="626"/>
      <c r="GQ61" s="626"/>
      <c r="GR61" s="626"/>
      <c r="GS61" s="626"/>
      <c r="GT61" s="626"/>
      <c r="GU61" s="626"/>
      <c r="GV61" s="626"/>
      <c r="GW61" s="626"/>
      <c r="GX61" s="626"/>
      <c r="GY61" s="626"/>
      <c r="GZ61" s="626"/>
      <c r="HA61" s="626"/>
      <c r="HB61" s="626"/>
      <c r="HC61" s="626"/>
      <c r="HD61" s="626"/>
      <c r="HE61" s="626"/>
      <c r="HF61" s="626"/>
      <c r="HG61" s="626"/>
      <c r="HH61" s="626"/>
      <c r="HI61" s="626"/>
      <c r="HJ61" s="626"/>
      <c r="HK61" s="626"/>
      <c r="HL61" s="626"/>
      <c r="HM61" s="626"/>
      <c r="HN61" s="626"/>
      <c r="HO61" s="626"/>
      <c r="HP61" s="626"/>
      <c r="HQ61" s="626"/>
      <c r="HR61" s="626"/>
      <c r="HS61" s="626"/>
      <c r="HT61" s="626"/>
      <c r="HU61" s="626"/>
      <c r="HV61" s="626"/>
      <c r="HW61" s="626"/>
      <c r="HX61" s="626"/>
      <c r="HY61" s="626"/>
      <c r="HZ61" s="626"/>
      <c r="IA61" s="626"/>
      <c r="IB61" s="626"/>
      <c r="IC61" s="626"/>
      <c r="ID61" s="626"/>
      <c r="IE61" s="626"/>
      <c r="IF61" s="626"/>
      <c r="IG61" s="626"/>
      <c r="IH61" s="626"/>
      <c r="II61" s="626"/>
      <c r="IJ61" s="626"/>
      <c r="IK61" s="626"/>
      <c r="IL61" s="626"/>
      <c r="IM61" s="626"/>
      <c r="IN61" s="626"/>
      <c r="IO61" s="626"/>
      <c r="IP61" s="626"/>
      <c r="IQ61" s="626"/>
      <c r="IR61" s="626"/>
      <c r="IS61" s="626"/>
      <c r="IT61" s="626"/>
      <c r="IU61" s="626"/>
    </row>
    <row r="62" spans="1:255" s="627" customFormat="1" ht="12.75" customHeight="1" thickBot="1" x14ac:dyDescent="0.25">
      <c r="A62" s="644" t="s">
        <v>17</v>
      </c>
      <c r="B62" s="679">
        <v>42581</v>
      </c>
      <c r="C62" s="489"/>
      <c r="D62" s="489"/>
      <c r="E62" s="292" t="s">
        <v>388</v>
      </c>
      <c r="F62" s="489"/>
      <c r="G62" s="623"/>
      <c r="H62" s="676">
        <v>49775034</v>
      </c>
      <c r="I62" s="676">
        <v>95668166</v>
      </c>
      <c r="J62" s="615" t="s">
        <v>17</v>
      </c>
      <c r="K62" s="3" t="s">
        <v>67</v>
      </c>
      <c r="L62" s="12"/>
      <c r="M62" s="12"/>
      <c r="N62" s="499"/>
      <c r="O62" s="499"/>
      <c r="P62" s="681">
        <v>57.85</v>
      </c>
      <c r="Q62" s="509"/>
      <c r="R62" s="509"/>
      <c r="S62" s="623"/>
      <c r="T62" s="677">
        <v>12</v>
      </c>
      <c r="U62" s="677">
        <v>1.88</v>
      </c>
      <c r="V62" s="123"/>
      <c r="W62" s="123"/>
      <c r="X62" s="123"/>
      <c r="Y62" s="624"/>
      <c r="Z62" s="625"/>
      <c r="AA62" s="625"/>
      <c r="AB62" s="625"/>
      <c r="AC62" s="625"/>
      <c r="AD62" s="625"/>
      <c r="AE62" s="625"/>
      <c r="AF62" s="625"/>
      <c r="AG62" s="625"/>
      <c r="AH62" s="625"/>
      <c r="AI62" s="625"/>
      <c r="AJ62" s="625"/>
      <c r="AK62" s="625"/>
      <c r="AL62" s="625"/>
      <c r="AM62" s="625"/>
      <c r="AN62" s="625"/>
      <c r="AO62" s="625"/>
      <c r="AP62" s="625"/>
      <c r="AQ62" s="625"/>
      <c r="AR62" s="625"/>
      <c r="AS62" s="625"/>
      <c r="AT62" s="625"/>
      <c r="AU62" s="625"/>
      <c r="AV62" s="625"/>
      <c r="AW62" s="625"/>
      <c r="AX62" s="625"/>
      <c r="AY62" s="625"/>
      <c r="AZ62" s="625"/>
      <c r="BA62" s="625"/>
      <c r="BB62" s="625"/>
      <c r="BC62" s="625"/>
      <c r="BD62" s="625"/>
      <c r="BE62" s="625"/>
      <c r="BF62" s="626"/>
      <c r="BG62" s="626"/>
      <c r="BH62" s="626"/>
      <c r="BI62" s="626"/>
      <c r="BJ62" s="626"/>
      <c r="BK62" s="626"/>
      <c r="BL62" s="626"/>
      <c r="BM62" s="626"/>
      <c r="BN62" s="626"/>
      <c r="BO62" s="626"/>
      <c r="BP62" s="626"/>
      <c r="BQ62" s="626"/>
      <c r="BR62" s="626"/>
      <c r="BS62" s="626"/>
      <c r="BT62" s="626"/>
      <c r="BU62" s="626"/>
      <c r="BV62" s="626"/>
      <c r="BW62" s="626"/>
      <c r="BX62" s="626"/>
      <c r="BY62" s="626"/>
      <c r="BZ62" s="626"/>
      <c r="CA62" s="626"/>
      <c r="CB62" s="626"/>
      <c r="CC62" s="626"/>
      <c r="CD62" s="626"/>
      <c r="CE62" s="626"/>
      <c r="CF62" s="626"/>
      <c r="CG62" s="626"/>
      <c r="CH62" s="626"/>
      <c r="CI62" s="626"/>
      <c r="CJ62" s="626"/>
      <c r="CK62" s="626"/>
      <c r="CL62" s="626"/>
      <c r="CM62" s="626"/>
      <c r="CN62" s="626"/>
      <c r="CO62" s="626"/>
      <c r="CP62" s="626"/>
      <c r="CQ62" s="626"/>
      <c r="CR62" s="626"/>
      <c r="CS62" s="626"/>
      <c r="CT62" s="626"/>
      <c r="CU62" s="626"/>
      <c r="CV62" s="626"/>
      <c r="CW62" s="626"/>
      <c r="CX62" s="626"/>
      <c r="CY62" s="626"/>
      <c r="CZ62" s="626"/>
      <c r="DA62" s="626"/>
      <c r="DB62" s="626"/>
      <c r="DC62" s="626"/>
      <c r="DD62" s="626"/>
      <c r="DE62" s="626"/>
      <c r="DF62" s="626"/>
      <c r="DG62" s="626"/>
      <c r="DH62" s="626"/>
      <c r="DI62" s="626"/>
      <c r="DJ62" s="626"/>
      <c r="DK62" s="626"/>
      <c r="DL62" s="626"/>
      <c r="DM62" s="626"/>
      <c r="DN62" s="626"/>
      <c r="DO62" s="626"/>
      <c r="DP62" s="626"/>
      <c r="DQ62" s="626"/>
      <c r="DR62" s="626"/>
      <c r="DS62" s="626"/>
      <c r="DT62" s="626"/>
      <c r="DU62" s="626"/>
      <c r="DV62" s="626"/>
      <c r="DW62" s="626"/>
      <c r="DX62" s="626"/>
      <c r="DY62" s="626"/>
      <c r="DZ62" s="626"/>
      <c r="EA62" s="626"/>
      <c r="EB62" s="626"/>
      <c r="EC62" s="626"/>
      <c r="ED62" s="626"/>
      <c r="EE62" s="626"/>
      <c r="EF62" s="626"/>
      <c r="EG62" s="626"/>
      <c r="EH62" s="626"/>
      <c r="EI62" s="626"/>
      <c r="EJ62" s="626"/>
      <c r="EK62" s="626"/>
      <c r="EL62" s="626"/>
      <c r="EM62" s="626"/>
      <c r="EN62" s="626"/>
      <c r="EO62" s="626"/>
      <c r="EP62" s="626"/>
      <c r="EQ62" s="626"/>
      <c r="ER62" s="626"/>
      <c r="ES62" s="626"/>
      <c r="ET62" s="626"/>
      <c r="EU62" s="626"/>
      <c r="EV62" s="626"/>
      <c r="EW62" s="626"/>
      <c r="EX62" s="626"/>
      <c r="EY62" s="626"/>
      <c r="EZ62" s="626"/>
      <c r="FA62" s="626"/>
      <c r="FB62" s="626"/>
      <c r="FC62" s="626"/>
      <c r="FD62" s="626"/>
      <c r="FE62" s="626"/>
      <c r="FF62" s="626"/>
      <c r="FG62" s="626"/>
      <c r="FH62" s="626"/>
      <c r="FI62" s="626"/>
      <c r="FJ62" s="626"/>
      <c r="FK62" s="626"/>
      <c r="FL62" s="626"/>
      <c r="FM62" s="626"/>
      <c r="FN62" s="626"/>
      <c r="FO62" s="626"/>
      <c r="FP62" s="626"/>
      <c r="FQ62" s="626"/>
      <c r="FR62" s="626"/>
      <c r="FS62" s="626"/>
      <c r="FT62" s="626"/>
      <c r="FU62" s="626"/>
      <c r="FV62" s="626"/>
      <c r="FW62" s="626"/>
      <c r="FX62" s="626"/>
      <c r="FY62" s="626"/>
      <c r="FZ62" s="626"/>
      <c r="GA62" s="626"/>
      <c r="GB62" s="626"/>
      <c r="GC62" s="626"/>
      <c r="GD62" s="626"/>
      <c r="GE62" s="626"/>
      <c r="GF62" s="626"/>
      <c r="GG62" s="626"/>
      <c r="GH62" s="626"/>
      <c r="GI62" s="626"/>
      <c r="GJ62" s="626"/>
      <c r="GK62" s="626"/>
      <c r="GL62" s="626"/>
      <c r="GM62" s="626"/>
      <c r="GN62" s="626"/>
      <c r="GO62" s="626"/>
      <c r="GP62" s="626"/>
      <c r="GQ62" s="626"/>
      <c r="GR62" s="626"/>
      <c r="GS62" s="626"/>
      <c r="GT62" s="626"/>
      <c r="GU62" s="626"/>
      <c r="GV62" s="626"/>
      <c r="GW62" s="626"/>
      <c r="GX62" s="626"/>
      <c r="GY62" s="626"/>
      <c r="GZ62" s="626"/>
      <c r="HA62" s="626"/>
      <c r="HB62" s="626"/>
      <c r="HC62" s="626"/>
      <c r="HD62" s="626"/>
      <c r="HE62" s="626"/>
      <c r="HF62" s="626"/>
      <c r="HG62" s="626"/>
      <c r="HH62" s="626"/>
      <c r="HI62" s="626"/>
      <c r="HJ62" s="626"/>
      <c r="HK62" s="626"/>
      <c r="HL62" s="626"/>
      <c r="HM62" s="626"/>
      <c r="HN62" s="626"/>
      <c r="HO62" s="626"/>
      <c r="HP62" s="626"/>
      <c r="HQ62" s="626"/>
      <c r="HR62" s="626"/>
      <c r="HS62" s="626"/>
      <c r="HT62" s="626"/>
      <c r="HU62" s="626"/>
      <c r="HV62" s="626"/>
      <c r="HW62" s="626"/>
      <c r="HX62" s="626"/>
      <c r="HY62" s="626"/>
      <c r="HZ62" s="626"/>
      <c r="IA62" s="626"/>
      <c r="IB62" s="626"/>
      <c r="IC62" s="626"/>
      <c r="ID62" s="626"/>
      <c r="IE62" s="626"/>
      <c r="IF62" s="626"/>
      <c r="IG62" s="626"/>
      <c r="IH62" s="626"/>
      <c r="II62" s="626"/>
      <c r="IJ62" s="626"/>
      <c r="IK62" s="626"/>
      <c r="IL62" s="626"/>
      <c r="IM62" s="626"/>
      <c r="IN62" s="626"/>
      <c r="IO62" s="626"/>
      <c r="IP62" s="626"/>
      <c r="IQ62" s="626"/>
      <c r="IR62" s="626"/>
      <c r="IS62" s="626"/>
      <c r="IT62" s="626"/>
      <c r="IU62" s="626"/>
    </row>
    <row r="63" spans="1:255" s="627" customFormat="1" ht="12.75" customHeight="1" thickBot="1" x14ac:dyDescent="0.25">
      <c r="A63" s="644" t="s">
        <v>17</v>
      </c>
      <c r="B63" s="679">
        <v>42581</v>
      </c>
      <c r="C63" s="489"/>
      <c r="D63" s="489"/>
      <c r="E63" s="292" t="s">
        <v>388</v>
      </c>
      <c r="F63" s="489"/>
      <c r="G63" s="623"/>
      <c r="H63" s="676">
        <v>49775034</v>
      </c>
      <c r="I63" s="676">
        <v>95759833</v>
      </c>
      <c r="J63" s="615" t="s">
        <v>17</v>
      </c>
      <c r="K63" s="3" t="s">
        <v>67</v>
      </c>
      <c r="L63" s="12"/>
      <c r="M63" s="12"/>
      <c r="N63" s="499"/>
      <c r="O63" s="499"/>
      <c r="P63" s="681">
        <v>60.65</v>
      </c>
      <c r="Q63" s="509"/>
      <c r="R63" s="509"/>
      <c r="S63" s="623"/>
      <c r="T63" s="677">
        <v>12</v>
      </c>
      <c r="U63" s="677">
        <v>1.94</v>
      </c>
      <c r="V63" s="123"/>
      <c r="W63" s="123"/>
      <c r="X63" s="123"/>
      <c r="Y63" s="624"/>
      <c r="Z63" s="625"/>
      <c r="AA63" s="625"/>
      <c r="AB63" s="625"/>
      <c r="AC63" s="625"/>
      <c r="AD63" s="625"/>
      <c r="AE63" s="625"/>
      <c r="AF63" s="625"/>
      <c r="AG63" s="625"/>
      <c r="AH63" s="625"/>
      <c r="AI63" s="625"/>
      <c r="AJ63" s="625"/>
      <c r="AK63" s="625"/>
      <c r="AL63" s="625"/>
      <c r="AM63" s="625"/>
      <c r="AN63" s="625"/>
      <c r="AO63" s="625"/>
      <c r="AP63" s="625"/>
      <c r="AQ63" s="625"/>
      <c r="AR63" s="625"/>
      <c r="AS63" s="625"/>
      <c r="AT63" s="625"/>
      <c r="AU63" s="625"/>
      <c r="AV63" s="625"/>
      <c r="AW63" s="625"/>
      <c r="AX63" s="625"/>
      <c r="AY63" s="625"/>
      <c r="AZ63" s="625"/>
      <c r="BA63" s="625"/>
      <c r="BB63" s="625"/>
      <c r="BC63" s="625"/>
      <c r="BD63" s="625"/>
      <c r="BE63" s="625"/>
      <c r="BF63" s="626"/>
      <c r="BG63" s="626"/>
      <c r="BH63" s="626"/>
      <c r="BI63" s="626"/>
      <c r="BJ63" s="626"/>
      <c r="BK63" s="626"/>
      <c r="BL63" s="626"/>
      <c r="BM63" s="626"/>
      <c r="BN63" s="626"/>
      <c r="BO63" s="626"/>
      <c r="BP63" s="626"/>
      <c r="BQ63" s="626"/>
      <c r="BR63" s="626"/>
      <c r="BS63" s="626"/>
      <c r="BT63" s="626"/>
      <c r="BU63" s="626"/>
      <c r="BV63" s="626"/>
      <c r="BW63" s="626"/>
      <c r="BX63" s="626"/>
      <c r="BY63" s="626"/>
      <c r="BZ63" s="626"/>
      <c r="CA63" s="626"/>
      <c r="CB63" s="626"/>
      <c r="CC63" s="626"/>
      <c r="CD63" s="626"/>
      <c r="CE63" s="626"/>
      <c r="CF63" s="626"/>
      <c r="CG63" s="626"/>
      <c r="CH63" s="626"/>
      <c r="CI63" s="626"/>
      <c r="CJ63" s="626"/>
      <c r="CK63" s="626"/>
      <c r="CL63" s="626"/>
      <c r="CM63" s="626"/>
      <c r="CN63" s="626"/>
      <c r="CO63" s="626"/>
      <c r="CP63" s="626"/>
      <c r="CQ63" s="626"/>
      <c r="CR63" s="626"/>
      <c r="CS63" s="626"/>
      <c r="CT63" s="626"/>
      <c r="CU63" s="626"/>
      <c r="CV63" s="626"/>
      <c r="CW63" s="626"/>
      <c r="CX63" s="626"/>
      <c r="CY63" s="626"/>
      <c r="CZ63" s="626"/>
      <c r="DA63" s="626"/>
      <c r="DB63" s="626"/>
      <c r="DC63" s="626"/>
      <c r="DD63" s="626"/>
      <c r="DE63" s="626"/>
      <c r="DF63" s="626"/>
      <c r="DG63" s="626"/>
      <c r="DH63" s="626"/>
      <c r="DI63" s="626"/>
      <c r="DJ63" s="626"/>
      <c r="DK63" s="626"/>
      <c r="DL63" s="626"/>
      <c r="DM63" s="626"/>
      <c r="DN63" s="626"/>
      <c r="DO63" s="626"/>
      <c r="DP63" s="626"/>
      <c r="DQ63" s="626"/>
      <c r="DR63" s="626"/>
      <c r="DS63" s="626"/>
      <c r="DT63" s="626"/>
      <c r="DU63" s="626"/>
      <c r="DV63" s="626"/>
      <c r="DW63" s="626"/>
      <c r="DX63" s="626"/>
      <c r="DY63" s="626"/>
      <c r="DZ63" s="626"/>
      <c r="EA63" s="626"/>
      <c r="EB63" s="626"/>
      <c r="EC63" s="626"/>
      <c r="ED63" s="626"/>
      <c r="EE63" s="626"/>
      <c r="EF63" s="626"/>
      <c r="EG63" s="626"/>
      <c r="EH63" s="626"/>
      <c r="EI63" s="626"/>
      <c r="EJ63" s="626"/>
      <c r="EK63" s="626"/>
      <c r="EL63" s="626"/>
      <c r="EM63" s="626"/>
      <c r="EN63" s="626"/>
      <c r="EO63" s="626"/>
      <c r="EP63" s="626"/>
      <c r="EQ63" s="626"/>
      <c r="ER63" s="626"/>
      <c r="ES63" s="626"/>
      <c r="ET63" s="626"/>
      <c r="EU63" s="626"/>
      <c r="EV63" s="626"/>
      <c r="EW63" s="626"/>
      <c r="EX63" s="626"/>
      <c r="EY63" s="626"/>
      <c r="EZ63" s="626"/>
      <c r="FA63" s="626"/>
      <c r="FB63" s="626"/>
      <c r="FC63" s="626"/>
      <c r="FD63" s="626"/>
      <c r="FE63" s="626"/>
      <c r="FF63" s="626"/>
      <c r="FG63" s="626"/>
      <c r="FH63" s="626"/>
      <c r="FI63" s="626"/>
      <c r="FJ63" s="626"/>
      <c r="FK63" s="626"/>
      <c r="FL63" s="626"/>
      <c r="FM63" s="626"/>
      <c r="FN63" s="626"/>
      <c r="FO63" s="626"/>
      <c r="FP63" s="626"/>
      <c r="FQ63" s="626"/>
      <c r="FR63" s="626"/>
      <c r="FS63" s="626"/>
      <c r="FT63" s="626"/>
      <c r="FU63" s="626"/>
      <c r="FV63" s="626"/>
      <c r="FW63" s="626"/>
      <c r="FX63" s="626"/>
      <c r="FY63" s="626"/>
      <c r="FZ63" s="626"/>
      <c r="GA63" s="626"/>
      <c r="GB63" s="626"/>
      <c r="GC63" s="626"/>
      <c r="GD63" s="626"/>
      <c r="GE63" s="626"/>
      <c r="GF63" s="626"/>
      <c r="GG63" s="626"/>
      <c r="GH63" s="626"/>
      <c r="GI63" s="626"/>
      <c r="GJ63" s="626"/>
      <c r="GK63" s="626"/>
      <c r="GL63" s="626"/>
      <c r="GM63" s="626"/>
      <c r="GN63" s="626"/>
      <c r="GO63" s="626"/>
      <c r="GP63" s="626"/>
      <c r="GQ63" s="626"/>
      <c r="GR63" s="626"/>
      <c r="GS63" s="626"/>
      <c r="GT63" s="626"/>
      <c r="GU63" s="626"/>
      <c r="GV63" s="626"/>
      <c r="GW63" s="626"/>
      <c r="GX63" s="626"/>
      <c r="GY63" s="626"/>
      <c r="GZ63" s="626"/>
      <c r="HA63" s="626"/>
      <c r="HB63" s="626"/>
      <c r="HC63" s="626"/>
      <c r="HD63" s="626"/>
      <c r="HE63" s="626"/>
      <c r="HF63" s="626"/>
      <c r="HG63" s="626"/>
      <c r="HH63" s="626"/>
      <c r="HI63" s="626"/>
      <c r="HJ63" s="626"/>
      <c r="HK63" s="626"/>
      <c r="HL63" s="626"/>
      <c r="HM63" s="626"/>
      <c r="HN63" s="626"/>
      <c r="HO63" s="626"/>
      <c r="HP63" s="626"/>
      <c r="HQ63" s="626"/>
      <c r="HR63" s="626"/>
      <c r="HS63" s="626"/>
      <c r="HT63" s="626"/>
      <c r="HU63" s="626"/>
      <c r="HV63" s="626"/>
      <c r="HW63" s="626"/>
      <c r="HX63" s="626"/>
      <c r="HY63" s="626"/>
      <c r="HZ63" s="626"/>
      <c r="IA63" s="626"/>
      <c r="IB63" s="626"/>
      <c r="IC63" s="626"/>
      <c r="ID63" s="626"/>
      <c r="IE63" s="626"/>
      <c r="IF63" s="626"/>
      <c r="IG63" s="626"/>
      <c r="IH63" s="626"/>
      <c r="II63" s="626"/>
      <c r="IJ63" s="626"/>
      <c r="IK63" s="626"/>
      <c r="IL63" s="626"/>
      <c r="IM63" s="626"/>
      <c r="IN63" s="626"/>
      <c r="IO63" s="626"/>
      <c r="IP63" s="626"/>
      <c r="IQ63" s="626"/>
      <c r="IR63" s="626"/>
      <c r="IS63" s="626"/>
      <c r="IT63" s="626"/>
      <c r="IU63" s="626"/>
    </row>
    <row r="64" spans="1:255" s="627" customFormat="1" ht="12.75" customHeight="1" thickBot="1" x14ac:dyDescent="0.25">
      <c r="A64" s="644" t="s">
        <v>17</v>
      </c>
      <c r="B64" s="679">
        <v>42581</v>
      </c>
      <c r="C64" s="489"/>
      <c r="D64" s="489"/>
      <c r="E64" s="292" t="s">
        <v>388</v>
      </c>
      <c r="F64" s="489"/>
      <c r="G64" s="623"/>
      <c r="H64" s="676">
        <v>49775034</v>
      </c>
      <c r="I64" s="676">
        <v>95524922</v>
      </c>
      <c r="J64" s="615" t="s">
        <v>17</v>
      </c>
      <c r="K64" s="3" t="s">
        <v>67</v>
      </c>
      <c r="L64" s="12"/>
      <c r="M64" s="12"/>
      <c r="N64" s="499"/>
      <c r="O64" s="499"/>
      <c r="P64" s="681">
        <v>60.3</v>
      </c>
      <c r="Q64" s="509"/>
      <c r="R64" s="509"/>
      <c r="S64" s="623"/>
      <c r="T64" s="677">
        <v>12.1</v>
      </c>
      <c r="U64" s="677">
        <v>1.86</v>
      </c>
      <c r="V64" s="123"/>
      <c r="W64" s="123"/>
      <c r="X64" s="123"/>
      <c r="Y64" s="624"/>
      <c r="Z64" s="625"/>
      <c r="AA64" s="625"/>
      <c r="AB64" s="625"/>
      <c r="AC64" s="625"/>
      <c r="AD64" s="625"/>
      <c r="AE64" s="625"/>
      <c r="AF64" s="625"/>
      <c r="AG64" s="625"/>
      <c r="AH64" s="625"/>
      <c r="AI64" s="625"/>
      <c r="AJ64" s="625"/>
      <c r="AK64" s="625"/>
      <c r="AL64" s="625"/>
      <c r="AM64" s="625"/>
      <c r="AN64" s="625"/>
      <c r="AO64" s="625"/>
      <c r="AP64" s="625"/>
      <c r="AQ64" s="625"/>
      <c r="AR64" s="625"/>
      <c r="AS64" s="625"/>
      <c r="AT64" s="625"/>
      <c r="AU64" s="625"/>
      <c r="AV64" s="625"/>
      <c r="AW64" s="625"/>
      <c r="AX64" s="625"/>
      <c r="AY64" s="625"/>
      <c r="AZ64" s="625"/>
      <c r="BA64" s="625"/>
      <c r="BB64" s="625"/>
      <c r="BC64" s="625"/>
      <c r="BD64" s="625"/>
      <c r="BE64" s="625"/>
      <c r="BF64" s="626"/>
      <c r="BG64" s="626"/>
      <c r="BH64" s="626"/>
      <c r="BI64" s="626"/>
      <c r="BJ64" s="626"/>
      <c r="BK64" s="626"/>
      <c r="BL64" s="626"/>
      <c r="BM64" s="626"/>
      <c r="BN64" s="626"/>
      <c r="BO64" s="626"/>
      <c r="BP64" s="626"/>
      <c r="BQ64" s="626"/>
      <c r="BR64" s="626"/>
      <c r="BS64" s="626"/>
      <c r="BT64" s="626"/>
      <c r="BU64" s="626"/>
      <c r="BV64" s="626"/>
      <c r="BW64" s="626"/>
      <c r="BX64" s="626"/>
      <c r="BY64" s="626"/>
      <c r="BZ64" s="626"/>
      <c r="CA64" s="626"/>
      <c r="CB64" s="626"/>
      <c r="CC64" s="626"/>
      <c r="CD64" s="626"/>
      <c r="CE64" s="626"/>
      <c r="CF64" s="626"/>
      <c r="CG64" s="626"/>
      <c r="CH64" s="626"/>
      <c r="CI64" s="626"/>
      <c r="CJ64" s="626"/>
      <c r="CK64" s="626"/>
      <c r="CL64" s="626"/>
      <c r="CM64" s="626"/>
      <c r="CN64" s="626"/>
      <c r="CO64" s="626"/>
      <c r="CP64" s="626"/>
      <c r="CQ64" s="626"/>
      <c r="CR64" s="626"/>
      <c r="CS64" s="626"/>
      <c r="CT64" s="626"/>
      <c r="CU64" s="626"/>
      <c r="CV64" s="626"/>
      <c r="CW64" s="626"/>
      <c r="CX64" s="626"/>
      <c r="CY64" s="626"/>
      <c r="CZ64" s="626"/>
      <c r="DA64" s="626"/>
      <c r="DB64" s="626"/>
      <c r="DC64" s="626"/>
      <c r="DD64" s="626"/>
      <c r="DE64" s="626"/>
      <c r="DF64" s="626"/>
      <c r="DG64" s="626"/>
      <c r="DH64" s="626"/>
      <c r="DI64" s="626"/>
      <c r="DJ64" s="626"/>
      <c r="DK64" s="626"/>
      <c r="DL64" s="626"/>
      <c r="DM64" s="626"/>
      <c r="DN64" s="626"/>
      <c r="DO64" s="626"/>
      <c r="DP64" s="626"/>
      <c r="DQ64" s="626"/>
      <c r="DR64" s="626"/>
      <c r="DS64" s="626"/>
      <c r="DT64" s="626"/>
      <c r="DU64" s="626"/>
      <c r="DV64" s="626"/>
      <c r="DW64" s="626"/>
      <c r="DX64" s="626"/>
      <c r="DY64" s="626"/>
      <c r="DZ64" s="626"/>
      <c r="EA64" s="626"/>
      <c r="EB64" s="626"/>
      <c r="EC64" s="626"/>
      <c r="ED64" s="626"/>
      <c r="EE64" s="626"/>
      <c r="EF64" s="626"/>
      <c r="EG64" s="626"/>
      <c r="EH64" s="626"/>
      <c r="EI64" s="626"/>
      <c r="EJ64" s="626"/>
      <c r="EK64" s="626"/>
      <c r="EL64" s="626"/>
      <c r="EM64" s="626"/>
      <c r="EN64" s="626"/>
      <c r="EO64" s="626"/>
      <c r="EP64" s="626"/>
      <c r="EQ64" s="626"/>
      <c r="ER64" s="626"/>
      <c r="ES64" s="626"/>
      <c r="ET64" s="626"/>
      <c r="EU64" s="626"/>
      <c r="EV64" s="626"/>
      <c r="EW64" s="626"/>
      <c r="EX64" s="626"/>
      <c r="EY64" s="626"/>
      <c r="EZ64" s="626"/>
      <c r="FA64" s="626"/>
      <c r="FB64" s="626"/>
      <c r="FC64" s="626"/>
      <c r="FD64" s="626"/>
      <c r="FE64" s="626"/>
      <c r="FF64" s="626"/>
      <c r="FG64" s="626"/>
      <c r="FH64" s="626"/>
      <c r="FI64" s="626"/>
      <c r="FJ64" s="626"/>
      <c r="FK64" s="626"/>
      <c r="FL64" s="626"/>
      <c r="FM64" s="626"/>
      <c r="FN64" s="626"/>
      <c r="FO64" s="626"/>
      <c r="FP64" s="626"/>
      <c r="FQ64" s="626"/>
      <c r="FR64" s="626"/>
      <c r="FS64" s="626"/>
      <c r="FT64" s="626"/>
      <c r="FU64" s="626"/>
      <c r="FV64" s="626"/>
      <c r="FW64" s="626"/>
      <c r="FX64" s="626"/>
      <c r="FY64" s="626"/>
      <c r="FZ64" s="626"/>
      <c r="GA64" s="626"/>
      <c r="GB64" s="626"/>
      <c r="GC64" s="626"/>
      <c r="GD64" s="626"/>
      <c r="GE64" s="626"/>
      <c r="GF64" s="626"/>
      <c r="GG64" s="626"/>
      <c r="GH64" s="626"/>
      <c r="GI64" s="626"/>
      <c r="GJ64" s="626"/>
      <c r="GK64" s="626"/>
      <c r="GL64" s="626"/>
      <c r="GM64" s="626"/>
      <c r="GN64" s="626"/>
      <c r="GO64" s="626"/>
      <c r="GP64" s="626"/>
      <c r="GQ64" s="626"/>
      <c r="GR64" s="626"/>
      <c r="GS64" s="626"/>
      <c r="GT64" s="626"/>
      <c r="GU64" s="626"/>
      <c r="GV64" s="626"/>
      <c r="GW64" s="626"/>
      <c r="GX64" s="626"/>
      <c r="GY64" s="626"/>
      <c r="GZ64" s="626"/>
      <c r="HA64" s="626"/>
      <c r="HB64" s="626"/>
      <c r="HC64" s="626"/>
      <c r="HD64" s="626"/>
      <c r="HE64" s="626"/>
      <c r="HF64" s="626"/>
      <c r="HG64" s="626"/>
      <c r="HH64" s="626"/>
      <c r="HI64" s="626"/>
      <c r="HJ64" s="626"/>
      <c r="HK64" s="626"/>
      <c r="HL64" s="626"/>
      <c r="HM64" s="626"/>
      <c r="HN64" s="626"/>
      <c r="HO64" s="626"/>
      <c r="HP64" s="626"/>
      <c r="HQ64" s="626"/>
      <c r="HR64" s="626"/>
      <c r="HS64" s="626"/>
      <c r="HT64" s="626"/>
      <c r="HU64" s="626"/>
      <c r="HV64" s="626"/>
      <c r="HW64" s="626"/>
      <c r="HX64" s="626"/>
      <c r="HY64" s="626"/>
      <c r="HZ64" s="626"/>
      <c r="IA64" s="626"/>
      <c r="IB64" s="626"/>
      <c r="IC64" s="626"/>
      <c r="ID64" s="626"/>
      <c r="IE64" s="626"/>
      <c r="IF64" s="626"/>
      <c r="IG64" s="626"/>
      <c r="IH64" s="626"/>
      <c r="II64" s="626"/>
      <c r="IJ64" s="626"/>
      <c r="IK64" s="626"/>
      <c r="IL64" s="626"/>
      <c r="IM64" s="626"/>
      <c r="IN64" s="626"/>
      <c r="IO64" s="626"/>
      <c r="IP64" s="626"/>
      <c r="IQ64" s="626"/>
      <c r="IR64" s="626"/>
      <c r="IS64" s="626"/>
      <c r="IT64" s="626"/>
      <c r="IU64" s="626"/>
    </row>
    <row r="65" spans="1:255" s="627" customFormat="1" ht="12.75" customHeight="1" thickBot="1" x14ac:dyDescent="0.25">
      <c r="A65" s="644"/>
      <c r="B65" s="669"/>
      <c r="C65" s="489"/>
      <c r="D65" s="489"/>
      <c r="E65" s="670"/>
      <c r="F65" s="489"/>
      <c r="G65" s="623"/>
      <c r="H65" s="671"/>
      <c r="I65" s="671"/>
      <c r="J65" s="615"/>
      <c r="K65" s="118"/>
      <c r="L65" s="12"/>
      <c r="M65" s="12"/>
      <c r="N65" s="499"/>
      <c r="O65" s="499"/>
      <c r="P65" s="658"/>
      <c r="Q65" s="509"/>
      <c r="R65" s="509"/>
      <c r="S65" s="623"/>
      <c r="T65" s="672"/>
      <c r="U65" s="672"/>
      <c r="V65" s="123"/>
      <c r="W65" s="123"/>
      <c r="X65" s="123"/>
      <c r="Y65" s="624"/>
      <c r="Z65" s="625"/>
      <c r="AA65" s="625"/>
      <c r="AB65" s="625"/>
      <c r="AC65" s="625"/>
      <c r="AD65" s="625"/>
      <c r="AE65" s="625"/>
      <c r="AF65" s="625"/>
      <c r="AG65" s="625"/>
      <c r="AH65" s="625"/>
      <c r="AI65" s="625"/>
      <c r="AJ65" s="625"/>
      <c r="AK65" s="625"/>
      <c r="AL65" s="625"/>
      <c r="AM65" s="625"/>
      <c r="AN65" s="625"/>
      <c r="AO65" s="625"/>
      <c r="AP65" s="625"/>
      <c r="AQ65" s="625"/>
      <c r="AR65" s="625"/>
      <c r="AS65" s="625"/>
      <c r="AT65" s="625"/>
      <c r="AU65" s="625"/>
      <c r="AV65" s="625"/>
      <c r="AW65" s="625"/>
      <c r="AX65" s="625"/>
      <c r="AY65" s="625"/>
      <c r="AZ65" s="625"/>
      <c r="BA65" s="625"/>
      <c r="BB65" s="625"/>
      <c r="BC65" s="625"/>
      <c r="BD65" s="625"/>
      <c r="BE65" s="625"/>
      <c r="BF65" s="626"/>
      <c r="BG65" s="626"/>
      <c r="BH65" s="626"/>
      <c r="BI65" s="626"/>
      <c r="BJ65" s="626"/>
      <c r="BK65" s="626"/>
      <c r="BL65" s="626"/>
      <c r="BM65" s="626"/>
      <c r="BN65" s="626"/>
      <c r="BO65" s="626"/>
      <c r="BP65" s="626"/>
      <c r="BQ65" s="626"/>
      <c r="BR65" s="626"/>
      <c r="BS65" s="626"/>
      <c r="BT65" s="626"/>
      <c r="BU65" s="626"/>
      <c r="BV65" s="626"/>
      <c r="BW65" s="626"/>
      <c r="BX65" s="626"/>
      <c r="BY65" s="626"/>
      <c r="BZ65" s="626"/>
      <c r="CA65" s="626"/>
      <c r="CB65" s="626"/>
      <c r="CC65" s="626"/>
      <c r="CD65" s="626"/>
      <c r="CE65" s="626"/>
      <c r="CF65" s="626"/>
      <c r="CG65" s="626"/>
      <c r="CH65" s="626"/>
      <c r="CI65" s="626"/>
      <c r="CJ65" s="626"/>
      <c r="CK65" s="626"/>
      <c r="CL65" s="626"/>
      <c r="CM65" s="626"/>
      <c r="CN65" s="626"/>
      <c r="CO65" s="626"/>
      <c r="CP65" s="626"/>
      <c r="CQ65" s="626"/>
      <c r="CR65" s="626"/>
      <c r="CS65" s="626"/>
      <c r="CT65" s="626"/>
      <c r="CU65" s="626"/>
      <c r="CV65" s="626"/>
      <c r="CW65" s="626"/>
      <c r="CX65" s="626"/>
      <c r="CY65" s="626"/>
      <c r="CZ65" s="626"/>
      <c r="DA65" s="626"/>
      <c r="DB65" s="626"/>
      <c r="DC65" s="626"/>
      <c r="DD65" s="626"/>
      <c r="DE65" s="626"/>
      <c r="DF65" s="626"/>
      <c r="DG65" s="626"/>
      <c r="DH65" s="626"/>
      <c r="DI65" s="626"/>
      <c r="DJ65" s="626"/>
      <c r="DK65" s="626"/>
      <c r="DL65" s="626"/>
      <c r="DM65" s="626"/>
      <c r="DN65" s="626"/>
      <c r="DO65" s="626"/>
      <c r="DP65" s="626"/>
      <c r="DQ65" s="626"/>
      <c r="DR65" s="626"/>
      <c r="DS65" s="626"/>
      <c r="DT65" s="626"/>
      <c r="DU65" s="626"/>
      <c r="DV65" s="626"/>
      <c r="DW65" s="626"/>
      <c r="DX65" s="626"/>
      <c r="DY65" s="626"/>
      <c r="DZ65" s="626"/>
      <c r="EA65" s="626"/>
      <c r="EB65" s="626"/>
      <c r="EC65" s="626"/>
      <c r="ED65" s="626"/>
      <c r="EE65" s="626"/>
      <c r="EF65" s="626"/>
      <c r="EG65" s="626"/>
      <c r="EH65" s="626"/>
      <c r="EI65" s="626"/>
      <c r="EJ65" s="626"/>
      <c r="EK65" s="626"/>
      <c r="EL65" s="626"/>
      <c r="EM65" s="626"/>
      <c r="EN65" s="626"/>
      <c r="EO65" s="626"/>
      <c r="EP65" s="626"/>
      <c r="EQ65" s="626"/>
      <c r="ER65" s="626"/>
      <c r="ES65" s="626"/>
      <c r="ET65" s="626"/>
      <c r="EU65" s="626"/>
      <c r="EV65" s="626"/>
      <c r="EW65" s="626"/>
      <c r="EX65" s="626"/>
      <c r="EY65" s="626"/>
      <c r="EZ65" s="626"/>
      <c r="FA65" s="626"/>
      <c r="FB65" s="626"/>
      <c r="FC65" s="626"/>
      <c r="FD65" s="626"/>
      <c r="FE65" s="626"/>
      <c r="FF65" s="626"/>
      <c r="FG65" s="626"/>
      <c r="FH65" s="626"/>
      <c r="FI65" s="626"/>
      <c r="FJ65" s="626"/>
      <c r="FK65" s="626"/>
      <c r="FL65" s="626"/>
      <c r="FM65" s="626"/>
      <c r="FN65" s="626"/>
      <c r="FO65" s="626"/>
      <c r="FP65" s="626"/>
      <c r="FQ65" s="626"/>
      <c r="FR65" s="626"/>
      <c r="FS65" s="626"/>
      <c r="FT65" s="626"/>
      <c r="FU65" s="626"/>
      <c r="FV65" s="626"/>
      <c r="FW65" s="626"/>
      <c r="FX65" s="626"/>
      <c r="FY65" s="626"/>
      <c r="FZ65" s="626"/>
      <c r="GA65" s="626"/>
      <c r="GB65" s="626"/>
      <c r="GC65" s="626"/>
      <c r="GD65" s="626"/>
      <c r="GE65" s="626"/>
      <c r="GF65" s="626"/>
      <c r="GG65" s="626"/>
      <c r="GH65" s="626"/>
      <c r="GI65" s="626"/>
      <c r="GJ65" s="626"/>
      <c r="GK65" s="626"/>
      <c r="GL65" s="626"/>
      <c r="GM65" s="626"/>
      <c r="GN65" s="626"/>
      <c r="GO65" s="626"/>
      <c r="GP65" s="626"/>
      <c r="GQ65" s="626"/>
      <c r="GR65" s="626"/>
      <c r="GS65" s="626"/>
      <c r="GT65" s="626"/>
      <c r="GU65" s="626"/>
      <c r="GV65" s="626"/>
      <c r="GW65" s="626"/>
      <c r="GX65" s="626"/>
      <c r="GY65" s="626"/>
      <c r="GZ65" s="626"/>
      <c r="HA65" s="626"/>
      <c r="HB65" s="626"/>
      <c r="HC65" s="626"/>
      <c r="HD65" s="626"/>
      <c r="HE65" s="626"/>
      <c r="HF65" s="626"/>
      <c r="HG65" s="626"/>
      <c r="HH65" s="626"/>
      <c r="HI65" s="626"/>
      <c r="HJ65" s="626"/>
      <c r="HK65" s="626"/>
      <c r="HL65" s="626"/>
      <c r="HM65" s="626"/>
      <c r="HN65" s="626"/>
      <c r="HO65" s="626"/>
      <c r="HP65" s="626"/>
      <c r="HQ65" s="626"/>
      <c r="HR65" s="626"/>
      <c r="HS65" s="626"/>
      <c r="HT65" s="626"/>
      <c r="HU65" s="626"/>
      <c r="HV65" s="626"/>
      <c r="HW65" s="626"/>
      <c r="HX65" s="626"/>
      <c r="HY65" s="626"/>
      <c r="HZ65" s="626"/>
      <c r="IA65" s="626"/>
      <c r="IB65" s="626"/>
      <c r="IC65" s="626"/>
      <c r="ID65" s="626"/>
      <c r="IE65" s="626"/>
      <c r="IF65" s="626"/>
      <c r="IG65" s="626"/>
      <c r="IH65" s="626"/>
      <c r="II65" s="626"/>
      <c r="IJ65" s="626"/>
      <c r="IK65" s="626"/>
      <c r="IL65" s="626"/>
      <c r="IM65" s="626"/>
      <c r="IN65" s="626"/>
      <c r="IO65" s="626"/>
      <c r="IP65" s="626"/>
      <c r="IQ65" s="626"/>
      <c r="IR65" s="626"/>
      <c r="IS65" s="626"/>
      <c r="IT65" s="626"/>
      <c r="IU65" s="626"/>
    </row>
    <row r="66" spans="1:255" s="627" customFormat="1" ht="12.75" customHeight="1" thickBot="1" x14ac:dyDescent="0.25">
      <c r="A66" s="644"/>
      <c r="B66" s="669"/>
      <c r="C66" s="489"/>
      <c r="D66" s="489"/>
      <c r="E66" s="670"/>
      <c r="F66" s="489"/>
      <c r="G66" s="623"/>
      <c r="H66" s="671"/>
      <c r="I66" s="670"/>
      <c r="J66" s="615"/>
      <c r="K66" s="118"/>
      <c r="L66" s="12"/>
      <c r="M66" s="12"/>
      <c r="N66" s="499"/>
      <c r="O66" s="499"/>
      <c r="P66" s="658"/>
      <c r="Q66" s="509"/>
      <c r="R66" s="509"/>
      <c r="S66" s="623"/>
      <c r="T66" s="672"/>
      <c r="U66" s="672"/>
      <c r="V66" s="123"/>
      <c r="W66" s="123"/>
      <c r="X66" s="123"/>
      <c r="Y66" s="624"/>
      <c r="Z66" s="625"/>
      <c r="AA66" s="625"/>
      <c r="AB66" s="625"/>
      <c r="AC66" s="625"/>
      <c r="AD66" s="625"/>
      <c r="AE66" s="625"/>
      <c r="AF66" s="625"/>
      <c r="AG66" s="625"/>
      <c r="AH66" s="625"/>
      <c r="AI66" s="625"/>
      <c r="AJ66" s="625"/>
      <c r="AK66" s="625"/>
      <c r="AL66" s="625"/>
      <c r="AM66" s="625"/>
      <c r="AN66" s="625"/>
      <c r="AO66" s="625"/>
      <c r="AP66" s="625"/>
      <c r="AQ66" s="625"/>
      <c r="AR66" s="625"/>
      <c r="AS66" s="625"/>
      <c r="AT66" s="625"/>
      <c r="AU66" s="625"/>
      <c r="AV66" s="625"/>
      <c r="AW66" s="625"/>
      <c r="AX66" s="625"/>
      <c r="AY66" s="625"/>
      <c r="AZ66" s="625"/>
      <c r="BA66" s="625"/>
      <c r="BB66" s="625"/>
      <c r="BC66" s="625"/>
      <c r="BD66" s="625"/>
      <c r="BE66" s="625"/>
      <c r="BF66" s="626"/>
      <c r="BG66" s="626"/>
      <c r="BH66" s="626"/>
      <c r="BI66" s="626"/>
      <c r="BJ66" s="626"/>
      <c r="BK66" s="626"/>
      <c r="BL66" s="626"/>
      <c r="BM66" s="626"/>
      <c r="BN66" s="626"/>
      <c r="BO66" s="626"/>
      <c r="BP66" s="626"/>
      <c r="BQ66" s="626"/>
      <c r="BR66" s="626"/>
      <c r="BS66" s="626"/>
      <c r="BT66" s="626"/>
      <c r="BU66" s="626"/>
      <c r="BV66" s="626"/>
      <c r="BW66" s="626"/>
      <c r="BX66" s="626"/>
      <c r="BY66" s="626"/>
      <c r="BZ66" s="626"/>
      <c r="CA66" s="626"/>
      <c r="CB66" s="626"/>
      <c r="CC66" s="626"/>
      <c r="CD66" s="626"/>
      <c r="CE66" s="626"/>
      <c r="CF66" s="626"/>
      <c r="CG66" s="626"/>
      <c r="CH66" s="626"/>
      <c r="CI66" s="626"/>
      <c r="CJ66" s="626"/>
      <c r="CK66" s="626"/>
      <c r="CL66" s="626"/>
      <c r="CM66" s="626"/>
      <c r="CN66" s="626"/>
      <c r="CO66" s="626"/>
      <c r="CP66" s="626"/>
      <c r="CQ66" s="626"/>
      <c r="CR66" s="626"/>
      <c r="CS66" s="626"/>
      <c r="CT66" s="626"/>
      <c r="CU66" s="626"/>
      <c r="CV66" s="626"/>
      <c r="CW66" s="626"/>
      <c r="CX66" s="626"/>
      <c r="CY66" s="626"/>
      <c r="CZ66" s="626"/>
      <c r="DA66" s="626"/>
      <c r="DB66" s="626"/>
      <c r="DC66" s="626"/>
      <c r="DD66" s="626"/>
      <c r="DE66" s="626"/>
      <c r="DF66" s="626"/>
      <c r="DG66" s="626"/>
      <c r="DH66" s="626"/>
      <c r="DI66" s="626"/>
      <c r="DJ66" s="626"/>
      <c r="DK66" s="626"/>
      <c r="DL66" s="626"/>
      <c r="DM66" s="626"/>
      <c r="DN66" s="626"/>
      <c r="DO66" s="626"/>
      <c r="DP66" s="626"/>
      <c r="DQ66" s="626"/>
      <c r="DR66" s="626"/>
      <c r="DS66" s="626"/>
      <c r="DT66" s="626"/>
      <c r="DU66" s="626"/>
      <c r="DV66" s="626"/>
      <c r="DW66" s="626"/>
      <c r="DX66" s="626"/>
      <c r="DY66" s="626"/>
      <c r="DZ66" s="626"/>
      <c r="EA66" s="626"/>
      <c r="EB66" s="626"/>
      <c r="EC66" s="626"/>
      <c r="ED66" s="626"/>
      <c r="EE66" s="626"/>
      <c r="EF66" s="626"/>
      <c r="EG66" s="626"/>
      <c r="EH66" s="626"/>
      <c r="EI66" s="626"/>
      <c r="EJ66" s="626"/>
      <c r="EK66" s="626"/>
      <c r="EL66" s="626"/>
      <c r="EM66" s="626"/>
      <c r="EN66" s="626"/>
      <c r="EO66" s="626"/>
      <c r="EP66" s="626"/>
      <c r="EQ66" s="626"/>
      <c r="ER66" s="626"/>
      <c r="ES66" s="626"/>
      <c r="ET66" s="626"/>
      <c r="EU66" s="626"/>
      <c r="EV66" s="626"/>
      <c r="EW66" s="626"/>
      <c r="EX66" s="626"/>
      <c r="EY66" s="626"/>
      <c r="EZ66" s="626"/>
      <c r="FA66" s="626"/>
      <c r="FB66" s="626"/>
      <c r="FC66" s="626"/>
      <c r="FD66" s="626"/>
      <c r="FE66" s="626"/>
      <c r="FF66" s="626"/>
      <c r="FG66" s="626"/>
      <c r="FH66" s="626"/>
      <c r="FI66" s="626"/>
      <c r="FJ66" s="626"/>
      <c r="FK66" s="626"/>
      <c r="FL66" s="626"/>
      <c r="FM66" s="626"/>
      <c r="FN66" s="626"/>
      <c r="FO66" s="626"/>
      <c r="FP66" s="626"/>
      <c r="FQ66" s="626"/>
      <c r="FR66" s="626"/>
      <c r="FS66" s="626"/>
      <c r="FT66" s="626"/>
      <c r="FU66" s="626"/>
      <c r="FV66" s="626"/>
      <c r="FW66" s="626"/>
      <c r="FX66" s="626"/>
      <c r="FY66" s="626"/>
      <c r="FZ66" s="626"/>
      <c r="GA66" s="626"/>
      <c r="GB66" s="626"/>
      <c r="GC66" s="626"/>
      <c r="GD66" s="626"/>
      <c r="GE66" s="626"/>
      <c r="GF66" s="626"/>
      <c r="GG66" s="626"/>
      <c r="GH66" s="626"/>
      <c r="GI66" s="626"/>
      <c r="GJ66" s="626"/>
      <c r="GK66" s="626"/>
      <c r="GL66" s="626"/>
      <c r="GM66" s="626"/>
      <c r="GN66" s="626"/>
      <c r="GO66" s="626"/>
      <c r="GP66" s="626"/>
      <c r="GQ66" s="626"/>
      <c r="GR66" s="626"/>
      <c r="GS66" s="626"/>
      <c r="GT66" s="626"/>
      <c r="GU66" s="626"/>
      <c r="GV66" s="626"/>
      <c r="GW66" s="626"/>
      <c r="GX66" s="626"/>
      <c r="GY66" s="626"/>
      <c r="GZ66" s="626"/>
      <c r="HA66" s="626"/>
      <c r="HB66" s="626"/>
      <c r="HC66" s="626"/>
      <c r="HD66" s="626"/>
      <c r="HE66" s="626"/>
      <c r="HF66" s="626"/>
      <c r="HG66" s="626"/>
      <c r="HH66" s="626"/>
      <c r="HI66" s="626"/>
      <c r="HJ66" s="626"/>
      <c r="HK66" s="626"/>
      <c r="HL66" s="626"/>
      <c r="HM66" s="626"/>
      <c r="HN66" s="626"/>
      <c r="HO66" s="626"/>
      <c r="HP66" s="626"/>
      <c r="HQ66" s="626"/>
      <c r="HR66" s="626"/>
      <c r="HS66" s="626"/>
      <c r="HT66" s="626"/>
      <c r="HU66" s="626"/>
      <c r="HV66" s="626"/>
      <c r="HW66" s="626"/>
      <c r="HX66" s="626"/>
      <c r="HY66" s="626"/>
      <c r="HZ66" s="626"/>
      <c r="IA66" s="626"/>
      <c r="IB66" s="626"/>
      <c r="IC66" s="626"/>
      <c r="ID66" s="626"/>
      <c r="IE66" s="626"/>
      <c r="IF66" s="626"/>
      <c r="IG66" s="626"/>
      <c r="IH66" s="626"/>
      <c r="II66" s="626"/>
      <c r="IJ66" s="626"/>
      <c r="IK66" s="626"/>
      <c r="IL66" s="626"/>
      <c r="IM66" s="626"/>
      <c r="IN66" s="626"/>
      <c r="IO66" s="626"/>
      <c r="IP66" s="626"/>
      <c r="IQ66" s="626"/>
      <c r="IR66" s="626"/>
      <c r="IS66" s="626"/>
      <c r="IT66" s="626"/>
      <c r="IU66" s="626"/>
    </row>
    <row r="67" spans="1:255" s="627" customFormat="1" ht="12.75" customHeight="1" thickBot="1" x14ac:dyDescent="0.25">
      <c r="A67" s="644"/>
      <c r="B67" s="669"/>
      <c r="C67" s="489"/>
      <c r="D67" s="489"/>
      <c r="E67" s="670"/>
      <c r="F67" s="489"/>
      <c r="G67" s="623"/>
      <c r="H67" s="671"/>
      <c r="I67" s="670"/>
      <c r="J67" s="615"/>
      <c r="K67" s="118"/>
      <c r="L67" s="12"/>
      <c r="M67" s="12"/>
      <c r="N67" s="499"/>
      <c r="O67" s="499"/>
      <c r="P67" s="658"/>
      <c r="Q67" s="509"/>
      <c r="R67" s="509"/>
      <c r="S67" s="623"/>
      <c r="T67" s="672"/>
      <c r="U67" s="672"/>
      <c r="V67" s="123"/>
      <c r="W67" s="123"/>
      <c r="X67" s="123"/>
      <c r="Y67" s="624"/>
      <c r="Z67" s="625"/>
      <c r="AA67" s="625"/>
      <c r="AB67" s="625"/>
      <c r="AC67" s="625"/>
      <c r="AD67" s="625"/>
      <c r="AE67" s="625"/>
      <c r="AF67" s="625"/>
      <c r="AG67" s="625"/>
      <c r="AH67" s="625"/>
      <c r="AI67" s="625"/>
      <c r="AJ67" s="625"/>
      <c r="AK67" s="625"/>
      <c r="AL67" s="625"/>
      <c r="AM67" s="625"/>
      <c r="AN67" s="625"/>
      <c r="AO67" s="625"/>
      <c r="AP67" s="625"/>
      <c r="AQ67" s="625"/>
      <c r="AR67" s="625"/>
      <c r="AS67" s="625"/>
      <c r="AT67" s="625"/>
      <c r="AU67" s="625"/>
      <c r="AV67" s="625"/>
      <c r="AW67" s="625"/>
      <c r="AX67" s="625"/>
      <c r="AY67" s="625"/>
      <c r="AZ67" s="625"/>
      <c r="BA67" s="625"/>
      <c r="BB67" s="625"/>
      <c r="BC67" s="625"/>
      <c r="BD67" s="625"/>
      <c r="BE67" s="625"/>
      <c r="BF67" s="626"/>
      <c r="BG67" s="626"/>
      <c r="BH67" s="626"/>
      <c r="BI67" s="626"/>
      <c r="BJ67" s="626"/>
      <c r="BK67" s="626"/>
      <c r="BL67" s="626"/>
      <c r="BM67" s="626"/>
      <c r="BN67" s="626"/>
      <c r="BO67" s="626"/>
      <c r="BP67" s="626"/>
      <c r="BQ67" s="626"/>
      <c r="BR67" s="626"/>
      <c r="BS67" s="626"/>
      <c r="BT67" s="626"/>
      <c r="BU67" s="626"/>
      <c r="BV67" s="626"/>
      <c r="BW67" s="626"/>
      <c r="BX67" s="626"/>
      <c r="BY67" s="626"/>
      <c r="BZ67" s="626"/>
      <c r="CA67" s="626"/>
      <c r="CB67" s="626"/>
      <c r="CC67" s="626"/>
      <c r="CD67" s="626"/>
      <c r="CE67" s="626"/>
      <c r="CF67" s="626"/>
      <c r="CG67" s="626"/>
      <c r="CH67" s="626"/>
      <c r="CI67" s="626"/>
      <c r="CJ67" s="626"/>
      <c r="CK67" s="626"/>
      <c r="CL67" s="626"/>
      <c r="CM67" s="626"/>
      <c r="CN67" s="626"/>
      <c r="CO67" s="626"/>
      <c r="CP67" s="626"/>
      <c r="CQ67" s="626"/>
      <c r="CR67" s="626"/>
      <c r="CS67" s="626"/>
      <c r="CT67" s="626"/>
      <c r="CU67" s="626"/>
      <c r="CV67" s="626"/>
      <c r="CW67" s="626"/>
      <c r="CX67" s="626"/>
      <c r="CY67" s="626"/>
      <c r="CZ67" s="626"/>
      <c r="DA67" s="626"/>
      <c r="DB67" s="626"/>
      <c r="DC67" s="626"/>
      <c r="DD67" s="626"/>
      <c r="DE67" s="626"/>
      <c r="DF67" s="626"/>
      <c r="DG67" s="626"/>
      <c r="DH67" s="626"/>
      <c r="DI67" s="626"/>
      <c r="DJ67" s="626"/>
      <c r="DK67" s="626"/>
      <c r="DL67" s="626"/>
      <c r="DM67" s="626"/>
      <c r="DN67" s="626"/>
      <c r="DO67" s="626"/>
      <c r="DP67" s="626"/>
      <c r="DQ67" s="626"/>
      <c r="DR67" s="626"/>
      <c r="DS67" s="626"/>
      <c r="DT67" s="626"/>
      <c r="DU67" s="626"/>
      <c r="DV67" s="626"/>
      <c r="DW67" s="626"/>
      <c r="DX67" s="626"/>
      <c r="DY67" s="626"/>
      <c r="DZ67" s="626"/>
      <c r="EA67" s="626"/>
      <c r="EB67" s="626"/>
      <c r="EC67" s="626"/>
      <c r="ED67" s="626"/>
      <c r="EE67" s="626"/>
      <c r="EF67" s="626"/>
      <c r="EG67" s="626"/>
      <c r="EH67" s="626"/>
      <c r="EI67" s="626"/>
      <c r="EJ67" s="626"/>
      <c r="EK67" s="626"/>
      <c r="EL67" s="626"/>
      <c r="EM67" s="626"/>
      <c r="EN67" s="626"/>
      <c r="EO67" s="626"/>
      <c r="EP67" s="626"/>
      <c r="EQ67" s="626"/>
      <c r="ER67" s="626"/>
      <c r="ES67" s="626"/>
      <c r="ET67" s="626"/>
      <c r="EU67" s="626"/>
      <c r="EV67" s="626"/>
      <c r="EW67" s="626"/>
      <c r="EX67" s="626"/>
      <c r="EY67" s="626"/>
      <c r="EZ67" s="626"/>
      <c r="FA67" s="626"/>
      <c r="FB67" s="626"/>
      <c r="FC67" s="626"/>
      <c r="FD67" s="626"/>
      <c r="FE67" s="626"/>
      <c r="FF67" s="626"/>
      <c r="FG67" s="626"/>
      <c r="FH67" s="626"/>
      <c r="FI67" s="626"/>
      <c r="FJ67" s="626"/>
      <c r="FK67" s="626"/>
      <c r="FL67" s="626"/>
      <c r="FM67" s="626"/>
      <c r="FN67" s="626"/>
      <c r="FO67" s="626"/>
      <c r="FP67" s="626"/>
      <c r="FQ67" s="626"/>
      <c r="FR67" s="626"/>
      <c r="FS67" s="626"/>
      <c r="FT67" s="626"/>
      <c r="FU67" s="626"/>
      <c r="FV67" s="626"/>
      <c r="FW67" s="626"/>
      <c r="FX67" s="626"/>
      <c r="FY67" s="626"/>
      <c r="FZ67" s="626"/>
      <c r="GA67" s="626"/>
      <c r="GB67" s="626"/>
      <c r="GC67" s="626"/>
      <c r="GD67" s="626"/>
      <c r="GE67" s="626"/>
      <c r="GF67" s="626"/>
      <c r="GG67" s="626"/>
      <c r="GH67" s="626"/>
      <c r="GI67" s="626"/>
      <c r="GJ67" s="626"/>
      <c r="GK67" s="626"/>
      <c r="GL67" s="626"/>
      <c r="GM67" s="626"/>
      <c r="GN67" s="626"/>
      <c r="GO67" s="626"/>
      <c r="GP67" s="626"/>
      <c r="GQ67" s="626"/>
      <c r="GR67" s="626"/>
      <c r="GS67" s="626"/>
      <c r="GT67" s="626"/>
      <c r="GU67" s="626"/>
      <c r="GV67" s="626"/>
      <c r="GW67" s="626"/>
      <c r="GX67" s="626"/>
      <c r="GY67" s="626"/>
      <c r="GZ67" s="626"/>
      <c r="HA67" s="626"/>
      <c r="HB67" s="626"/>
      <c r="HC67" s="626"/>
      <c r="HD67" s="626"/>
      <c r="HE67" s="626"/>
      <c r="HF67" s="626"/>
      <c r="HG67" s="626"/>
      <c r="HH67" s="626"/>
      <c r="HI67" s="626"/>
      <c r="HJ67" s="626"/>
      <c r="HK67" s="626"/>
      <c r="HL67" s="626"/>
      <c r="HM67" s="626"/>
      <c r="HN67" s="626"/>
      <c r="HO67" s="626"/>
      <c r="HP67" s="626"/>
      <c r="HQ67" s="626"/>
      <c r="HR67" s="626"/>
      <c r="HS67" s="626"/>
      <c r="HT67" s="626"/>
      <c r="HU67" s="626"/>
      <c r="HV67" s="626"/>
      <c r="HW67" s="626"/>
      <c r="HX67" s="626"/>
      <c r="HY67" s="626"/>
      <c r="HZ67" s="626"/>
      <c r="IA67" s="626"/>
      <c r="IB67" s="626"/>
      <c r="IC67" s="626"/>
      <c r="ID67" s="626"/>
      <c r="IE67" s="626"/>
      <c r="IF67" s="626"/>
      <c r="IG67" s="626"/>
      <c r="IH67" s="626"/>
      <c r="II67" s="626"/>
      <c r="IJ67" s="626"/>
      <c r="IK67" s="626"/>
      <c r="IL67" s="626"/>
      <c r="IM67" s="626"/>
      <c r="IN67" s="626"/>
      <c r="IO67" s="626"/>
      <c r="IP67" s="626"/>
      <c r="IQ67" s="626"/>
      <c r="IR67" s="626"/>
      <c r="IS67" s="626"/>
      <c r="IT67" s="626"/>
      <c r="IU67" s="626"/>
    </row>
    <row r="68" spans="1:255" s="627" customFormat="1" ht="12.75" customHeight="1" thickBot="1" x14ac:dyDescent="0.25">
      <c r="A68" s="644"/>
      <c r="B68" s="669"/>
      <c r="C68" s="489"/>
      <c r="D68" s="489"/>
      <c r="E68" s="670"/>
      <c r="F68" s="489"/>
      <c r="G68" s="623"/>
      <c r="H68" s="671"/>
      <c r="I68" s="670"/>
      <c r="J68" s="615"/>
      <c r="K68" s="118"/>
      <c r="L68" s="12"/>
      <c r="M68" s="12"/>
      <c r="N68" s="499"/>
      <c r="O68" s="499"/>
      <c r="P68" s="658"/>
      <c r="Q68" s="509"/>
      <c r="R68" s="509"/>
      <c r="S68" s="623"/>
      <c r="T68" s="672"/>
      <c r="U68" s="672"/>
      <c r="V68" s="123"/>
      <c r="W68" s="123"/>
      <c r="X68" s="123"/>
      <c r="Y68" s="624"/>
      <c r="Z68" s="625"/>
      <c r="AA68" s="625"/>
      <c r="AB68" s="625"/>
      <c r="AC68" s="625"/>
      <c r="AD68" s="625"/>
      <c r="AE68" s="625"/>
      <c r="AF68" s="625"/>
      <c r="AG68" s="625"/>
      <c r="AH68" s="625"/>
      <c r="AI68" s="625"/>
      <c r="AJ68" s="625"/>
      <c r="AK68" s="625"/>
      <c r="AL68" s="625"/>
      <c r="AM68" s="625"/>
      <c r="AN68" s="625"/>
      <c r="AO68" s="625"/>
      <c r="AP68" s="625"/>
      <c r="AQ68" s="625"/>
      <c r="AR68" s="625"/>
      <c r="AS68" s="625"/>
      <c r="AT68" s="625"/>
      <c r="AU68" s="625"/>
      <c r="AV68" s="625"/>
      <c r="AW68" s="625"/>
      <c r="AX68" s="625"/>
      <c r="AY68" s="625"/>
      <c r="AZ68" s="625"/>
      <c r="BA68" s="625"/>
      <c r="BB68" s="625"/>
      <c r="BC68" s="625"/>
      <c r="BD68" s="625"/>
      <c r="BE68" s="625"/>
      <c r="BF68" s="626"/>
      <c r="BG68" s="626"/>
      <c r="BH68" s="626"/>
      <c r="BI68" s="626"/>
      <c r="BJ68" s="626"/>
      <c r="BK68" s="626"/>
      <c r="BL68" s="626"/>
      <c r="BM68" s="626"/>
      <c r="BN68" s="626"/>
      <c r="BO68" s="626"/>
      <c r="BP68" s="626"/>
      <c r="BQ68" s="626"/>
      <c r="BR68" s="626"/>
      <c r="BS68" s="626"/>
      <c r="BT68" s="626"/>
      <c r="BU68" s="626"/>
      <c r="BV68" s="626"/>
      <c r="BW68" s="626"/>
      <c r="BX68" s="626"/>
      <c r="BY68" s="626"/>
      <c r="BZ68" s="626"/>
      <c r="CA68" s="626"/>
      <c r="CB68" s="626"/>
      <c r="CC68" s="626"/>
      <c r="CD68" s="626"/>
      <c r="CE68" s="626"/>
      <c r="CF68" s="626"/>
      <c r="CG68" s="626"/>
      <c r="CH68" s="626"/>
      <c r="CI68" s="626"/>
      <c r="CJ68" s="626"/>
      <c r="CK68" s="626"/>
      <c r="CL68" s="626"/>
      <c r="CM68" s="626"/>
      <c r="CN68" s="626"/>
      <c r="CO68" s="626"/>
      <c r="CP68" s="626"/>
      <c r="CQ68" s="626"/>
      <c r="CR68" s="626"/>
      <c r="CS68" s="626"/>
      <c r="CT68" s="626"/>
      <c r="CU68" s="626"/>
      <c r="CV68" s="626"/>
      <c r="CW68" s="626"/>
      <c r="CX68" s="626"/>
      <c r="CY68" s="626"/>
      <c r="CZ68" s="626"/>
      <c r="DA68" s="626"/>
      <c r="DB68" s="626"/>
      <c r="DC68" s="626"/>
      <c r="DD68" s="626"/>
      <c r="DE68" s="626"/>
      <c r="DF68" s="626"/>
      <c r="DG68" s="626"/>
      <c r="DH68" s="626"/>
      <c r="DI68" s="626"/>
      <c r="DJ68" s="626"/>
      <c r="DK68" s="626"/>
      <c r="DL68" s="626"/>
      <c r="DM68" s="626"/>
      <c r="DN68" s="626"/>
      <c r="DO68" s="626"/>
      <c r="DP68" s="626"/>
      <c r="DQ68" s="626"/>
      <c r="DR68" s="626"/>
      <c r="DS68" s="626"/>
      <c r="DT68" s="626"/>
      <c r="DU68" s="626"/>
      <c r="DV68" s="626"/>
      <c r="DW68" s="626"/>
      <c r="DX68" s="626"/>
      <c r="DY68" s="626"/>
      <c r="DZ68" s="626"/>
      <c r="EA68" s="626"/>
      <c r="EB68" s="626"/>
      <c r="EC68" s="626"/>
      <c r="ED68" s="626"/>
      <c r="EE68" s="626"/>
      <c r="EF68" s="626"/>
      <c r="EG68" s="626"/>
      <c r="EH68" s="626"/>
      <c r="EI68" s="626"/>
      <c r="EJ68" s="626"/>
      <c r="EK68" s="626"/>
      <c r="EL68" s="626"/>
      <c r="EM68" s="626"/>
      <c r="EN68" s="626"/>
      <c r="EO68" s="626"/>
      <c r="EP68" s="626"/>
      <c r="EQ68" s="626"/>
      <c r="ER68" s="626"/>
      <c r="ES68" s="626"/>
      <c r="ET68" s="626"/>
      <c r="EU68" s="626"/>
      <c r="EV68" s="626"/>
      <c r="EW68" s="626"/>
      <c r="EX68" s="626"/>
      <c r="EY68" s="626"/>
      <c r="EZ68" s="626"/>
      <c r="FA68" s="626"/>
      <c r="FB68" s="626"/>
      <c r="FC68" s="626"/>
      <c r="FD68" s="626"/>
      <c r="FE68" s="626"/>
      <c r="FF68" s="626"/>
      <c r="FG68" s="626"/>
      <c r="FH68" s="626"/>
      <c r="FI68" s="626"/>
      <c r="FJ68" s="626"/>
      <c r="FK68" s="626"/>
      <c r="FL68" s="626"/>
      <c r="FM68" s="626"/>
      <c r="FN68" s="626"/>
      <c r="FO68" s="626"/>
      <c r="FP68" s="626"/>
      <c r="FQ68" s="626"/>
      <c r="FR68" s="626"/>
      <c r="FS68" s="626"/>
      <c r="FT68" s="626"/>
      <c r="FU68" s="626"/>
      <c r="FV68" s="626"/>
      <c r="FW68" s="626"/>
      <c r="FX68" s="626"/>
      <c r="FY68" s="626"/>
      <c r="FZ68" s="626"/>
      <c r="GA68" s="626"/>
      <c r="GB68" s="626"/>
      <c r="GC68" s="626"/>
      <c r="GD68" s="626"/>
      <c r="GE68" s="626"/>
      <c r="GF68" s="626"/>
      <c r="GG68" s="626"/>
      <c r="GH68" s="626"/>
      <c r="GI68" s="626"/>
      <c r="GJ68" s="626"/>
      <c r="GK68" s="626"/>
      <c r="GL68" s="626"/>
      <c r="GM68" s="626"/>
      <c r="GN68" s="626"/>
      <c r="GO68" s="626"/>
      <c r="GP68" s="626"/>
      <c r="GQ68" s="626"/>
      <c r="GR68" s="626"/>
      <c r="GS68" s="626"/>
      <c r="GT68" s="626"/>
      <c r="GU68" s="626"/>
      <c r="GV68" s="626"/>
      <c r="GW68" s="626"/>
      <c r="GX68" s="626"/>
      <c r="GY68" s="626"/>
      <c r="GZ68" s="626"/>
      <c r="HA68" s="626"/>
      <c r="HB68" s="626"/>
      <c r="HC68" s="626"/>
      <c r="HD68" s="626"/>
      <c r="HE68" s="626"/>
      <c r="HF68" s="626"/>
      <c r="HG68" s="626"/>
      <c r="HH68" s="626"/>
      <c r="HI68" s="626"/>
      <c r="HJ68" s="626"/>
      <c r="HK68" s="626"/>
      <c r="HL68" s="626"/>
      <c r="HM68" s="626"/>
      <c r="HN68" s="626"/>
      <c r="HO68" s="626"/>
      <c r="HP68" s="626"/>
      <c r="HQ68" s="626"/>
      <c r="HR68" s="626"/>
      <c r="HS68" s="626"/>
      <c r="HT68" s="626"/>
      <c r="HU68" s="626"/>
      <c r="HV68" s="626"/>
      <c r="HW68" s="626"/>
      <c r="HX68" s="626"/>
      <c r="HY68" s="626"/>
      <c r="HZ68" s="626"/>
      <c r="IA68" s="626"/>
      <c r="IB68" s="626"/>
      <c r="IC68" s="626"/>
      <c r="ID68" s="626"/>
      <c r="IE68" s="626"/>
      <c r="IF68" s="626"/>
      <c r="IG68" s="626"/>
      <c r="IH68" s="626"/>
      <c r="II68" s="626"/>
      <c r="IJ68" s="626"/>
      <c r="IK68" s="626"/>
      <c r="IL68" s="626"/>
      <c r="IM68" s="626"/>
      <c r="IN68" s="626"/>
      <c r="IO68" s="626"/>
      <c r="IP68" s="626"/>
      <c r="IQ68" s="626"/>
      <c r="IR68" s="626"/>
      <c r="IS68" s="626"/>
      <c r="IT68" s="626"/>
      <c r="IU68" s="626"/>
    </row>
    <row r="69" spans="1:255" s="627" customFormat="1" ht="12.75" customHeight="1" thickBot="1" x14ac:dyDescent="0.25">
      <c r="A69" s="644"/>
      <c r="B69" s="669"/>
      <c r="C69" s="489"/>
      <c r="D69" s="489"/>
      <c r="E69" s="670"/>
      <c r="F69" s="489"/>
      <c r="G69" s="623"/>
      <c r="H69" s="671"/>
      <c r="I69" s="671"/>
      <c r="J69" s="615"/>
      <c r="K69" s="118"/>
      <c r="L69" s="12"/>
      <c r="M69" s="12"/>
      <c r="N69" s="499"/>
      <c r="O69" s="499"/>
      <c r="P69" s="658"/>
      <c r="Q69" s="509"/>
      <c r="R69" s="509"/>
      <c r="S69" s="623"/>
      <c r="T69" s="672"/>
      <c r="U69" s="672"/>
      <c r="V69" s="123"/>
      <c r="W69" s="123"/>
      <c r="X69" s="123"/>
      <c r="Y69" s="624"/>
      <c r="Z69" s="625"/>
      <c r="AA69" s="625"/>
      <c r="AB69" s="625"/>
      <c r="AC69" s="625"/>
      <c r="AD69" s="625"/>
      <c r="AE69" s="625"/>
      <c r="AF69" s="625"/>
      <c r="AG69" s="625"/>
      <c r="AH69" s="625"/>
      <c r="AI69" s="625"/>
      <c r="AJ69" s="625"/>
      <c r="AK69" s="625"/>
      <c r="AL69" s="625"/>
      <c r="AM69" s="625"/>
      <c r="AN69" s="625"/>
      <c r="AO69" s="625"/>
      <c r="AP69" s="625"/>
      <c r="AQ69" s="625"/>
      <c r="AR69" s="625"/>
      <c r="AS69" s="625"/>
      <c r="AT69" s="625"/>
      <c r="AU69" s="625"/>
      <c r="AV69" s="625"/>
      <c r="AW69" s="625"/>
      <c r="AX69" s="625"/>
      <c r="AY69" s="625"/>
      <c r="AZ69" s="625"/>
      <c r="BA69" s="625"/>
      <c r="BB69" s="625"/>
      <c r="BC69" s="625"/>
      <c r="BD69" s="625"/>
      <c r="BE69" s="625"/>
      <c r="BF69" s="626"/>
      <c r="BG69" s="626"/>
      <c r="BH69" s="626"/>
      <c r="BI69" s="626"/>
      <c r="BJ69" s="626"/>
      <c r="BK69" s="626"/>
      <c r="BL69" s="626"/>
      <c r="BM69" s="626"/>
      <c r="BN69" s="626"/>
      <c r="BO69" s="626"/>
      <c r="BP69" s="626"/>
      <c r="BQ69" s="626"/>
      <c r="BR69" s="626"/>
      <c r="BS69" s="626"/>
      <c r="BT69" s="626"/>
      <c r="BU69" s="626"/>
      <c r="BV69" s="626"/>
      <c r="BW69" s="626"/>
      <c r="BX69" s="626"/>
      <c r="BY69" s="626"/>
      <c r="BZ69" s="626"/>
      <c r="CA69" s="626"/>
      <c r="CB69" s="626"/>
      <c r="CC69" s="626"/>
      <c r="CD69" s="626"/>
      <c r="CE69" s="626"/>
      <c r="CF69" s="626"/>
      <c r="CG69" s="626"/>
      <c r="CH69" s="626"/>
      <c r="CI69" s="626"/>
      <c r="CJ69" s="626"/>
      <c r="CK69" s="626"/>
      <c r="CL69" s="626"/>
      <c r="CM69" s="626"/>
      <c r="CN69" s="626"/>
      <c r="CO69" s="626"/>
      <c r="CP69" s="626"/>
      <c r="CQ69" s="626"/>
      <c r="CR69" s="626"/>
      <c r="CS69" s="626"/>
      <c r="CT69" s="626"/>
      <c r="CU69" s="626"/>
      <c r="CV69" s="626"/>
      <c r="CW69" s="626"/>
      <c r="CX69" s="626"/>
      <c r="CY69" s="626"/>
      <c r="CZ69" s="626"/>
      <c r="DA69" s="626"/>
      <c r="DB69" s="626"/>
      <c r="DC69" s="626"/>
      <c r="DD69" s="626"/>
      <c r="DE69" s="626"/>
      <c r="DF69" s="626"/>
      <c r="DG69" s="626"/>
      <c r="DH69" s="626"/>
      <c r="DI69" s="626"/>
      <c r="DJ69" s="626"/>
      <c r="DK69" s="626"/>
      <c r="DL69" s="626"/>
      <c r="DM69" s="626"/>
      <c r="DN69" s="626"/>
      <c r="DO69" s="626"/>
      <c r="DP69" s="626"/>
      <c r="DQ69" s="626"/>
      <c r="DR69" s="626"/>
      <c r="DS69" s="626"/>
      <c r="DT69" s="626"/>
      <c r="DU69" s="626"/>
      <c r="DV69" s="626"/>
      <c r="DW69" s="626"/>
      <c r="DX69" s="626"/>
      <c r="DY69" s="626"/>
      <c r="DZ69" s="626"/>
      <c r="EA69" s="626"/>
      <c r="EB69" s="626"/>
      <c r="EC69" s="626"/>
      <c r="ED69" s="626"/>
      <c r="EE69" s="626"/>
      <c r="EF69" s="626"/>
      <c r="EG69" s="626"/>
      <c r="EH69" s="626"/>
      <c r="EI69" s="626"/>
      <c r="EJ69" s="626"/>
      <c r="EK69" s="626"/>
      <c r="EL69" s="626"/>
      <c r="EM69" s="626"/>
      <c r="EN69" s="626"/>
      <c r="EO69" s="626"/>
      <c r="EP69" s="626"/>
      <c r="EQ69" s="626"/>
      <c r="ER69" s="626"/>
      <c r="ES69" s="626"/>
      <c r="ET69" s="626"/>
      <c r="EU69" s="626"/>
      <c r="EV69" s="626"/>
      <c r="EW69" s="626"/>
      <c r="EX69" s="626"/>
      <c r="EY69" s="626"/>
      <c r="EZ69" s="626"/>
      <c r="FA69" s="626"/>
      <c r="FB69" s="626"/>
      <c r="FC69" s="626"/>
      <c r="FD69" s="626"/>
      <c r="FE69" s="626"/>
      <c r="FF69" s="626"/>
      <c r="FG69" s="626"/>
      <c r="FH69" s="626"/>
      <c r="FI69" s="626"/>
      <c r="FJ69" s="626"/>
      <c r="FK69" s="626"/>
      <c r="FL69" s="626"/>
      <c r="FM69" s="626"/>
      <c r="FN69" s="626"/>
      <c r="FO69" s="626"/>
      <c r="FP69" s="626"/>
      <c r="FQ69" s="626"/>
      <c r="FR69" s="626"/>
      <c r="FS69" s="626"/>
      <c r="FT69" s="626"/>
      <c r="FU69" s="626"/>
      <c r="FV69" s="626"/>
      <c r="FW69" s="626"/>
      <c r="FX69" s="626"/>
      <c r="FY69" s="626"/>
      <c r="FZ69" s="626"/>
      <c r="GA69" s="626"/>
      <c r="GB69" s="626"/>
      <c r="GC69" s="626"/>
      <c r="GD69" s="626"/>
      <c r="GE69" s="626"/>
      <c r="GF69" s="626"/>
      <c r="GG69" s="626"/>
      <c r="GH69" s="626"/>
      <c r="GI69" s="626"/>
      <c r="GJ69" s="626"/>
      <c r="GK69" s="626"/>
      <c r="GL69" s="626"/>
      <c r="GM69" s="626"/>
      <c r="GN69" s="626"/>
      <c r="GO69" s="626"/>
      <c r="GP69" s="626"/>
      <c r="GQ69" s="626"/>
      <c r="GR69" s="626"/>
      <c r="GS69" s="626"/>
      <c r="GT69" s="626"/>
      <c r="GU69" s="626"/>
      <c r="GV69" s="626"/>
      <c r="GW69" s="626"/>
      <c r="GX69" s="626"/>
      <c r="GY69" s="626"/>
      <c r="GZ69" s="626"/>
      <c r="HA69" s="626"/>
      <c r="HB69" s="626"/>
      <c r="HC69" s="626"/>
      <c r="HD69" s="626"/>
      <c r="HE69" s="626"/>
      <c r="HF69" s="626"/>
      <c r="HG69" s="626"/>
      <c r="HH69" s="626"/>
      <c r="HI69" s="626"/>
      <c r="HJ69" s="626"/>
      <c r="HK69" s="626"/>
      <c r="HL69" s="626"/>
      <c r="HM69" s="626"/>
      <c r="HN69" s="626"/>
      <c r="HO69" s="626"/>
      <c r="HP69" s="626"/>
      <c r="HQ69" s="626"/>
      <c r="HR69" s="626"/>
      <c r="HS69" s="626"/>
      <c r="HT69" s="626"/>
      <c r="HU69" s="626"/>
      <c r="HV69" s="626"/>
      <c r="HW69" s="626"/>
      <c r="HX69" s="626"/>
      <c r="HY69" s="626"/>
      <c r="HZ69" s="626"/>
      <c r="IA69" s="626"/>
      <c r="IB69" s="626"/>
      <c r="IC69" s="626"/>
      <c r="ID69" s="626"/>
      <c r="IE69" s="626"/>
      <c r="IF69" s="626"/>
      <c r="IG69" s="626"/>
      <c r="IH69" s="626"/>
      <c r="II69" s="626"/>
      <c r="IJ69" s="626"/>
      <c r="IK69" s="626"/>
      <c r="IL69" s="626"/>
      <c r="IM69" s="626"/>
      <c r="IN69" s="626"/>
      <c r="IO69" s="626"/>
      <c r="IP69" s="626"/>
      <c r="IQ69" s="626"/>
      <c r="IR69" s="626"/>
      <c r="IS69" s="626"/>
      <c r="IT69" s="626"/>
      <c r="IU69" s="626"/>
    </row>
    <row r="70" spans="1:255" s="627" customFormat="1" ht="12.75" customHeight="1" thickBot="1" x14ac:dyDescent="0.25">
      <c r="A70" s="644"/>
      <c r="B70" s="669"/>
      <c r="C70" s="489"/>
      <c r="D70" s="489"/>
      <c r="E70" s="670"/>
      <c r="F70" s="489"/>
      <c r="G70" s="623"/>
      <c r="H70" s="671"/>
      <c r="I70" s="671"/>
      <c r="J70" s="615"/>
      <c r="K70" s="118"/>
      <c r="L70" s="12"/>
      <c r="M70" s="12"/>
      <c r="N70" s="499"/>
      <c r="O70" s="499"/>
      <c r="P70" s="658"/>
      <c r="Q70" s="509"/>
      <c r="R70" s="509"/>
      <c r="S70" s="623"/>
      <c r="T70" s="672"/>
      <c r="U70" s="672"/>
      <c r="V70" s="123"/>
      <c r="W70" s="123"/>
      <c r="X70" s="123"/>
      <c r="Y70" s="624"/>
      <c r="Z70" s="625"/>
      <c r="AA70" s="625"/>
      <c r="AB70" s="625"/>
      <c r="AC70" s="625"/>
      <c r="AD70" s="625"/>
      <c r="AE70" s="625"/>
      <c r="AF70" s="625"/>
      <c r="AG70" s="625"/>
      <c r="AH70" s="625"/>
      <c r="AI70" s="625"/>
      <c r="AJ70" s="625"/>
      <c r="AK70" s="625"/>
      <c r="AL70" s="625"/>
      <c r="AM70" s="625"/>
      <c r="AN70" s="625"/>
      <c r="AO70" s="625"/>
      <c r="AP70" s="625"/>
      <c r="AQ70" s="625"/>
      <c r="AR70" s="625"/>
      <c r="AS70" s="625"/>
      <c r="AT70" s="625"/>
      <c r="AU70" s="625"/>
      <c r="AV70" s="625"/>
      <c r="AW70" s="625"/>
      <c r="AX70" s="625"/>
      <c r="AY70" s="625"/>
      <c r="AZ70" s="625"/>
      <c r="BA70" s="625"/>
      <c r="BB70" s="625"/>
      <c r="BC70" s="625"/>
      <c r="BD70" s="625"/>
      <c r="BE70" s="625"/>
      <c r="BF70" s="626"/>
      <c r="BG70" s="626"/>
      <c r="BH70" s="626"/>
      <c r="BI70" s="626"/>
      <c r="BJ70" s="626"/>
      <c r="BK70" s="626"/>
      <c r="BL70" s="626"/>
      <c r="BM70" s="626"/>
      <c r="BN70" s="626"/>
      <c r="BO70" s="626"/>
      <c r="BP70" s="626"/>
      <c r="BQ70" s="626"/>
      <c r="BR70" s="626"/>
      <c r="BS70" s="626"/>
      <c r="BT70" s="626"/>
      <c r="BU70" s="626"/>
      <c r="BV70" s="626"/>
      <c r="BW70" s="626"/>
      <c r="BX70" s="626"/>
      <c r="BY70" s="626"/>
      <c r="BZ70" s="626"/>
      <c r="CA70" s="626"/>
      <c r="CB70" s="626"/>
      <c r="CC70" s="626"/>
      <c r="CD70" s="626"/>
      <c r="CE70" s="626"/>
      <c r="CF70" s="626"/>
      <c r="CG70" s="626"/>
      <c r="CH70" s="626"/>
      <c r="CI70" s="626"/>
      <c r="CJ70" s="626"/>
      <c r="CK70" s="626"/>
      <c r="CL70" s="626"/>
      <c r="CM70" s="626"/>
      <c r="CN70" s="626"/>
      <c r="CO70" s="626"/>
      <c r="CP70" s="626"/>
      <c r="CQ70" s="626"/>
      <c r="CR70" s="626"/>
      <c r="CS70" s="626"/>
      <c r="CT70" s="626"/>
      <c r="CU70" s="626"/>
      <c r="CV70" s="626"/>
      <c r="CW70" s="626"/>
      <c r="CX70" s="626"/>
      <c r="CY70" s="626"/>
      <c r="CZ70" s="626"/>
      <c r="DA70" s="626"/>
      <c r="DB70" s="626"/>
      <c r="DC70" s="626"/>
      <c r="DD70" s="626"/>
      <c r="DE70" s="626"/>
      <c r="DF70" s="626"/>
      <c r="DG70" s="626"/>
      <c r="DH70" s="626"/>
      <c r="DI70" s="626"/>
      <c r="DJ70" s="626"/>
      <c r="DK70" s="626"/>
      <c r="DL70" s="626"/>
      <c r="DM70" s="626"/>
      <c r="DN70" s="626"/>
      <c r="DO70" s="626"/>
      <c r="DP70" s="626"/>
      <c r="DQ70" s="626"/>
      <c r="DR70" s="626"/>
      <c r="DS70" s="626"/>
      <c r="DT70" s="626"/>
      <c r="DU70" s="626"/>
      <c r="DV70" s="626"/>
      <c r="DW70" s="626"/>
      <c r="DX70" s="626"/>
      <c r="DY70" s="626"/>
      <c r="DZ70" s="626"/>
      <c r="EA70" s="626"/>
      <c r="EB70" s="626"/>
      <c r="EC70" s="626"/>
      <c r="ED70" s="626"/>
      <c r="EE70" s="626"/>
      <c r="EF70" s="626"/>
      <c r="EG70" s="626"/>
      <c r="EH70" s="626"/>
      <c r="EI70" s="626"/>
      <c r="EJ70" s="626"/>
      <c r="EK70" s="626"/>
      <c r="EL70" s="626"/>
      <c r="EM70" s="626"/>
      <c r="EN70" s="626"/>
      <c r="EO70" s="626"/>
      <c r="EP70" s="626"/>
      <c r="EQ70" s="626"/>
      <c r="ER70" s="626"/>
      <c r="ES70" s="626"/>
      <c r="ET70" s="626"/>
      <c r="EU70" s="626"/>
      <c r="EV70" s="626"/>
      <c r="EW70" s="626"/>
      <c r="EX70" s="626"/>
      <c r="EY70" s="626"/>
      <c r="EZ70" s="626"/>
      <c r="FA70" s="626"/>
      <c r="FB70" s="626"/>
      <c r="FC70" s="626"/>
      <c r="FD70" s="626"/>
      <c r="FE70" s="626"/>
      <c r="FF70" s="626"/>
      <c r="FG70" s="626"/>
      <c r="FH70" s="626"/>
      <c r="FI70" s="626"/>
      <c r="FJ70" s="626"/>
      <c r="FK70" s="626"/>
      <c r="FL70" s="626"/>
      <c r="FM70" s="626"/>
      <c r="FN70" s="626"/>
      <c r="FO70" s="626"/>
      <c r="FP70" s="626"/>
      <c r="FQ70" s="626"/>
      <c r="FR70" s="626"/>
      <c r="FS70" s="626"/>
      <c r="FT70" s="626"/>
      <c r="FU70" s="626"/>
      <c r="FV70" s="626"/>
      <c r="FW70" s="626"/>
      <c r="FX70" s="626"/>
      <c r="FY70" s="626"/>
      <c r="FZ70" s="626"/>
      <c r="GA70" s="626"/>
      <c r="GB70" s="626"/>
      <c r="GC70" s="626"/>
      <c r="GD70" s="626"/>
      <c r="GE70" s="626"/>
      <c r="GF70" s="626"/>
      <c r="GG70" s="626"/>
      <c r="GH70" s="626"/>
      <c r="GI70" s="626"/>
      <c r="GJ70" s="626"/>
      <c r="GK70" s="626"/>
      <c r="GL70" s="626"/>
      <c r="GM70" s="626"/>
      <c r="GN70" s="626"/>
      <c r="GO70" s="626"/>
      <c r="GP70" s="626"/>
      <c r="GQ70" s="626"/>
      <c r="GR70" s="626"/>
      <c r="GS70" s="626"/>
      <c r="GT70" s="626"/>
      <c r="GU70" s="626"/>
      <c r="GV70" s="626"/>
      <c r="GW70" s="626"/>
      <c r="GX70" s="626"/>
      <c r="GY70" s="626"/>
      <c r="GZ70" s="626"/>
      <c r="HA70" s="626"/>
      <c r="HB70" s="626"/>
      <c r="HC70" s="626"/>
      <c r="HD70" s="626"/>
      <c r="HE70" s="626"/>
      <c r="HF70" s="626"/>
      <c r="HG70" s="626"/>
      <c r="HH70" s="626"/>
      <c r="HI70" s="626"/>
      <c r="HJ70" s="626"/>
      <c r="HK70" s="626"/>
      <c r="HL70" s="626"/>
      <c r="HM70" s="626"/>
      <c r="HN70" s="626"/>
      <c r="HO70" s="626"/>
      <c r="HP70" s="626"/>
      <c r="HQ70" s="626"/>
      <c r="HR70" s="626"/>
      <c r="HS70" s="626"/>
      <c r="HT70" s="626"/>
      <c r="HU70" s="626"/>
      <c r="HV70" s="626"/>
      <c r="HW70" s="626"/>
      <c r="HX70" s="626"/>
      <c r="HY70" s="626"/>
      <c r="HZ70" s="626"/>
      <c r="IA70" s="626"/>
      <c r="IB70" s="626"/>
      <c r="IC70" s="626"/>
      <c r="ID70" s="626"/>
      <c r="IE70" s="626"/>
      <c r="IF70" s="626"/>
      <c r="IG70" s="626"/>
      <c r="IH70" s="626"/>
      <c r="II70" s="626"/>
      <c r="IJ70" s="626"/>
      <c r="IK70" s="626"/>
      <c r="IL70" s="626"/>
      <c r="IM70" s="626"/>
      <c r="IN70" s="626"/>
      <c r="IO70" s="626"/>
      <c r="IP70" s="626"/>
      <c r="IQ70" s="626"/>
      <c r="IR70" s="626"/>
      <c r="IS70" s="626"/>
      <c r="IT70" s="626"/>
      <c r="IU70" s="626"/>
    </row>
    <row r="71" spans="1:255" s="627" customFormat="1" ht="12.75" customHeight="1" thickBot="1" x14ac:dyDescent="0.25">
      <c r="A71" s="644"/>
      <c r="B71" s="655"/>
      <c r="C71" s="489"/>
      <c r="D71" s="489"/>
      <c r="E71" s="654"/>
      <c r="F71" s="489"/>
      <c r="G71" s="623"/>
      <c r="H71" s="656"/>
      <c r="I71" s="654"/>
      <c r="J71" s="615"/>
      <c r="K71" s="118"/>
      <c r="L71" s="12"/>
      <c r="M71" s="12"/>
      <c r="N71" s="499"/>
      <c r="O71" s="499"/>
      <c r="P71" s="658"/>
      <c r="Q71" s="509"/>
      <c r="R71" s="509"/>
      <c r="S71" s="623"/>
      <c r="T71" s="657"/>
      <c r="U71" s="657"/>
      <c r="V71" s="123"/>
      <c r="W71" s="123"/>
      <c r="X71" s="123"/>
      <c r="Y71" s="624"/>
      <c r="Z71" s="625"/>
      <c r="AA71" s="625"/>
      <c r="AB71" s="625"/>
      <c r="AC71" s="625"/>
      <c r="AD71" s="625"/>
      <c r="AE71" s="625"/>
      <c r="AF71" s="625"/>
      <c r="AG71" s="625"/>
      <c r="AH71" s="625"/>
      <c r="AI71" s="625"/>
      <c r="AJ71" s="625"/>
      <c r="AK71" s="625"/>
      <c r="AL71" s="625"/>
      <c r="AM71" s="625"/>
      <c r="AN71" s="625"/>
      <c r="AO71" s="625"/>
      <c r="AP71" s="625"/>
      <c r="AQ71" s="625"/>
      <c r="AR71" s="625"/>
      <c r="AS71" s="625"/>
      <c r="AT71" s="625"/>
      <c r="AU71" s="625"/>
      <c r="AV71" s="625"/>
      <c r="AW71" s="625"/>
      <c r="AX71" s="625"/>
      <c r="AY71" s="625"/>
      <c r="AZ71" s="625"/>
      <c r="BA71" s="625"/>
      <c r="BB71" s="625"/>
      <c r="BC71" s="625"/>
      <c r="BD71" s="625"/>
      <c r="BE71" s="625"/>
      <c r="BF71" s="626"/>
      <c r="BG71" s="626"/>
      <c r="BH71" s="626"/>
      <c r="BI71" s="626"/>
      <c r="BJ71" s="626"/>
      <c r="BK71" s="626"/>
      <c r="BL71" s="626"/>
      <c r="BM71" s="626"/>
      <c r="BN71" s="626"/>
      <c r="BO71" s="626"/>
      <c r="BP71" s="626"/>
      <c r="BQ71" s="626"/>
      <c r="BR71" s="626"/>
      <c r="BS71" s="626"/>
      <c r="BT71" s="626"/>
      <c r="BU71" s="626"/>
      <c r="BV71" s="626"/>
      <c r="BW71" s="626"/>
      <c r="BX71" s="626"/>
      <c r="BY71" s="626"/>
      <c r="BZ71" s="626"/>
      <c r="CA71" s="626"/>
      <c r="CB71" s="626"/>
      <c r="CC71" s="626"/>
      <c r="CD71" s="626"/>
      <c r="CE71" s="626"/>
      <c r="CF71" s="626"/>
      <c r="CG71" s="626"/>
      <c r="CH71" s="626"/>
      <c r="CI71" s="626"/>
      <c r="CJ71" s="626"/>
      <c r="CK71" s="626"/>
      <c r="CL71" s="626"/>
      <c r="CM71" s="626"/>
      <c r="CN71" s="626"/>
      <c r="CO71" s="626"/>
      <c r="CP71" s="626"/>
      <c r="CQ71" s="626"/>
      <c r="CR71" s="626"/>
      <c r="CS71" s="626"/>
      <c r="CT71" s="626"/>
      <c r="CU71" s="626"/>
      <c r="CV71" s="626"/>
      <c r="CW71" s="626"/>
      <c r="CX71" s="626"/>
      <c r="CY71" s="626"/>
      <c r="CZ71" s="626"/>
      <c r="DA71" s="626"/>
      <c r="DB71" s="626"/>
      <c r="DC71" s="626"/>
      <c r="DD71" s="626"/>
      <c r="DE71" s="626"/>
      <c r="DF71" s="626"/>
      <c r="DG71" s="626"/>
      <c r="DH71" s="626"/>
      <c r="DI71" s="626"/>
      <c r="DJ71" s="626"/>
      <c r="DK71" s="626"/>
      <c r="DL71" s="626"/>
      <c r="DM71" s="626"/>
      <c r="DN71" s="626"/>
      <c r="DO71" s="626"/>
      <c r="DP71" s="626"/>
      <c r="DQ71" s="626"/>
      <c r="DR71" s="626"/>
      <c r="DS71" s="626"/>
      <c r="DT71" s="626"/>
      <c r="DU71" s="626"/>
      <c r="DV71" s="626"/>
      <c r="DW71" s="626"/>
      <c r="DX71" s="626"/>
      <c r="DY71" s="626"/>
      <c r="DZ71" s="626"/>
      <c r="EA71" s="626"/>
      <c r="EB71" s="626"/>
      <c r="EC71" s="626"/>
      <c r="ED71" s="626"/>
      <c r="EE71" s="626"/>
      <c r="EF71" s="626"/>
      <c r="EG71" s="626"/>
      <c r="EH71" s="626"/>
      <c r="EI71" s="626"/>
      <c r="EJ71" s="626"/>
      <c r="EK71" s="626"/>
      <c r="EL71" s="626"/>
      <c r="EM71" s="626"/>
      <c r="EN71" s="626"/>
      <c r="EO71" s="626"/>
      <c r="EP71" s="626"/>
      <c r="EQ71" s="626"/>
      <c r="ER71" s="626"/>
      <c r="ES71" s="626"/>
      <c r="ET71" s="626"/>
      <c r="EU71" s="626"/>
      <c r="EV71" s="626"/>
      <c r="EW71" s="626"/>
      <c r="EX71" s="626"/>
      <c r="EY71" s="626"/>
      <c r="EZ71" s="626"/>
      <c r="FA71" s="626"/>
      <c r="FB71" s="626"/>
      <c r="FC71" s="626"/>
      <c r="FD71" s="626"/>
      <c r="FE71" s="626"/>
      <c r="FF71" s="626"/>
      <c r="FG71" s="626"/>
      <c r="FH71" s="626"/>
      <c r="FI71" s="626"/>
      <c r="FJ71" s="626"/>
      <c r="FK71" s="626"/>
      <c r="FL71" s="626"/>
      <c r="FM71" s="626"/>
      <c r="FN71" s="626"/>
      <c r="FO71" s="626"/>
      <c r="FP71" s="626"/>
      <c r="FQ71" s="626"/>
      <c r="FR71" s="626"/>
      <c r="FS71" s="626"/>
      <c r="FT71" s="626"/>
      <c r="FU71" s="626"/>
      <c r="FV71" s="626"/>
      <c r="FW71" s="626"/>
      <c r="FX71" s="626"/>
      <c r="FY71" s="626"/>
      <c r="FZ71" s="626"/>
      <c r="GA71" s="626"/>
      <c r="GB71" s="626"/>
      <c r="GC71" s="626"/>
      <c r="GD71" s="626"/>
      <c r="GE71" s="626"/>
      <c r="GF71" s="626"/>
      <c r="GG71" s="626"/>
      <c r="GH71" s="626"/>
      <c r="GI71" s="626"/>
      <c r="GJ71" s="626"/>
      <c r="GK71" s="626"/>
      <c r="GL71" s="626"/>
      <c r="GM71" s="626"/>
      <c r="GN71" s="626"/>
      <c r="GO71" s="626"/>
      <c r="GP71" s="626"/>
      <c r="GQ71" s="626"/>
      <c r="GR71" s="626"/>
      <c r="GS71" s="626"/>
      <c r="GT71" s="626"/>
      <c r="GU71" s="626"/>
      <c r="GV71" s="626"/>
      <c r="GW71" s="626"/>
      <c r="GX71" s="626"/>
      <c r="GY71" s="626"/>
      <c r="GZ71" s="626"/>
      <c r="HA71" s="626"/>
      <c r="HB71" s="626"/>
      <c r="HC71" s="626"/>
      <c r="HD71" s="626"/>
      <c r="HE71" s="626"/>
      <c r="HF71" s="626"/>
      <c r="HG71" s="626"/>
      <c r="HH71" s="626"/>
      <c r="HI71" s="626"/>
      <c r="HJ71" s="626"/>
      <c r="HK71" s="626"/>
      <c r="HL71" s="626"/>
      <c r="HM71" s="626"/>
      <c r="HN71" s="626"/>
      <c r="HO71" s="626"/>
      <c r="HP71" s="626"/>
      <c r="HQ71" s="626"/>
      <c r="HR71" s="626"/>
      <c r="HS71" s="626"/>
      <c r="HT71" s="626"/>
      <c r="HU71" s="626"/>
      <c r="HV71" s="626"/>
      <c r="HW71" s="626"/>
      <c r="HX71" s="626"/>
      <c r="HY71" s="626"/>
      <c r="HZ71" s="626"/>
      <c r="IA71" s="626"/>
      <c r="IB71" s="626"/>
      <c r="IC71" s="626"/>
      <c r="ID71" s="626"/>
      <c r="IE71" s="626"/>
      <c r="IF71" s="626"/>
      <c r="IG71" s="626"/>
      <c r="IH71" s="626"/>
      <c r="II71" s="626"/>
      <c r="IJ71" s="626"/>
      <c r="IK71" s="626"/>
      <c r="IL71" s="626"/>
      <c r="IM71" s="626"/>
      <c r="IN71" s="626"/>
      <c r="IO71" s="626"/>
      <c r="IP71" s="626"/>
      <c r="IQ71" s="626"/>
      <c r="IR71" s="626"/>
      <c r="IS71" s="626"/>
      <c r="IT71" s="626"/>
      <c r="IU71" s="626"/>
    </row>
    <row r="72" spans="1:255" s="627" customFormat="1" ht="12.75" customHeight="1" thickBot="1" x14ac:dyDescent="0.25">
      <c r="A72" s="644"/>
      <c r="B72" s="655"/>
      <c r="C72" s="489"/>
      <c r="D72" s="489"/>
      <c r="E72" s="654"/>
      <c r="F72" s="489"/>
      <c r="G72" s="623"/>
      <c r="H72" s="656"/>
      <c r="I72" s="654"/>
      <c r="J72" s="615"/>
      <c r="K72" s="118"/>
      <c r="L72" s="12"/>
      <c r="M72" s="12"/>
      <c r="N72" s="499"/>
      <c r="O72" s="499"/>
      <c r="P72" s="658"/>
      <c r="Q72" s="509"/>
      <c r="R72" s="509"/>
      <c r="S72" s="623"/>
      <c r="T72" s="657"/>
      <c r="U72" s="657"/>
      <c r="V72" s="123"/>
      <c r="W72" s="123"/>
      <c r="X72" s="123"/>
      <c r="Y72" s="624"/>
      <c r="Z72" s="625"/>
      <c r="AA72" s="625"/>
      <c r="AB72" s="625"/>
      <c r="AC72" s="625"/>
      <c r="AD72" s="625"/>
      <c r="AE72" s="625"/>
      <c r="AF72" s="625"/>
      <c r="AG72" s="625"/>
      <c r="AH72" s="625"/>
      <c r="AI72" s="625"/>
      <c r="AJ72" s="625"/>
      <c r="AK72" s="625"/>
      <c r="AL72" s="625"/>
      <c r="AM72" s="625"/>
      <c r="AN72" s="625"/>
      <c r="AO72" s="625"/>
      <c r="AP72" s="625"/>
      <c r="AQ72" s="625"/>
      <c r="AR72" s="625"/>
      <c r="AS72" s="625"/>
      <c r="AT72" s="625"/>
      <c r="AU72" s="625"/>
      <c r="AV72" s="625"/>
      <c r="AW72" s="625"/>
      <c r="AX72" s="625"/>
      <c r="AY72" s="625"/>
      <c r="AZ72" s="625"/>
      <c r="BA72" s="625"/>
      <c r="BB72" s="625"/>
      <c r="BC72" s="625"/>
      <c r="BD72" s="625"/>
      <c r="BE72" s="625"/>
      <c r="BF72" s="626"/>
      <c r="BG72" s="626"/>
      <c r="BH72" s="626"/>
      <c r="BI72" s="626"/>
      <c r="BJ72" s="626"/>
      <c r="BK72" s="626"/>
      <c r="BL72" s="626"/>
      <c r="BM72" s="626"/>
      <c r="BN72" s="626"/>
      <c r="BO72" s="626"/>
      <c r="BP72" s="626"/>
      <c r="BQ72" s="626"/>
      <c r="BR72" s="626"/>
      <c r="BS72" s="626"/>
      <c r="BT72" s="626"/>
      <c r="BU72" s="626"/>
      <c r="BV72" s="626"/>
      <c r="BW72" s="626"/>
      <c r="BX72" s="626"/>
      <c r="BY72" s="626"/>
      <c r="BZ72" s="626"/>
      <c r="CA72" s="626"/>
      <c r="CB72" s="626"/>
      <c r="CC72" s="626"/>
      <c r="CD72" s="626"/>
      <c r="CE72" s="626"/>
      <c r="CF72" s="626"/>
      <c r="CG72" s="626"/>
      <c r="CH72" s="626"/>
      <c r="CI72" s="626"/>
      <c r="CJ72" s="626"/>
      <c r="CK72" s="626"/>
      <c r="CL72" s="626"/>
      <c r="CM72" s="626"/>
      <c r="CN72" s="626"/>
      <c r="CO72" s="626"/>
      <c r="CP72" s="626"/>
      <c r="CQ72" s="626"/>
      <c r="CR72" s="626"/>
      <c r="CS72" s="626"/>
      <c r="CT72" s="626"/>
      <c r="CU72" s="626"/>
      <c r="CV72" s="626"/>
      <c r="CW72" s="626"/>
      <c r="CX72" s="626"/>
      <c r="CY72" s="626"/>
      <c r="CZ72" s="626"/>
      <c r="DA72" s="626"/>
      <c r="DB72" s="626"/>
      <c r="DC72" s="626"/>
      <c r="DD72" s="626"/>
      <c r="DE72" s="626"/>
      <c r="DF72" s="626"/>
      <c r="DG72" s="626"/>
      <c r="DH72" s="626"/>
      <c r="DI72" s="626"/>
      <c r="DJ72" s="626"/>
      <c r="DK72" s="626"/>
      <c r="DL72" s="626"/>
      <c r="DM72" s="626"/>
      <c r="DN72" s="626"/>
      <c r="DO72" s="626"/>
      <c r="DP72" s="626"/>
      <c r="DQ72" s="626"/>
      <c r="DR72" s="626"/>
      <c r="DS72" s="626"/>
      <c r="DT72" s="626"/>
      <c r="DU72" s="626"/>
      <c r="DV72" s="626"/>
      <c r="DW72" s="626"/>
      <c r="DX72" s="626"/>
      <c r="DY72" s="626"/>
      <c r="DZ72" s="626"/>
      <c r="EA72" s="626"/>
      <c r="EB72" s="626"/>
      <c r="EC72" s="626"/>
      <c r="ED72" s="626"/>
      <c r="EE72" s="626"/>
      <c r="EF72" s="626"/>
      <c r="EG72" s="626"/>
      <c r="EH72" s="626"/>
      <c r="EI72" s="626"/>
      <c r="EJ72" s="626"/>
      <c r="EK72" s="626"/>
      <c r="EL72" s="626"/>
      <c r="EM72" s="626"/>
      <c r="EN72" s="626"/>
      <c r="EO72" s="626"/>
      <c r="EP72" s="626"/>
      <c r="EQ72" s="626"/>
      <c r="ER72" s="626"/>
      <c r="ES72" s="626"/>
      <c r="ET72" s="626"/>
      <c r="EU72" s="626"/>
      <c r="EV72" s="626"/>
      <c r="EW72" s="626"/>
      <c r="EX72" s="626"/>
      <c r="EY72" s="626"/>
      <c r="EZ72" s="626"/>
      <c r="FA72" s="626"/>
      <c r="FB72" s="626"/>
      <c r="FC72" s="626"/>
      <c r="FD72" s="626"/>
      <c r="FE72" s="626"/>
      <c r="FF72" s="626"/>
      <c r="FG72" s="626"/>
      <c r="FH72" s="626"/>
      <c r="FI72" s="626"/>
      <c r="FJ72" s="626"/>
      <c r="FK72" s="626"/>
      <c r="FL72" s="626"/>
      <c r="FM72" s="626"/>
      <c r="FN72" s="626"/>
      <c r="FO72" s="626"/>
      <c r="FP72" s="626"/>
      <c r="FQ72" s="626"/>
      <c r="FR72" s="626"/>
      <c r="FS72" s="626"/>
      <c r="FT72" s="626"/>
      <c r="FU72" s="626"/>
      <c r="FV72" s="626"/>
      <c r="FW72" s="626"/>
      <c r="FX72" s="626"/>
      <c r="FY72" s="626"/>
      <c r="FZ72" s="626"/>
      <c r="GA72" s="626"/>
      <c r="GB72" s="626"/>
      <c r="GC72" s="626"/>
      <c r="GD72" s="626"/>
      <c r="GE72" s="626"/>
      <c r="GF72" s="626"/>
      <c r="GG72" s="626"/>
      <c r="GH72" s="626"/>
      <c r="GI72" s="626"/>
      <c r="GJ72" s="626"/>
      <c r="GK72" s="626"/>
      <c r="GL72" s="626"/>
      <c r="GM72" s="626"/>
      <c r="GN72" s="626"/>
      <c r="GO72" s="626"/>
      <c r="GP72" s="626"/>
      <c r="GQ72" s="626"/>
      <c r="GR72" s="626"/>
      <c r="GS72" s="626"/>
      <c r="GT72" s="626"/>
      <c r="GU72" s="626"/>
      <c r="GV72" s="626"/>
      <c r="GW72" s="626"/>
      <c r="GX72" s="626"/>
      <c r="GY72" s="626"/>
      <c r="GZ72" s="626"/>
      <c r="HA72" s="626"/>
      <c r="HB72" s="626"/>
      <c r="HC72" s="626"/>
      <c r="HD72" s="626"/>
      <c r="HE72" s="626"/>
      <c r="HF72" s="626"/>
      <c r="HG72" s="626"/>
      <c r="HH72" s="626"/>
      <c r="HI72" s="626"/>
      <c r="HJ72" s="626"/>
      <c r="HK72" s="626"/>
      <c r="HL72" s="626"/>
      <c r="HM72" s="626"/>
      <c r="HN72" s="626"/>
      <c r="HO72" s="626"/>
      <c r="HP72" s="626"/>
      <c r="HQ72" s="626"/>
      <c r="HR72" s="626"/>
      <c r="HS72" s="626"/>
      <c r="HT72" s="626"/>
      <c r="HU72" s="626"/>
      <c r="HV72" s="626"/>
      <c r="HW72" s="626"/>
      <c r="HX72" s="626"/>
      <c r="HY72" s="626"/>
      <c r="HZ72" s="626"/>
      <c r="IA72" s="626"/>
      <c r="IB72" s="626"/>
      <c r="IC72" s="626"/>
      <c r="ID72" s="626"/>
      <c r="IE72" s="626"/>
      <c r="IF72" s="626"/>
      <c r="IG72" s="626"/>
      <c r="IH72" s="626"/>
      <c r="II72" s="626"/>
      <c r="IJ72" s="626"/>
      <c r="IK72" s="626"/>
      <c r="IL72" s="626"/>
      <c r="IM72" s="626"/>
      <c r="IN72" s="626"/>
      <c r="IO72" s="626"/>
      <c r="IP72" s="626"/>
      <c r="IQ72" s="626"/>
      <c r="IR72" s="626"/>
      <c r="IS72" s="626"/>
      <c r="IT72" s="626"/>
      <c r="IU72" s="626"/>
    </row>
    <row r="73" spans="1:255" s="627" customFormat="1" ht="12.75" customHeight="1" thickBot="1" x14ac:dyDescent="0.25">
      <c r="A73" s="644"/>
      <c r="B73" s="655"/>
      <c r="C73" s="489"/>
      <c r="D73" s="489"/>
      <c r="E73" s="654"/>
      <c r="F73" s="489"/>
      <c r="G73" s="623"/>
      <c r="H73" s="656"/>
      <c r="I73" s="654"/>
      <c r="J73" s="615"/>
      <c r="K73" s="118"/>
      <c r="L73" s="12"/>
      <c r="M73" s="12"/>
      <c r="N73" s="499"/>
      <c r="O73" s="499"/>
      <c r="P73" s="658"/>
      <c r="Q73" s="509"/>
      <c r="R73" s="509"/>
      <c r="S73" s="623"/>
      <c r="T73" s="657"/>
      <c r="U73" s="657"/>
      <c r="V73" s="123"/>
      <c r="W73" s="123"/>
      <c r="X73" s="123"/>
      <c r="Y73" s="624"/>
      <c r="Z73" s="625"/>
      <c r="AA73" s="625"/>
      <c r="AB73" s="625"/>
      <c r="AC73" s="625"/>
      <c r="AD73" s="625"/>
      <c r="AE73" s="625"/>
      <c r="AF73" s="625"/>
      <c r="AG73" s="625"/>
      <c r="AH73" s="625"/>
      <c r="AI73" s="625"/>
      <c r="AJ73" s="625"/>
      <c r="AK73" s="625"/>
      <c r="AL73" s="625"/>
      <c r="AM73" s="625"/>
      <c r="AN73" s="625"/>
      <c r="AO73" s="625"/>
      <c r="AP73" s="625"/>
      <c r="AQ73" s="625"/>
      <c r="AR73" s="625"/>
      <c r="AS73" s="625"/>
      <c r="AT73" s="625"/>
      <c r="AU73" s="625"/>
      <c r="AV73" s="625"/>
      <c r="AW73" s="625"/>
      <c r="AX73" s="625"/>
      <c r="AY73" s="625"/>
      <c r="AZ73" s="625"/>
      <c r="BA73" s="625"/>
      <c r="BB73" s="625"/>
      <c r="BC73" s="625"/>
      <c r="BD73" s="625"/>
      <c r="BE73" s="625"/>
      <c r="BF73" s="626"/>
      <c r="BG73" s="626"/>
      <c r="BH73" s="626"/>
      <c r="BI73" s="626"/>
      <c r="BJ73" s="626"/>
      <c r="BK73" s="626"/>
      <c r="BL73" s="626"/>
      <c r="BM73" s="626"/>
      <c r="BN73" s="626"/>
      <c r="BO73" s="626"/>
      <c r="BP73" s="626"/>
      <c r="BQ73" s="626"/>
      <c r="BR73" s="626"/>
      <c r="BS73" s="626"/>
      <c r="BT73" s="626"/>
      <c r="BU73" s="626"/>
      <c r="BV73" s="626"/>
      <c r="BW73" s="626"/>
      <c r="BX73" s="626"/>
      <c r="BY73" s="626"/>
      <c r="BZ73" s="626"/>
      <c r="CA73" s="626"/>
      <c r="CB73" s="626"/>
      <c r="CC73" s="626"/>
      <c r="CD73" s="626"/>
      <c r="CE73" s="626"/>
      <c r="CF73" s="626"/>
      <c r="CG73" s="626"/>
      <c r="CH73" s="626"/>
      <c r="CI73" s="626"/>
      <c r="CJ73" s="626"/>
      <c r="CK73" s="626"/>
      <c r="CL73" s="626"/>
      <c r="CM73" s="626"/>
      <c r="CN73" s="626"/>
      <c r="CO73" s="626"/>
      <c r="CP73" s="626"/>
      <c r="CQ73" s="626"/>
      <c r="CR73" s="626"/>
      <c r="CS73" s="626"/>
      <c r="CT73" s="626"/>
      <c r="CU73" s="626"/>
      <c r="CV73" s="626"/>
      <c r="CW73" s="626"/>
      <c r="CX73" s="626"/>
      <c r="CY73" s="626"/>
      <c r="CZ73" s="626"/>
      <c r="DA73" s="626"/>
      <c r="DB73" s="626"/>
      <c r="DC73" s="626"/>
      <c r="DD73" s="626"/>
      <c r="DE73" s="626"/>
      <c r="DF73" s="626"/>
      <c r="DG73" s="626"/>
      <c r="DH73" s="626"/>
      <c r="DI73" s="626"/>
      <c r="DJ73" s="626"/>
      <c r="DK73" s="626"/>
      <c r="DL73" s="626"/>
      <c r="DM73" s="626"/>
      <c r="DN73" s="626"/>
      <c r="DO73" s="626"/>
      <c r="DP73" s="626"/>
      <c r="DQ73" s="626"/>
      <c r="DR73" s="626"/>
      <c r="DS73" s="626"/>
      <c r="DT73" s="626"/>
      <c r="DU73" s="626"/>
      <c r="DV73" s="626"/>
      <c r="DW73" s="626"/>
      <c r="DX73" s="626"/>
      <c r="DY73" s="626"/>
      <c r="DZ73" s="626"/>
      <c r="EA73" s="626"/>
      <c r="EB73" s="626"/>
      <c r="EC73" s="626"/>
      <c r="ED73" s="626"/>
      <c r="EE73" s="626"/>
      <c r="EF73" s="626"/>
      <c r="EG73" s="626"/>
      <c r="EH73" s="626"/>
      <c r="EI73" s="626"/>
      <c r="EJ73" s="626"/>
      <c r="EK73" s="626"/>
      <c r="EL73" s="626"/>
      <c r="EM73" s="626"/>
      <c r="EN73" s="626"/>
      <c r="EO73" s="626"/>
      <c r="EP73" s="626"/>
      <c r="EQ73" s="626"/>
      <c r="ER73" s="626"/>
      <c r="ES73" s="626"/>
      <c r="ET73" s="626"/>
      <c r="EU73" s="626"/>
      <c r="EV73" s="626"/>
      <c r="EW73" s="626"/>
      <c r="EX73" s="626"/>
      <c r="EY73" s="626"/>
      <c r="EZ73" s="626"/>
      <c r="FA73" s="626"/>
      <c r="FB73" s="626"/>
      <c r="FC73" s="626"/>
      <c r="FD73" s="626"/>
      <c r="FE73" s="626"/>
      <c r="FF73" s="626"/>
      <c r="FG73" s="626"/>
      <c r="FH73" s="626"/>
      <c r="FI73" s="626"/>
      <c r="FJ73" s="626"/>
      <c r="FK73" s="626"/>
      <c r="FL73" s="626"/>
      <c r="FM73" s="626"/>
      <c r="FN73" s="626"/>
      <c r="FO73" s="626"/>
      <c r="FP73" s="626"/>
      <c r="FQ73" s="626"/>
      <c r="FR73" s="626"/>
      <c r="FS73" s="626"/>
      <c r="FT73" s="626"/>
      <c r="FU73" s="626"/>
      <c r="FV73" s="626"/>
      <c r="FW73" s="626"/>
      <c r="FX73" s="626"/>
      <c r="FY73" s="626"/>
      <c r="FZ73" s="626"/>
      <c r="GA73" s="626"/>
      <c r="GB73" s="626"/>
      <c r="GC73" s="626"/>
      <c r="GD73" s="626"/>
      <c r="GE73" s="626"/>
      <c r="GF73" s="626"/>
      <c r="GG73" s="626"/>
      <c r="GH73" s="626"/>
      <c r="GI73" s="626"/>
      <c r="GJ73" s="626"/>
      <c r="GK73" s="626"/>
      <c r="GL73" s="626"/>
      <c r="GM73" s="626"/>
      <c r="GN73" s="626"/>
      <c r="GO73" s="626"/>
      <c r="GP73" s="626"/>
      <c r="GQ73" s="626"/>
      <c r="GR73" s="626"/>
      <c r="GS73" s="626"/>
      <c r="GT73" s="626"/>
      <c r="GU73" s="626"/>
      <c r="GV73" s="626"/>
      <c r="GW73" s="626"/>
      <c r="GX73" s="626"/>
      <c r="GY73" s="626"/>
      <c r="GZ73" s="626"/>
      <c r="HA73" s="626"/>
      <c r="HB73" s="626"/>
      <c r="HC73" s="626"/>
      <c r="HD73" s="626"/>
      <c r="HE73" s="626"/>
      <c r="HF73" s="626"/>
      <c r="HG73" s="626"/>
      <c r="HH73" s="626"/>
      <c r="HI73" s="626"/>
      <c r="HJ73" s="626"/>
      <c r="HK73" s="626"/>
      <c r="HL73" s="626"/>
      <c r="HM73" s="626"/>
      <c r="HN73" s="626"/>
      <c r="HO73" s="626"/>
      <c r="HP73" s="626"/>
      <c r="HQ73" s="626"/>
      <c r="HR73" s="626"/>
      <c r="HS73" s="626"/>
      <c r="HT73" s="626"/>
      <c r="HU73" s="626"/>
      <c r="HV73" s="626"/>
      <c r="HW73" s="626"/>
      <c r="HX73" s="626"/>
      <c r="HY73" s="626"/>
      <c r="HZ73" s="626"/>
      <c r="IA73" s="626"/>
      <c r="IB73" s="626"/>
      <c r="IC73" s="626"/>
      <c r="ID73" s="626"/>
      <c r="IE73" s="626"/>
      <c r="IF73" s="626"/>
      <c r="IG73" s="626"/>
      <c r="IH73" s="626"/>
      <c r="II73" s="626"/>
      <c r="IJ73" s="626"/>
      <c r="IK73" s="626"/>
      <c r="IL73" s="626"/>
      <c r="IM73" s="626"/>
      <c r="IN73" s="626"/>
      <c r="IO73" s="626"/>
      <c r="IP73" s="626"/>
      <c r="IQ73" s="626"/>
      <c r="IR73" s="626"/>
      <c r="IS73" s="626"/>
      <c r="IT73" s="626"/>
      <c r="IU73" s="626"/>
    </row>
    <row r="74" spans="1:255" s="627" customFormat="1" ht="12.75" customHeight="1" x14ac:dyDescent="0.2">
      <c r="A74" s="644"/>
      <c r="B74" s="655"/>
      <c r="C74" s="489"/>
      <c r="D74" s="489"/>
      <c r="E74" s="654"/>
      <c r="F74" s="489"/>
      <c r="G74" s="623"/>
      <c r="H74" s="656"/>
      <c r="I74" s="654"/>
      <c r="J74" s="615"/>
      <c r="K74" s="118"/>
      <c r="L74" s="12"/>
      <c r="M74" s="12"/>
      <c r="N74" s="499"/>
      <c r="O74" s="499"/>
      <c r="P74" s="658"/>
      <c r="Q74" s="509"/>
      <c r="R74" s="509"/>
      <c r="S74" s="623"/>
      <c r="T74" s="657"/>
      <c r="U74" s="657"/>
      <c r="V74" s="123"/>
      <c r="W74" s="123"/>
      <c r="X74" s="123"/>
      <c r="Y74" s="624"/>
      <c r="Z74" s="625"/>
      <c r="AA74" s="625"/>
      <c r="AB74" s="625"/>
      <c r="AC74" s="625"/>
      <c r="AD74" s="625"/>
      <c r="AE74" s="625"/>
      <c r="AF74" s="625"/>
      <c r="AG74" s="625"/>
      <c r="AH74" s="625"/>
      <c r="AI74" s="625"/>
      <c r="AJ74" s="625"/>
      <c r="AK74" s="625"/>
      <c r="AL74" s="625"/>
      <c r="AM74" s="625"/>
      <c r="AN74" s="625"/>
      <c r="AO74" s="625"/>
      <c r="AP74" s="625"/>
      <c r="AQ74" s="625"/>
      <c r="AR74" s="625"/>
      <c r="AS74" s="625"/>
      <c r="AT74" s="625"/>
      <c r="AU74" s="625"/>
      <c r="AV74" s="625"/>
      <c r="AW74" s="625"/>
      <c r="AX74" s="625"/>
      <c r="AY74" s="625"/>
      <c r="AZ74" s="625"/>
      <c r="BA74" s="625"/>
      <c r="BB74" s="625"/>
      <c r="BC74" s="625"/>
      <c r="BD74" s="625"/>
      <c r="BE74" s="625"/>
      <c r="BF74" s="626"/>
      <c r="BG74" s="626"/>
      <c r="BH74" s="626"/>
      <c r="BI74" s="626"/>
      <c r="BJ74" s="626"/>
      <c r="BK74" s="626"/>
      <c r="BL74" s="626"/>
      <c r="BM74" s="626"/>
      <c r="BN74" s="626"/>
      <c r="BO74" s="626"/>
      <c r="BP74" s="626"/>
      <c r="BQ74" s="626"/>
      <c r="BR74" s="626"/>
      <c r="BS74" s="626"/>
      <c r="BT74" s="626"/>
      <c r="BU74" s="626"/>
      <c r="BV74" s="626"/>
      <c r="BW74" s="626"/>
      <c r="BX74" s="626"/>
      <c r="BY74" s="626"/>
      <c r="BZ74" s="626"/>
      <c r="CA74" s="626"/>
      <c r="CB74" s="626"/>
      <c r="CC74" s="626"/>
      <c r="CD74" s="626"/>
      <c r="CE74" s="626"/>
      <c r="CF74" s="626"/>
      <c r="CG74" s="626"/>
      <c r="CH74" s="626"/>
      <c r="CI74" s="626"/>
      <c r="CJ74" s="626"/>
      <c r="CK74" s="626"/>
      <c r="CL74" s="626"/>
      <c r="CM74" s="626"/>
      <c r="CN74" s="626"/>
      <c r="CO74" s="626"/>
      <c r="CP74" s="626"/>
      <c r="CQ74" s="626"/>
      <c r="CR74" s="626"/>
      <c r="CS74" s="626"/>
      <c r="CT74" s="626"/>
      <c r="CU74" s="626"/>
      <c r="CV74" s="626"/>
      <c r="CW74" s="626"/>
      <c r="CX74" s="626"/>
      <c r="CY74" s="626"/>
      <c r="CZ74" s="626"/>
      <c r="DA74" s="626"/>
      <c r="DB74" s="626"/>
      <c r="DC74" s="626"/>
      <c r="DD74" s="626"/>
      <c r="DE74" s="626"/>
      <c r="DF74" s="626"/>
      <c r="DG74" s="626"/>
      <c r="DH74" s="626"/>
      <c r="DI74" s="626"/>
      <c r="DJ74" s="626"/>
      <c r="DK74" s="626"/>
      <c r="DL74" s="626"/>
      <c r="DM74" s="626"/>
      <c r="DN74" s="626"/>
      <c r="DO74" s="626"/>
      <c r="DP74" s="626"/>
      <c r="DQ74" s="626"/>
      <c r="DR74" s="626"/>
      <c r="DS74" s="626"/>
      <c r="DT74" s="626"/>
      <c r="DU74" s="626"/>
      <c r="DV74" s="626"/>
      <c r="DW74" s="626"/>
      <c r="DX74" s="626"/>
      <c r="DY74" s="626"/>
      <c r="DZ74" s="626"/>
      <c r="EA74" s="626"/>
      <c r="EB74" s="626"/>
      <c r="EC74" s="626"/>
      <c r="ED74" s="626"/>
      <c r="EE74" s="626"/>
      <c r="EF74" s="626"/>
      <c r="EG74" s="626"/>
      <c r="EH74" s="626"/>
      <c r="EI74" s="626"/>
      <c r="EJ74" s="626"/>
      <c r="EK74" s="626"/>
      <c r="EL74" s="626"/>
      <c r="EM74" s="626"/>
      <c r="EN74" s="626"/>
      <c r="EO74" s="626"/>
      <c r="EP74" s="626"/>
      <c r="EQ74" s="626"/>
      <c r="ER74" s="626"/>
      <c r="ES74" s="626"/>
      <c r="ET74" s="626"/>
      <c r="EU74" s="626"/>
      <c r="EV74" s="626"/>
      <c r="EW74" s="626"/>
      <c r="EX74" s="626"/>
      <c r="EY74" s="626"/>
      <c r="EZ74" s="626"/>
      <c r="FA74" s="626"/>
      <c r="FB74" s="626"/>
      <c r="FC74" s="626"/>
      <c r="FD74" s="626"/>
      <c r="FE74" s="626"/>
      <c r="FF74" s="626"/>
      <c r="FG74" s="626"/>
      <c r="FH74" s="626"/>
      <c r="FI74" s="626"/>
      <c r="FJ74" s="626"/>
      <c r="FK74" s="626"/>
      <c r="FL74" s="626"/>
      <c r="FM74" s="626"/>
      <c r="FN74" s="626"/>
      <c r="FO74" s="626"/>
      <c r="FP74" s="626"/>
      <c r="FQ74" s="626"/>
      <c r="FR74" s="626"/>
      <c r="FS74" s="626"/>
      <c r="FT74" s="626"/>
      <c r="FU74" s="626"/>
      <c r="FV74" s="626"/>
      <c r="FW74" s="626"/>
      <c r="FX74" s="626"/>
      <c r="FY74" s="626"/>
      <c r="FZ74" s="626"/>
      <c r="GA74" s="626"/>
      <c r="GB74" s="626"/>
      <c r="GC74" s="626"/>
      <c r="GD74" s="626"/>
      <c r="GE74" s="626"/>
      <c r="GF74" s="626"/>
      <c r="GG74" s="626"/>
      <c r="GH74" s="626"/>
      <c r="GI74" s="626"/>
      <c r="GJ74" s="626"/>
      <c r="GK74" s="626"/>
      <c r="GL74" s="626"/>
      <c r="GM74" s="626"/>
      <c r="GN74" s="626"/>
      <c r="GO74" s="626"/>
      <c r="GP74" s="626"/>
      <c r="GQ74" s="626"/>
      <c r="GR74" s="626"/>
      <c r="GS74" s="626"/>
      <c r="GT74" s="626"/>
      <c r="GU74" s="626"/>
      <c r="GV74" s="626"/>
      <c r="GW74" s="626"/>
      <c r="GX74" s="626"/>
      <c r="GY74" s="626"/>
      <c r="GZ74" s="626"/>
      <c r="HA74" s="626"/>
      <c r="HB74" s="626"/>
      <c r="HC74" s="626"/>
      <c r="HD74" s="626"/>
      <c r="HE74" s="626"/>
      <c r="HF74" s="626"/>
      <c r="HG74" s="626"/>
      <c r="HH74" s="626"/>
      <c r="HI74" s="626"/>
      <c r="HJ74" s="626"/>
      <c r="HK74" s="626"/>
      <c r="HL74" s="626"/>
      <c r="HM74" s="626"/>
      <c r="HN74" s="626"/>
      <c r="HO74" s="626"/>
      <c r="HP74" s="626"/>
      <c r="HQ74" s="626"/>
      <c r="HR74" s="626"/>
      <c r="HS74" s="626"/>
      <c r="HT74" s="626"/>
      <c r="HU74" s="626"/>
      <c r="HV74" s="626"/>
      <c r="HW74" s="626"/>
      <c r="HX74" s="626"/>
      <c r="HY74" s="626"/>
      <c r="HZ74" s="626"/>
      <c r="IA74" s="626"/>
      <c r="IB74" s="626"/>
      <c r="IC74" s="626"/>
      <c r="ID74" s="626"/>
      <c r="IE74" s="626"/>
      <c r="IF74" s="626"/>
      <c r="IG74" s="626"/>
      <c r="IH74" s="626"/>
      <c r="II74" s="626"/>
      <c r="IJ74" s="626"/>
      <c r="IK74" s="626"/>
      <c r="IL74" s="626"/>
      <c r="IM74" s="626"/>
      <c r="IN74" s="626"/>
      <c r="IO74" s="626"/>
      <c r="IP74" s="626"/>
      <c r="IQ74" s="626"/>
      <c r="IR74" s="626"/>
      <c r="IS74" s="626"/>
      <c r="IT74" s="626"/>
      <c r="IU74" s="626"/>
    </row>
    <row r="75" spans="1:255" s="627" customFormat="1" ht="12.75" customHeight="1" x14ac:dyDescent="0.2">
      <c r="A75" s="461"/>
      <c r="B75" s="648"/>
      <c r="C75" s="628"/>
      <c r="D75" s="628"/>
      <c r="E75" s="31"/>
      <c r="F75" s="498"/>
      <c r="G75" s="623"/>
      <c r="H75" s="647"/>
      <c r="I75" s="647"/>
      <c r="J75" s="615"/>
      <c r="K75" s="118"/>
      <c r="L75" s="12"/>
      <c r="M75" s="12"/>
      <c r="N75" s="499"/>
      <c r="O75" s="499"/>
      <c r="P75" s="630"/>
      <c r="Q75" s="509"/>
      <c r="R75" s="509"/>
      <c r="S75" s="623"/>
      <c r="T75" s="646"/>
      <c r="U75" s="646"/>
      <c r="V75" s="123"/>
      <c r="W75" s="123"/>
      <c r="X75" s="123"/>
      <c r="Y75" s="624"/>
      <c r="Z75" s="625"/>
      <c r="AA75" s="625"/>
      <c r="AB75" s="625"/>
      <c r="AC75" s="625"/>
      <c r="AD75" s="625"/>
      <c r="AE75" s="625"/>
      <c r="AF75" s="625"/>
      <c r="AG75" s="625"/>
      <c r="AH75" s="625"/>
      <c r="AI75" s="625"/>
      <c r="AJ75" s="625"/>
      <c r="AK75" s="625"/>
      <c r="AL75" s="625"/>
      <c r="AM75" s="625"/>
      <c r="AN75" s="625"/>
      <c r="AO75" s="625"/>
      <c r="AP75" s="625"/>
      <c r="AQ75" s="625"/>
      <c r="AR75" s="625"/>
      <c r="AS75" s="625"/>
      <c r="AT75" s="625"/>
      <c r="AU75" s="625"/>
      <c r="AV75" s="625"/>
      <c r="AW75" s="625"/>
      <c r="AX75" s="625"/>
      <c r="AY75" s="625"/>
      <c r="AZ75" s="625"/>
      <c r="BA75" s="625"/>
      <c r="BB75" s="625"/>
      <c r="BC75" s="625"/>
      <c r="BD75" s="625"/>
      <c r="BE75" s="625"/>
      <c r="BF75" s="626"/>
      <c r="BG75" s="626"/>
      <c r="BH75" s="626"/>
      <c r="BI75" s="626"/>
      <c r="BJ75" s="626"/>
      <c r="BK75" s="626"/>
      <c r="BL75" s="626"/>
      <c r="BM75" s="626"/>
      <c r="BN75" s="626"/>
      <c r="BO75" s="626"/>
      <c r="BP75" s="626"/>
      <c r="BQ75" s="626"/>
      <c r="BR75" s="626"/>
      <c r="BS75" s="626"/>
      <c r="BT75" s="626"/>
      <c r="BU75" s="626"/>
      <c r="BV75" s="626"/>
      <c r="BW75" s="626"/>
      <c r="BX75" s="626"/>
      <c r="BY75" s="626"/>
      <c r="BZ75" s="626"/>
      <c r="CA75" s="626"/>
      <c r="CB75" s="626"/>
      <c r="CC75" s="626"/>
      <c r="CD75" s="626"/>
      <c r="CE75" s="626"/>
      <c r="CF75" s="626"/>
      <c r="CG75" s="626"/>
      <c r="CH75" s="626"/>
      <c r="CI75" s="626"/>
      <c r="CJ75" s="626"/>
      <c r="CK75" s="626"/>
      <c r="CL75" s="626"/>
      <c r="CM75" s="626"/>
      <c r="CN75" s="626"/>
      <c r="CO75" s="626"/>
      <c r="CP75" s="626"/>
      <c r="CQ75" s="626"/>
      <c r="CR75" s="626"/>
      <c r="CS75" s="626"/>
      <c r="CT75" s="626"/>
      <c r="CU75" s="626"/>
      <c r="CV75" s="626"/>
      <c r="CW75" s="626"/>
      <c r="CX75" s="626"/>
      <c r="CY75" s="626"/>
      <c r="CZ75" s="626"/>
      <c r="DA75" s="626"/>
      <c r="DB75" s="626"/>
      <c r="DC75" s="626"/>
      <c r="DD75" s="626"/>
      <c r="DE75" s="626"/>
      <c r="DF75" s="626"/>
      <c r="DG75" s="626"/>
      <c r="DH75" s="626"/>
      <c r="DI75" s="626"/>
      <c r="DJ75" s="626"/>
      <c r="DK75" s="626"/>
      <c r="DL75" s="626"/>
      <c r="DM75" s="626"/>
      <c r="DN75" s="626"/>
      <c r="DO75" s="626"/>
      <c r="DP75" s="626"/>
      <c r="DQ75" s="626"/>
      <c r="DR75" s="626"/>
      <c r="DS75" s="626"/>
      <c r="DT75" s="626"/>
      <c r="DU75" s="626"/>
      <c r="DV75" s="626"/>
      <c r="DW75" s="626"/>
      <c r="DX75" s="626"/>
      <c r="DY75" s="626"/>
      <c r="DZ75" s="626"/>
      <c r="EA75" s="626"/>
      <c r="EB75" s="626"/>
      <c r="EC75" s="626"/>
      <c r="ED75" s="626"/>
      <c r="EE75" s="626"/>
      <c r="EF75" s="626"/>
      <c r="EG75" s="626"/>
      <c r="EH75" s="626"/>
      <c r="EI75" s="626"/>
      <c r="EJ75" s="626"/>
      <c r="EK75" s="626"/>
      <c r="EL75" s="626"/>
      <c r="EM75" s="626"/>
      <c r="EN75" s="626"/>
      <c r="EO75" s="626"/>
      <c r="EP75" s="626"/>
      <c r="EQ75" s="626"/>
      <c r="ER75" s="626"/>
      <c r="ES75" s="626"/>
      <c r="ET75" s="626"/>
      <c r="EU75" s="626"/>
      <c r="EV75" s="626"/>
      <c r="EW75" s="626"/>
      <c r="EX75" s="626"/>
      <c r="EY75" s="626"/>
      <c r="EZ75" s="626"/>
      <c r="FA75" s="626"/>
      <c r="FB75" s="626"/>
      <c r="FC75" s="626"/>
      <c r="FD75" s="626"/>
      <c r="FE75" s="626"/>
      <c r="FF75" s="626"/>
      <c r="FG75" s="626"/>
      <c r="FH75" s="626"/>
      <c r="FI75" s="626"/>
      <c r="FJ75" s="626"/>
      <c r="FK75" s="626"/>
      <c r="FL75" s="626"/>
      <c r="FM75" s="626"/>
      <c r="FN75" s="626"/>
      <c r="FO75" s="626"/>
      <c r="FP75" s="626"/>
      <c r="FQ75" s="626"/>
      <c r="FR75" s="626"/>
      <c r="FS75" s="626"/>
      <c r="FT75" s="626"/>
      <c r="FU75" s="626"/>
      <c r="FV75" s="626"/>
      <c r="FW75" s="626"/>
      <c r="FX75" s="626"/>
      <c r="FY75" s="626"/>
      <c r="FZ75" s="626"/>
      <c r="GA75" s="626"/>
      <c r="GB75" s="626"/>
      <c r="GC75" s="626"/>
      <c r="GD75" s="626"/>
      <c r="GE75" s="626"/>
      <c r="GF75" s="626"/>
      <c r="GG75" s="626"/>
      <c r="GH75" s="626"/>
      <c r="GI75" s="626"/>
      <c r="GJ75" s="626"/>
      <c r="GK75" s="626"/>
      <c r="GL75" s="626"/>
      <c r="GM75" s="626"/>
      <c r="GN75" s="626"/>
      <c r="GO75" s="626"/>
      <c r="GP75" s="626"/>
      <c r="GQ75" s="626"/>
      <c r="GR75" s="626"/>
      <c r="GS75" s="626"/>
      <c r="GT75" s="626"/>
      <c r="GU75" s="626"/>
      <c r="GV75" s="626"/>
      <c r="GW75" s="626"/>
      <c r="GX75" s="626"/>
      <c r="GY75" s="626"/>
      <c r="GZ75" s="626"/>
      <c r="HA75" s="626"/>
      <c r="HB75" s="626"/>
      <c r="HC75" s="626"/>
      <c r="HD75" s="626"/>
      <c r="HE75" s="626"/>
      <c r="HF75" s="626"/>
      <c r="HG75" s="626"/>
      <c r="HH75" s="626"/>
      <c r="HI75" s="626"/>
      <c r="HJ75" s="626"/>
      <c r="HK75" s="626"/>
      <c r="HL75" s="626"/>
      <c r="HM75" s="626"/>
      <c r="HN75" s="626"/>
      <c r="HO75" s="626"/>
      <c r="HP75" s="626"/>
      <c r="HQ75" s="626"/>
      <c r="HR75" s="626"/>
      <c r="HS75" s="626"/>
      <c r="HT75" s="626"/>
      <c r="HU75" s="626"/>
      <c r="HV75" s="626"/>
      <c r="HW75" s="626"/>
      <c r="HX75" s="626"/>
      <c r="HY75" s="626"/>
      <c r="HZ75" s="626"/>
      <c r="IA75" s="626"/>
      <c r="IB75" s="626"/>
      <c r="IC75" s="626"/>
      <c r="ID75" s="626"/>
      <c r="IE75" s="626"/>
      <c r="IF75" s="626"/>
      <c r="IG75" s="626"/>
      <c r="IH75" s="626"/>
      <c r="II75" s="626"/>
      <c r="IJ75" s="626"/>
      <c r="IK75" s="626"/>
      <c r="IL75" s="626"/>
      <c r="IM75" s="626"/>
      <c r="IN75" s="626"/>
      <c r="IO75" s="626"/>
      <c r="IP75" s="626"/>
      <c r="IQ75" s="626"/>
      <c r="IR75" s="626"/>
      <c r="IS75" s="626"/>
      <c r="IT75" s="626"/>
      <c r="IU75" s="626"/>
    </row>
    <row r="76" spans="1:255" s="627" customFormat="1" ht="12.75" customHeight="1" x14ac:dyDescent="0.2">
      <c r="A76" s="461"/>
      <c r="B76" s="648"/>
      <c r="C76" s="628"/>
      <c r="D76" s="628"/>
      <c r="E76" s="31"/>
      <c r="F76" s="498"/>
      <c r="G76" s="623"/>
      <c r="H76" s="647"/>
      <c r="I76" s="647"/>
      <c r="J76" s="615"/>
      <c r="K76" s="118"/>
      <c r="L76" s="12"/>
      <c r="M76" s="12"/>
      <c r="N76" s="499"/>
      <c r="O76" s="499"/>
      <c r="P76" s="630"/>
      <c r="Q76" s="509"/>
      <c r="R76" s="509"/>
      <c r="S76" s="623"/>
      <c r="T76" s="646"/>
      <c r="U76" s="646"/>
      <c r="V76" s="123"/>
      <c r="W76" s="123"/>
      <c r="X76" s="123"/>
      <c r="Y76" s="624"/>
      <c r="Z76" s="625"/>
      <c r="AA76" s="625"/>
      <c r="AB76" s="625"/>
      <c r="AC76" s="625"/>
      <c r="AD76" s="625"/>
      <c r="AE76" s="625"/>
      <c r="AF76" s="625"/>
      <c r="AG76" s="625"/>
      <c r="AH76" s="625"/>
      <c r="AI76" s="625"/>
      <c r="AJ76" s="625"/>
      <c r="AK76" s="625"/>
      <c r="AL76" s="625"/>
      <c r="AM76" s="625"/>
      <c r="AN76" s="625"/>
      <c r="AO76" s="625"/>
      <c r="AP76" s="625"/>
      <c r="AQ76" s="625"/>
      <c r="AR76" s="625"/>
      <c r="AS76" s="625"/>
      <c r="AT76" s="625"/>
      <c r="AU76" s="625"/>
      <c r="AV76" s="625"/>
      <c r="AW76" s="625"/>
      <c r="AX76" s="625"/>
      <c r="AY76" s="625"/>
      <c r="AZ76" s="625"/>
      <c r="BA76" s="625"/>
      <c r="BB76" s="625"/>
      <c r="BC76" s="625"/>
      <c r="BD76" s="625"/>
      <c r="BE76" s="625"/>
      <c r="BF76" s="626"/>
      <c r="BG76" s="626"/>
      <c r="BH76" s="626"/>
      <c r="BI76" s="626"/>
      <c r="BJ76" s="626"/>
      <c r="BK76" s="626"/>
      <c r="BL76" s="626"/>
      <c r="BM76" s="626"/>
      <c r="BN76" s="626"/>
      <c r="BO76" s="626"/>
      <c r="BP76" s="626"/>
      <c r="BQ76" s="626"/>
      <c r="BR76" s="626"/>
      <c r="BS76" s="626"/>
      <c r="BT76" s="626"/>
      <c r="BU76" s="626"/>
      <c r="BV76" s="626"/>
      <c r="BW76" s="626"/>
      <c r="BX76" s="626"/>
      <c r="BY76" s="626"/>
      <c r="BZ76" s="626"/>
      <c r="CA76" s="626"/>
      <c r="CB76" s="626"/>
      <c r="CC76" s="626"/>
      <c r="CD76" s="626"/>
      <c r="CE76" s="626"/>
      <c r="CF76" s="626"/>
      <c r="CG76" s="626"/>
      <c r="CH76" s="626"/>
      <c r="CI76" s="626"/>
      <c r="CJ76" s="626"/>
      <c r="CK76" s="626"/>
      <c r="CL76" s="626"/>
      <c r="CM76" s="626"/>
      <c r="CN76" s="626"/>
      <c r="CO76" s="626"/>
      <c r="CP76" s="626"/>
      <c r="CQ76" s="626"/>
      <c r="CR76" s="626"/>
      <c r="CS76" s="626"/>
      <c r="CT76" s="626"/>
      <c r="CU76" s="626"/>
      <c r="CV76" s="626"/>
      <c r="CW76" s="626"/>
      <c r="CX76" s="626"/>
      <c r="CY76" s="626"/>
      <c r="CZ76" s="626"/>
      <c r="DA76" s="626"/>
      <c r="DB76" s="626"/>
      <c r="DC76" s="626"/>
      <c r="DD76" s="626"/>
      <c r="DE76" s="626"/>
      <c r="DF76" s="626"/>
      <c r="DG76" s="626"/>
      <c r="DH76" s="626"/>
      <c r="DI76" s="626"/>
      <c r="DJ76" s="626"/>
      <c r="DK76" s="626"/>
      <c r="DL76" s="626"/>
      <c r="DM76" s="626"/>
      <c r="DN76" s="626"/>
      <c r="DO76" s="626"/>
      <c r="DP76" s="626"/>
      <c r="DQ76" s="626"/>
      <c r="DR76" s="626"/>
      <c r="DS76" s="626"/>
      <c r="DT76" s="626"/>
      <c r="DU76" s="626"/>
      <c r="DV76" s="626"/>
      <c r="DW76" s="626"/>
      <c r="DX76" s="626"/>
      <c r="DY76" s="626"/>
      <c r="DZ76" s="626"/>
      <c r="EA76" s="626"/>
      <c r="EB76" s="626"/>
      <c r="EC76" s="626"/>
      <c r="ED76" s="626"/>
      <c r="EE76" s="626"/>
      <c r="EF76" s="626"/>
      <c r="EG76" s="626"/>
      <c r="EH76" s="626"/>
      <c r="EI76" s="626"/>
      <c r="EJ76" s="626"/>
      <c r="EK76" s="626"/>
      <c r="EL76" s="626"/>
      <c r="EM76" s="626"/>
      <c r="EN76" s="626"/>
      <c r="EO76" s="626"/>
      <c r="EP76" s="626"/>
      <c r="EQ76" s="626"/>
      <c r="ER76" s="626"/>
      <c r="ES76" s="626"/>
      <c r="ET76" s="626"/>
      <c r="EU76" s="626"/>
      <c r="EV76" s="626"/>
      <c r="EW76" s="626"/>
      <c r="EX76" s="626"/>
      <c r="EY76" s="626"/>
      <c r="EZ76" s="626"/>
      <c r="FA76" s="626"/>
      <c r="FB76" s="626"/>
      <c r="FC76" s="626"/>
      <c r="FD76" s="626"/>
      <c r="FE76" s="626"/>
      <c r="FF76" s="626"/>
      <c r="FG76" s="626"/>
      <c r="FH76" s="626"/>
      <c r="FI76" s="626"/>
      <c r="FJ76" s="626"/>
      <c r="FK76" s="626"/>
      <c r="FL76" s="626"/>
      <c r="FM76" s="626"/>
      <c r="FN76" s="626"/>
      <c r="FO76" s="626"/>
      <c r="FP76" s="626"/>
      <c r="FQ76" s="626"/>
      <c r="FR76" s="626"/>
      <c r="FS76" s="626"/>
      <c r="FT76" s="626"/>
      <c r="FU76" s="626"/>
      <c r="FV76" s="626"/>
      <c r="FW76" s="626"/>
      <c r="FX76" s="626"/>
      <c r="FY76" s="626"/>
      <c r="FZ76" s="626"/>
      <c r="GA76" s="626"/>
      <c r="GB76" s="626"/>
      <c r="GC76" s="626"/>
      <c r="GD76" s="626"/>
      <c r="GE76" s="626"/>
      <c r="GF76" s="626"/>
      <c r="GG76" s="626"/>
      <c r="GH76" s="626"/>
      <c r="GI76" s="626"/>
      <c r="GJ76" s="626"/>
      <c r="GK76" s="626"/>
      <c r="GL76" s="626"/>
      <c r="GM76" s="626"/>
      <c r="GN76" s="626"/>
      <c r="GO76" s="626"/>
      <c r="GP76" s="626"/>
      <c r="GQ76" s="626"/>
      <c r="GR76" s="626"/>
      <c r="GS76" s="626"/>
      <c r="GT76" s="626"/>
      <c r="GU76" s="626"/>
      <c r="GV76" s="626"/>
      <c r="GW76" s="626"/>
      <c r="GX76" s="626"/>
      <c r="GY76" s="626"/>
      <c r="GZ76" s="626"/>
      <c r="HA76" s="626"/>
      <c r="HB76" s="626"/>
      <c r="HC76" s="626"/>
      <c r="HD76" s="626"/>
      <c r="HE76" s="626"/>
      <c r="HF76" s="626"/>
      <c r="HG76" s="626"/>
      <c r="HH76" s="626"/>
      <c r="HI76" s="626"/>
      <c r="HJ76" s="626"/>
      <c r="HK76" s="626"/>
      <c r="HL76" s="626"/>
      <c r="HM76" s="626"/>
      <c r="HN76" s="626"/>
      <c r="HO76" s="626"/>
      <c r="HP76" s="626"/>
      <c r="HQ76" s="626"/>
      <c r="HR76" s="626"/>
      <c r="HS76" s="626"/>
      <c r="HT76" s="626"/>
      <c r="HU76" s="626"/>
      <c r="HV76" s="626"/>
      <c r="HW76" s="626"/>
      <c r="HX76" s="626"/>
      <c r="HY76" s="626"/>
      <c r="HZ76" s="626"/>
      <c r="IA76" s="626"/>
      <c r="IB76" s="626"/>
      <c r="IC76" s="626"/>
      <c r="ID76" s="626"/>
      <c r="IE76" s="626"/>
      <c r="IF76" s="626"/>
      <c r="IG76" s="626"/>
      <c r="IH76" s="626"/>
      <c r="II76" s="626"/>
      <c r="IJ76" s="626"/>
      <c r="IK76" s="626"/>
      <c r="IL76" s="626"/>
      <c r="IM76" s="626"/>
      <c r="IN76" s="626"/>
      <c r="IO76" s="626"/>
      <c r="IP76" s="626"/>
      <c r="IQ76" s="626"/>
      <c r="IR76" s="626"/>
      <c r="IS76" s="626"/>
      <c r="IT76" s="626"/>
      <c r="IU76" s="626"/>
    </row>
    <row r="77" spans="1:255" s="627" customFormat="1" ht="12.75" customHeight="1" x14ac:dyDescent="0.2">
      <c r="A77" s="461"/>
      <c r="B77" s="645"/>
      <c r="C77" s="489"/>
      <c r="D77" s="489"/>
      <c r="E77" s="489"/>
      <c r="F77" s="489"/>
      <c r="G77" s="623"/>
      <c r="H77" s="490" t="s">
        <v>20</v>
      </c>
      <c r="I77" s="490" t="s">
        <v>20</v>
      </c>
      <c r="J77" s="615"/>
      <c r="K77" s="118"/>
      <c r="L77" s="12"/>
      <c r="M77" s="12"/>
      <c r="N77" s="499"/>
      <c r="O77" s="499"/>
      <c r="P77" s="630"/>
      <c r="Q77" s="509"/>
      <c r="R77" s="509"/>
      <c r="S77" s="623"/>
      <c r="T77" s="649"/>
      <c r="U77" s="649"/>
      <c r="V77" s="123"/>
      <c r="W77" s="123"/>
      <c r="X77" s="123"/>
      <c r="Y77" s="624"/>
      <c r="Z77" s="625"/>
      <c r="AA77" s="625"/>
      <c r="AB77" s="625"/>
      <c r="AC77" s="625"/>
      <c r="AD77" s="625"/>
      <c r="AE77" s="625"/>
      <c r="AF77" s="625"/>
      <c r="AG77" s="625"/>
      <c r="AH77" s="625"/>
      <c r="AI77" s="625"/>
      <c r="AJ77" s="625"/>
      <c r="AK77" s="625"/>
      <c r="AL77" s="625"/>
      <c r="AM77" s="625"/>
      <c r="AN77" s="625"/>
      <c r="AO77" s="625"/>
      <c r="AP77" s="625"/>
      <c r="AQ77" s="625"/>
      <c r="AR77" s="625"/>
      <c r="AS77" s="625"/>
      <c r="AT77" s="625"/>
      <c r="AU77" s="625"/>
      <c r="AV77" s="625"/>
      <c r="AW77" s="625"/>
      <c r="AX77" s="625"/>
      <c r="AY77" s="625"/>
      <c r="AZ77" s="625"/>
      <c r="BA77" s="625"/>
      <c r="BB77" s="625"/>
      <c r="BC77" s="625"/>
      <c r="BD77" s="625"/>
      <c r="BE77" s="625"/>
      <c r="BF77" s="626"/>
      <c r="BG77" s="626"/>
      <c r="BH77" s="626"/>
      <c r="BI77" s="626"/>
      <c r="BJ77" s="626"/>
      <c r="BK77" s="626"/>
      <c r="BL77" s="626"/>
      <c r="BM77" s="626"/>
      <c r="BN77" s="626"/>
      <c r="BO77" s="626"/>
      <c r="BP77" s="626"/>
      <c r="BQ77" s="626"/>
      <c r="BR77" s="626"/>
      <c r="BS77" s="626"/>
      <c r="BT77" s="626"/>
      <c r="BU77" s="626"/>
      <c r="BV77" s="626"/>
      <c r="BW77" s="626"/>
      <c r="BX77" s="626"/>
      <c r="BY77" s="626"/>
      <c r="BZ77" s="626"/>
      <c r="CA77" s="626"/>
      <c r="CB77" s="626"/>
      <c r="CC77" s="626"/>
      <c r="CD77" s="626"/>
      <c r="CE77" s="626"/>
      <c r="CF77" s="626"/>
      <c r="CG77" s="626"/>
      <c r="CH77" s="626"/>
      <c r="CI77" s="626"/>
      <c r="CJ77" s="626"/>
      <c r="CK77" s="626"/>
      <c r="CL77" s="626"/>
      <c r="CM77" s="626"/>
      <c r="CN77" s="626"/>
      <c r="CO77" s="626"/>
      <c r="CP77" s="626"/>
      <c r="CQ77" s="626"/>
      <c r="CR77" s="626"/>
      <c r="CS77" s="626"/>
      <c r="CT77" s="626"/>
      <c r="CU77" s="626"/>
      <c r="CV77" s="626"/>
      <c r="CW77" s="626"/>
      <c r="CX77" s="626"/>
      <c r="CY77" s="626"/>
      <c r="CZ77" s="626"/>
      <c r="DA77" s="626"/>
      <c r="DB77" s="626"/>
      <c r="DC77" s="626"/>
      <c r="DD77" s="626"/>
      <c r="DE77" s="626"/>
      <c r="DF77" s="626"/>
      <c r="DG77" s="626"/>
      <c r="DH77" s="626"/>
      <c r="DI77" s="626"/>
      <c r="DJ77" s="626"/>
      <c r="DK77" s="626"/>
      <c r="DL77" s="626"/>
      <c r="DM77" s="626"/>
      <c r="DN77" s="626"/>
      <c r="DO77" s="626"/>
      <c r="DP77" s="626"/>
      <c r="DQ77" s="626"/>
      <c r="DR77" s="626"/>
      <c r="DS77" s="626"/>
      <c r="DT77" s="626"/>
      <c r="DU77" s="626"/>
      <c r="DV77" s="626"/>
      <c r="DW77" s="626"/>
      <c r="DX77" s="626"/>
      <c r="DY77" s="626"/>
      <c r="DZ77" s="626"/>
      <c r="EA77" s="626"/>
      <c r="EB77" s="626"/>
      <c r="EC77" s="626"/>
      <c r="ED77" s="626"/>
      <c r="EE77" s="626"/>
      <c r="EF77" s="626"/>
      <c r="EG77" s="626"/>
      <c r="EH77" s="626"/>
      <c r="EI77" s="626"/>
      <c r="EJ77" s="626"/>
      <c r="EK77" s="626"/>
      <c r="EL77" s="626"/>
      <c r="EM77" s="626"/>
      <c r="EN77" s="626"/>
      <c r="EO77" s="626"/>
      <c r="EP77" s="626"/>
      <c r="EQ77" s="626"/>
      <c r="ER77" s="626"/>
      <c r="ES77" s="626"/>
      <c r="ET77" s="626"/>
      <c r="EU77" s="626"/>
      <c r="EV77" s="626"/>
      <c r="EW77" s="626"/>
      <c r="EX77" s="626"/>
      <c r="EY77" s="626"/>
      <c r="EZ77" s="626"/>
      <c r="FA77" s="626"/>
      <c r="FB77" s="626"/>
      <c r="FC77" s="626"/>
      <c r="FD77" s="626"/>
      <c r="FE77" s="626"/>
      <c r="FF77" s="626"/>
      <c r="FG77" s="626"/>
      <c r="FH77" s="626"/>
      <c r="FI77" s="626"/>
      <c r="FJ77" s="626"/>
      <c r="FK77" s="626"/>
      <c r="FL77" s="626"/>
      <c r="FM77" s="626"/>
      <c r="FN77" s="626"/>
      <c r="FO77" s="626"/>
      <c r="FP77" s="626"/>
      <c r="FQ77" s="626"/>
      <c r="FR77" s="626"/>
      <c r="FS77" s="626"/>
      <c r="FT77" s="626"/>
      <c r="FU77" s="626"/>
      <c r="FV77" s="626"/>
      <c r="FW77" s="626"/>
      <c r="FX77" s="626"/>
      <c r="FY77" s="626"/>
      <c r="FZ77" s="626"/>
      <c r="GA77" s="626"/>
      <c r="GB77" s="626"/>
      <c r="GC77" s="626"/>
      <c r="GD77" s="626"/>
      <c r="GE77" s="626"/>
      <c r="GF77" s="626"/>
      <c r="GG77" s="626"/>
      <c r="GH77" s="626"/>
      <c r="GI77" s="626"/>
      <c r="GJ77" s="626"/>
      <c r="GK77" s="626"/>
      <c r="GL77" s="626"/>
      <c r="GM77" s="626"/>
      <c r="GN77" s="626"/>
      <c r="GO77" s="626"/>
      <c r="GP77" s="626"/>
      <c r="GQ77" s="626"/>
      <c r="GR77" s="626"/>
      <c r="GS77" s="626"/>
      <c r="GT77" s="626"/>
      <c r="GU77" s="626"/>
      <c r="GV77" s="626"/>
      <c r="GW77" s="626"/>
      <c r="GX77" s="626"/>
      <c r="GY77" s="626"/>
      <c r="GZ77" s="626"/>
      <c r="HA77" s="626"/>
      <c r="HB77" s="626"/>
      <c r="HC77" s="626"/>
      <c r="HD77" s="626"/>
      <c r="HE77" s="626"/>
      <c r="HF77" s="626"/>
      <c r="HG77" s="626"/>
      <c r="HH77" s="626"/>
      <c r="HI77" s="626"/>
      <c r="HJ77" s="626"/>
      <c r="HK77" s="626"/>
      <c r="HL77" s="626"/>
      <c r="HM77" s="626"/>
      <c r="HN77" s="626"/>
      <c r="HO77" s="626"/>
      <c r="HP77" s="626"/>
      <c r="HQ77" s="626"/>
      <c r="HR77" s="626"/>
      <c r="HS77" s="626"/>
      <c r="HT77" s="626"/>
      <c r="HU77" s="626"/>
      <c r="HV77" s="626"/>
      <c r="HW77" s="626"/>
      <c r="HX77" s="626"/>
      <c r="HY77" s="626"/>
      <c r="HZ77" s="626"/>
      <c r="IA77" s="626"/>
      <c r="IB77" s="626"/>
      <c r="IC77" s="626"/>
      <c r="ID77" s="626"/>
      <c r="IE77" s="626"/>
      <c r="IF77" s="626"/>
      <c r="IG77" s="626"/>
      <c r="IH77" s="626"/>
      <c r="II77" s="626"/>
      <c r="IJ77" s="626"/>
      <c r="IK77" s="626"/>
      <c r="IL77" s="626"/>
      <c r="IM77" s="626"/>
      <c r="IN77" s="626"/>
      <c r="IO77" s="626"/>
      <c r="IP77" s="626"/>
      <c r="IQ77" s="626"/>
      <c r="IR77" s="626"/>
      <c r="IS77" s="626"/>
      <c r="IT77" s="626"/>
      <c r="IU77" s="626"/>
    </row>
    <row r="78" spans="1:255" s="627" customFormat="1" ht="12.75" customHeight="1" x14ac:dyDescent="0.2">
      <c r="A78" s="461"/>
      <c r="B78" s="645"/>
      <c r="C78" s="645"/>
      <c r="D78" s="489"/>
      <c r="E78" s="489"/>
      <c r="F78" s="489"/>
      <c r="G78" s="623"/>
      <c r="H78" s="490" t="s">
        <v>20</v>
      </c>
      <c r="I78" s="490" t="s">
        <v>20</v>
      </c>
      <c r="J78" s="615"/>
      <c r="K78" s="118"/>
      <c r="L78" s="12"/>
      <c r="M78" s="12"/>
      <c r="N78" s="499"/>
      <c r="O78" s="499"/>
      <c r="P78" s="630"/>
      <c r="Q78" s="509"/>
      <c r="R78" s="509"/>
      <c r="S78" s="623"/>
      <c r="T78" s="649"/>
      <c r="U78" s="649"/>
      <c r="V78" s="123"/>
      <c r="W78" s="123"/>
      <c r="X78" s="123"/>
      <c r="Y78" s="624"/>
      <c r="Z78" s="625"/>
      <c r="AA78" s="625"/>
      <c r="AB78" s="625"/>
      <c r="AC78" s="625"/>
      <c r="AD78" s="625"/>
      <c r="AE78" s="625"/>
      <c r="AF78" s="625"/>
      <c r="AG78" s="625"/>
      <c r="AH78" s="625"/>
      <c r="AI78" s="625"/>
      <c r="AJ78" s="625"/>
      <c r="AK78" s="625"/>
      <c r="AL78" s="625"/>
      <c r="AM78" s="625"/>
      <c r="AN78" s="625"/>
      <c r="AO78" s="625"/>
      <c r="AP78" s="625"/>
      <c r="AQ78" s="625"/>
      <c r="AR78" s="625"/>
      <c r="AS78" s="625"/>
      <c r="AT78" s="625"/>
      <c r="AU78" s="625"/>
      <c r="AV78" s="625"/>
      <c r="AW78" s="625"/>
      <c r="AX78" s="625"/>
      <c r="AY78" s="625"/>
      <c r="AZ78" s="625"/>
      <c r="BA78" s="625"/>
      <c r="BB78" s="625"/>
      <c r="BC78" s="625"/>
      <c r="BD78" s="625"/>
      <c r="BE78" s="625"/>
      <c r="BF78" s="626"/>
      <c r="BG78" s="626"/>
      <c r="BH78" s="626"/>
      <c r="BI78" s="626"/>
      <c r="BJ78" s="626"/>
      <c r="BK78" s="626"/>
      <c r="BL78" s="626"/>
      <c r="BM78" s="626"/>
      <c r="BN78" s="626"/>
      <c r="BO78" s="626"/>
      <c r="BP78" s="626"/>
      <c r="BQ78" s="626"/>
      <c r="BR78" s="626"/>
      <c r="BS78" s="626"/>
      <c r="BT78" s="626"/>
      <c r="BU78" s="626"/>
      <c r="BV78" s="626"/>
      <c r="BW78" s="626"/>
      <c r="BX78" s="626"/>
      <c r="BY78" s="626"/>
      <c r="BZ78" s="626"/>
      <c r="CA78" s="626"/>
      <c r="CB78" s="626"/>
      <c r="CC78" s="626"/>
      <c r="CD78" s="626"/>
      <c r="CE78" s="626"/>
      <c r="CF78" s="626"/>
      <c r="CG78" s="626"/>
      <c r="CH78" s="626"/>
      <c r="CI78" s="626"/>
      <c r="CJ78" s="626"/>
      <c r="CK78" s="626"/>
      <c r="CL78" s="626"/>
      <c r="CM78" s="626"/>
      <c r="CN78" s="626"/>
      <c r="CO78" s="626"/>
      <c r="CP78" s="626"/>
      <c r="CQ78" s="626"/>
      <c r="CR78" s="626"/>
      <c r="CS78" s="626"/>
      <c r="CT78" s="626"/>
      <c r="CU78" s="626"/>
      <c r="CV78" s="626"/>
      <c r="CW78" s="626"/>
      <c r="CX78" s="626"/>
      <c r="CY78" s="626"/>
      <c r="CZ78" s="626"/>
      <c r="DA78" s="626"/>
      <c r="DB78" s="626"/>
      <c r="DC78" s="626"/>
      <c r="DD78" s="626"/>
      <c r="DE78" s="626"/>
      <c r="DF78" s="626"/>
      <c r="DG78" s="626"/>
      <c r="DH78" s="626"/>
      <c r="DI78" s="626"/>
      <c r="DJ78" s="626"/>
      <c r="DK78" s="626"/>
      <c r="DL78" s="626"/>
      <c r="DM78" s="626"/>
      <c r="DN78" s="626"/>
      <c r="DO78" s="626"/>
      <c r="DP78" s="626"/>
      <c r="DQ78" s="626"/>
      <c r="DR78" s="626"/>
      <c r="DS78" s="626"/>
      <c r="DT78" s="626"/>
      <c r="DU78" s="626"/>
      <c r="DV78" s="626"/>
      <c r="DW78" s="626"/>
      <c r="DX78" s="626"/>
      <c r="DY78" s="626"/>
      <c r="DZ78" s="626"/>
      <c r="EA78" s="626"/>
      <c r="EB78" s="626"/>
      <c r="EC78" s="626"/>
      <c r="ED78" s="626"/>
      <c r="EE78" s="626"/>
      <c r="EF78" s="626"/>
      <c r="EG78" s="626"/>
      <c r="EH78" s="626"/>
      <c r="EI78" s="626"/>
      <c r="EJ78" s="626"/>
      <c r="EK78" s="626"/>
      <c r="EL78" s="626"/>
      <c r="EM78" s="626"/>
      <c r="EN78" s="626"/>
      <c r="EO78" s="626"/>
      <c r="EP78" s="626"/>
      <c r="EQ78" s="626"/>
      <c r="ER78" s="626"/>
      <c r="ES78" s="626"/>
      <c r="ET78" s="626"/>
      <c r="EU78" s="626"/>
      <c r="EV78" s="626"/>
      <c r="EW78" s="626"/>
      <c r="EX78" s="626"/>
      <c r="EY78" s="626"/>
      <c r="EZ78" s="626"/>
      <c r="FA78" s="626"/>
      <c r="FB78" s="626"/>
      <c r="FC78" s="626"/>
      <c r="FD78" s="626"/>
      <c r="FE78" s="626"/>
      <c r="FF78" s="626"/>
      <c r="FG78" s="626"/>
      <c r="FH78" s="626"/>
      <c r="FI78" s="626"/>
      <c r="FJ78" s="626"/>
      <c r="FK78" s="626"/>
      <c r="FL78" s="626"/>
      <c r="FM78" s="626"/>
      <c r="FN78" s="626"/>
      <c r="FO78" s="626"/>
      <c r="FP78" s="626"/>
      <c r="FQ78" s="626"/>
      <c r="FR78" s="626"/>
      <c r="FS78" s="626"/>
      <c r="FT78" s="626"/>
      <c r="FU78" s="626"/>
      <c r="FV78" s="626"/>
      <c r="FW78" s="626"/>
      <c r="FX78" s="626"/>
      <c r="FY78" s="626"/>
      <c r="FZ78" s="626"/>
      <c r="GA78" s="626"/>
      <c r="GB78" s="626"/>
      <c r="GC78" s="626"/>
      <c r="GD78" s="626"/>
      <c r="GE78" s="626"/>
      <c r="GF78" s="626"/>
      <c r="GG78" s="626"/>
      <c r="GH78" s="626"/>
      <c r="GI78" s="626"/>
      <c r="GJ78" s="626"/>
      <c r="GK78" s="626"/>
      <c r="GL78" s="626"/>
      <c r="GM78" s="626"/>
      <c r="GN78" s="626"/>
      <c r="GO78" s="626"/>
      <c r="GP78" s="626"/>
      <c r="GQ78" s="626"/>
      <c r="GR78" s="626"/>
      <c r="GS78" s="626"/>
      <c r="GT78" s="626"/>
      <c r="GU78" s="626"/>
      <c r="GV78" s="626"/>
      <c r="GW78" s="626"/>
      <c r="GX78" s="626"/>
      <c r="GY78" s="626"/>
      <c r="GZ78" s="626"/>
      <c r="HA78" s="626"/>
      <c r="HB78" s="626"/>
      <c r="HC78" s="626"/>
      <c r="HD78" s="626"/>
      <c r="HE78" s="626"/>
      <c r="HF78" s="626"/>
      <c r="HG78" s="626"/>
      <c r="HH78" s="626"/>
      <c r="HI78" s="626"/>
      <c r="HJ78" s="626"/>
      <c r="HK78" s="626"/>
      <c r="HL78" s="626"/>
      <c r="HM78" s="626"/>
      <c r="HN78" s="626"/>
      <c r="HO78" s="626"/>
      <c r="HP78" s="626"/>
      <c r="HQ78" s="626"/>
      <c r="HR78" s="626"/>
      <c r="HS78" s="626"/>
      <c r="HT78" s="626"/>
      <c r="HU78" s="626"/>
      <c r="HV78" s="626"/>
      <c r="HW78" s="626"/>
      <c r="HX78" s="626"/>
      <c r="HY78" s="626"/>
      <c r="HZ78" s="626"/>
      <c r="IA78" s="626"/>
      <c r="IB78" s="626"/>
      <c r="IC78" s="626"/>
      <c r="ID78" s="626"/>
      <c r="IE78" s="626"/>
      <c r="IF78" s="626"/>
      <c r="IG78" s="626"/>
      <c r="IH78" s="626"/>
      <c r="II78" s="626"/>
      <c r="IJ78" s="626"/>
      <c r="IK78" s="626"/>
      <c r="IL78" s="626"/>
      <c r="IM78" s="626"/>
      <c r="IN78" s="626"/>
      <c r="IO78" s="626"/>
      <c r="IP78" s="626"/>
      <c r="IQ78" s="626"/>
      <c r="IR78" s="626"/>
      <c r="IS78" s="626"/>
      <c r="IT78" s="626"/>
      <c r="IU78" s="626"/>
    </row>
    <row r="79" spans="1:255" s="627" customFormat="1" ht="12.75" customHeight="1" x14ac:dyDescent="0.2">
      <c r="A79" s="461"/>
      <c r="B79" s="645"/>
      <c r="C79" s="645"/>
      <c r="D79" s="489"/>
      <c r="E79" s="489"/>
      <c r="F79" s="489"/>
      <c r="G79" s="623"/>
      <c r="H79" s="490" t="s">
        <v>20</v>
      </c>
      <c r="I79" s="490" t="s">
        <v>20</v>
      </c>
      <c r="J79" s="615"/>
      <c r="K79" s="118"/>
      <c r="L79" s="12"/>
      <c r="M79" s="12"/>
      <c r="N79" s="499"/>
      <c r="O79" s="499"/>
      <c r="P79" s="630"/>
      <c r="Q79" s="509"/>
      <c r="R79" s="509"/>
      <c r="S79" s="623"/>
      <c r="T79" s="649"/>
      <c r="U79" s="649"/>
      <c r="V79" s="123"/>
      <c r="W79" s="123"/>
      <c r="X79" s="123"/>
      <c r="Y79" s="624"/>
      <c r="Z79" s="625"/>
      <c r="AA79" s="625"/>
      <c r="AB79" s="625"/>
      <c r="AC79" s="625"/>
      <c r="AD79" s="625"/>
      <c r="AE79" s="625"/>
      <c r="AF79" s="625"/>
      <c r="AG79" s="625"/>
      <c r="AH79" s="625"/>
      <c r="AI79" s="625"/>
      <c r="AJ79" s="625"/>
      <c r="AK79" s="625"/>
      <c r="AL79" s="625"/>
      <c r="AM79" s="625"/>
      <c r="AN79" s="625"/>
      <c r="AO79" s="625"/>
      <c r="AP79" s="625"/>
      <c r="AQ79" s="625"/>
      <c r="AR79" s="625"/>
      <c r="AS79" s="625"/>
      <c r="AT79" s="625"/>
      <c r="AU79" s="625"/>
      <c r="AV79" s="625"/>
      <c r="AW79" s="625"/>
      <c r="AX79" s="625"/>
      <c r="AY79" s="625"/>
      <c r="AZ79" s="625"/>
      <c r="BA79" s="625"/>
      <c r="BB79" s="625"/>
      <c r="BC79" s="625"/>
      <c r="BD79" s="625"/>
      <c r="BE79" s="625"/>
      <c r="BF79" s="626"/>
      <c r="BG79" s="626"/>
      <c r="BH79" s="626"/>
      <c r="BI79" s="626"/>
      <c r="BJ79" s="626"/>
      <c r="BK79" s="626"/>
      <c r="BL79" s="626"/>
      <c r="BM79" s="626"/>
      <c r="BN79" s="626"/>
      <c r="BO79" s="626"/>
      <c r="BP79" s="626"/>
      <c r="BQ79" s="626"/>
      <c r="BR79" s="626"/>
      <c r="BS79" s="626"/>
      <c r="BT79" s="626"/>
      <c r="BU79" s="626"/>
      <c r="BV79" s="626"/>
      <c r="BW79" s="626"/>
      <c r="BX79" s="626"/>
      <c r="BY79" s="626"/>
      <c r="BZ79" s="626"/>
      <c r="CA79" s="626"/>
      <c r="CB79" s="626"/>
      <c r="CC79" s="626"/>
      <c r="CD79" s="626"/>
      <c r="CE79" s="626"/>
      <c r="CF79" s="626"/>
      <c r="CG79" s="626"/>
      <c r="CH79" s="626"/>
      <c r="CI79" s="626"/>
      <c r="CJ79" s="626"/>
      <c r="CK79" s="626"/>
      <c r="CL79" s="626"/>
      <c r="CM79" s="626"/>
      <c r="CN79" s="626"/>
      <c r="CO79" s="626"/>
      <c r="CP79" s="626"/>
      <c r="CQ79" s="626"/>
      <c r="CR79" s="626"/>
      <c r="CS79" s="626"/>
      <c r="CT79" s="626"/>
      <c r="CU79" s="626"/>
      <c r="CV79" s="626"/>
      <c r="CW79" s="626"/>
      <c r="CX79" s="626"/>
      <c r="CY79" s="626"/>
      <c r="CZ79" s="626"/>
      <c r="DA79" s="626"/>
      <c r="DB79" s="626"/>
      <c r="DC79" s="626"/>
      <c r="DD79" s="626"/>
      <c r="DE79" s="626"/>
      <c r="DF79" s="626"/>
      <c r="DG79" s="626"/>
      <c r="DH79" s="626"/>
      <c r="DI79" s="626"/>
      <c r="DJ79" s="626"/>
      <c r="DK79" s="626"/>
      <c r="DL79" s="626"/>
      <c r="DM79" s="626"/>
      <c r="DN79" s="626"/>
      <c r="DO79" s="626"/>
      <c r="DP79" s="626"/>
      <c r="DQ79" s="626"/>
      <c r="DR79" s="626"/>
      <c r="DS79" s="626"/>
      <c r="DT79" s="626"/>
      <c r="DU79" s="626"/>
      <c r="DV79" s="626"/>
      <c r="DW79" s="626"/>
      <c r="DX79" s="626"/>
      <c r="DY79" s="626"/>
      <c r="DZ79" s="626"/>
      <c r="EA79" s="626"/>
      <c r="EB79" s="626"/>
      <c r="EC79" s="626"/>
      <c r="ED79" s="626"/>
      <c r="EE79" s="626"/>
      <c r="EF79" s="626"/>
      <c r="EG79" s="626"/>
      <c r="EH79" s="626"/>
      <c r="EI79" s="626"/>
      <c r="EJ79" s="626"/>
      <c r="EK79" s="626"/>
      <c r="EL79" s="626"/>
      <c r="EM79" s="626"/>
      <c r="EN79" s="626"/>
      <c r="EO79" s="626"/>
      <c r="EP79" s="626"/>
      <c r="EQ79" s="626"/>
      <c r="ER79" s="626"/>
      <c r="ES79" s="626"/>
      <c r="ET79" s="626"/>
      <c r="EU79" s="626"/>
      <c r="EV79" s="626"/>
      <c r="EW79" s="626"/>
      <c r="EX79" s="626"/>
      <c r="EY79" s="626"/>
      <c r="EZ79" s="626"/>
      <c r="FA79" s="626"/>
      <c r="FB79" s="626"/>
      <c r="FC79" s="626"/>
      <c r="FD79" s="626"/>
      <c r="FE79" s="626"/>
      <c r="FF79" s="626"/>
      <c r="FG79" s="626"/>
      <c r="FH79" s="626"/>
      <c r="FI79" s="626"/>
      <c r="FJ79" s="626"/>
      <c r="FK79" s="626"/>
      <c r="FL79" s="626"/>
      <c r="FM79" s="626"/>
      <c r="FN79" s="626"/>
      <c r="FO79" s="626"/>
      <c r="FP79" s="626"/>
      <c r="FQ79" s="626"/>
      <c r="FR79" s="626"/>
      <c r="FS79" s="626"/>
      <c r="FT79" s="626"/>
      <c r="FU79" s="626"/>
      <c r="FV79" s="626"/>
      <c r="FW79" s="626"/>
      <c r="FX79" s="626"/>
      <c r="FY79" s="626"/>
      <c r="FZ79" s="626"/>
      <c r="GA79" s="626"/>
      <c r="GB79" s="626"/>
      <c r="GC79" s="626"/>
      <c r="GD79" s="626"/>
      <c r="GE79" s="626"/>
      <c r="GF79" s="626"/>
      <c r="GG79" s="626"/>
      <c r="GH79" s="626"/>
      <c r="GI79" s="626"/>
      <c r="GJ79" s="626"/>
      <c r="GK79" s="626"/>
      <c r="GL79" s="626"/>
      <c r="GM79" s="626"/>
      <c r="GN79" s="626"/>
      <c r="GO79" s="626"/>
      <c r="GP79" s="626"/>
      <c r="GQ79" s="626"/>
      <c r="GR79" s="626"/>
      <c r="GS79" s="626"/>
      <c r="GT79" s="626"/>
      <c r="GU79" s="626"/>
      <c r="GV79" s="626"/>
      <c r="GW79" s="626"/>
      <c r="GX79" s="626"/>
      <c r="GY79" s="626"/>
      <c r="GZ79" s="626"/>
      <c r="HA79" s="626"/>
      <c r="HB79" s="626"/>
      <c r="HC79" s="626"/>
      <c r="HD79" s="626"/>
      <c r="HE79" s="626"/>
      <c r="HF79" s="626"/>
      <c r="HG79" s="626"/>
      <c r="HH79" s="626"/>
      <c r="HI79" s="626"/>
      <c r="HJ79" s="626"/>
      <c r="HK79" s="626"/>
      <c r="HL79" s="626"/>
      <c r="HM79" s="626"/>
      <c r="HN79" s="626"/>
      <c r="HO79" s="626"/>
      <c r="HP79" s="626"/>
      <c r="HQ79" s="626"/>
      <c r="HR79" s="626"/>
      <c r="HS79" s="626"/>
      <c r="HT79" s="626"/>
      <c r="HU79" s="626"/>
      <c r="HV79" s="626"/>
      <c r="HW79" s="626"/>
      <c r="HX79" s="626"/>
      <c r="HY79" s="626"/>
      <c r="HZ79" s="626"/>
      <c r="IA79" s="626"/>
      <c r="IB79" s="626"/>
      <c r="IC79" s="626"/>
      <c r="ID79" s="626"/>
      <c r="IE79" s="626"/>
      <c r="IF79" s="626"/>
      <c r="IG79" s="626"/>
      <c r="IH79" s="626"/>
      <c r="II79" s="626"/>
      <c r="IJ79" s="626"/>
      <c r="IK79" s="626"/>
      <c r="IL79" s="626"/>
      <c r="IM79" s="626"/>
      <c r="IN79" s="626"/>
      <c r="IO79" s="626"/>
      <c r="IP79" s="626"/>
      <c r="IQ79" s="626"/>
      <c r="IR79" s="626"/>
      <c r="IS79" s="626"/>
      <c r="IT79" s="626"/>
      <c r="IU79" s="626"/>
    </row>
    <row r="80" spans="1:255" s="627" customFormat="1" ht="12.75" customHeight="1" x14ac:dyDescent="0.2">
      <c r="A80" s="461"/>
      <c r="B80" s="645"/>
      <c r="C80" s="645"/>
      <c r="D80" s="489"/>
      <c r="E80" s="489"/>
      <c r="F80" s="489"/>
      <c r="G80" s="623"/>
      <c r="H80" s="490" t="s">
        <v>20</v>
      </c>
      <c r="I80" s="490" t="s">
        <v>20</v>
      </c>
      <c r="J80" s="615"/>
      <c r="K80" s="118"/>
      <c r="L80" s="12"/>
      <c r="M80" s="12"/>
      <c r="N80" s="499"/>
      <c r="O80" s="499"/>
      <c r="P80" s="630"/>
      <c r="Q80" s="509"/>
      <c r="R80" s="509"/>
      <c r="S80" s="623"/>
      <c r="T80" s="649"/>
      <c r="U80" s="649"/>
      <c r="V80" s="123"/>
      <c r="W80" s="123"/>
      <c r="X80" s="123"/>
      <c r="Y80" s="624"/>
      <c r="Z80" s="625"/>
      <c r="AA80" s="625"/>
      <c r="AB80" s="625"/>
      <c r="AC80" s="625"/>
      <c r="AD80" s="625"/>
      <c r="AE80" s="625"/>
      <c r="AF80" s="625"/>
      <c r="AG80" s="625"/>
      <c r="AH80" s="625"/>
      <c r="AI80" s="625"/>
      <c r="AJ80" s="625"/>
      <c r="AK80" s="625"/>
      <c r="AL80" s="625"/>
      <c r="AM80" s="625"/>
      <c r="AN80" s="625"/>
      <c r="AO80" s="625"/>
      <c r="AP80" s="625"/>
      <c r="AQ80" s="625"/>
      <c r="AR80" s="625"/>
      <c r="AS80" s="625"/>
      <c r="AT80" s="625"/>
      <c r="AU80" s="625"/>
      <c r="AV80" s="625"/>
      <c r="AW80" s="625"/>
      <c r="AX80" s="625"/>
      <c r="AY80" s="625"/>
      <c r="AZ80" s="625"/>
      <c r="BA80" s="625"/>
      <c r="BB80" s="625"/>
      <c r="BC80" s="625"/>
      <c r="BD80" s="625"/>
      <c r="BE80" s="625"/>
      <c r="BF80" s="626"/>
      <c r="BG80" s="626"/>
      <c r="BH80" s="626"/>
      <c r="BI80" s="626"/>
      <c r="BJ80" s="626"/>
      <c r="BK80" s="626"/>
      <c r="BL80" s="626"/>
      <c r="BM80" s="626"/>
      <c r="BN80" s="626"/>
      <c r="BO80" s="626"/>
      <c r="BP80" s="626"/>
      <c r="BQ80" s="626"/>
      <c r="BR80" s="626"/>
      <c r="BS80" s="626"/>
      <c r="BT80" s="626"/>
      <c r="BU80" s="626"/>
      <c r="BV80" s="626"/>
      <c r="BW80" s="626"/>
      <c r="BX80" s="626"/>
      <c r="BY80" s="626"/>
      <c r="BZ80" s="626"/>
      <c r="CA80" s="626"/>
      <c r="CB80" s="626"/>
      <c r="CC80" s="626"/>
      <c r="CD80" s="626"/>
      <c r="CE80" s="626"/>
      <c r="CF80" s="626"/>
      <c r="CG80" s="626"/>
      <c r="CH80" s="626"/>
      <c r="CI80" s="626"/>
      <c r="CJ80" s="626"/>
      <c r="CK80" s="626"/>
      <c r="CL80" s="626"/>
      <c r="CM80" s="626"/>
      <c r="CN80" s="626"/>
      <c r="CO80" s="626"/>
      <c r="CP80" s="626"/>
      <c r="CQ80" s="626"/>
      <c r="CR80" s="626"/>
      <c r="CS80" s="626"/>
      <c r="CT80" s="626"/>
      <c r="CU80" s="626"/>
      <c r="CV80" s="626"/>
      <c r="CW80" s="626"/>
      <c r="CX80" s="626"/>
      <c r="CY80" s="626"/>
      <c r="CZ80" s="626"/>
      <c r="DA80" s="626"/>
      <c r="DB80" s="626"/>
      <c r="DC80" s="626"/>
      <c r="DD80" s="626"/>
      <c r="DE80" s="626"/>
      <c r="DF80" s="626"/>
      <c r="DG80" s="626"/>
      <c r="DH80" s="626"/>
      <c r="DI80" s="626"/>
      <c r="DJ80" s="626"/>
      <c r="DK80" s="626"/>
      <c r="DL80" s="626"/>
      <c r="DM80" s="626"/>
      <c r="DN80" s="626"/>
      <c r="DO80" s="626"/>
      <c r="DP80" s="626"/>
      <c r="DQ80" s="626"/>
      <c r="DR80" s="626"/>
      <c r="DS80" s="626"/>
      <c r="DT80" s="626"/>
      <c r="DU80" s="626"/>
      <c r="DV80" s="626"/>
      <c r="DW80" s="626"/>
      <c r="DX80" s="626"/>
      <c r="DY80" s="626"/>
      <c r="DZ80" s="626"/>
      <c r="EA80" s="626"/>
      <c r="EB80" s="626"/>
      <c r="EC80" s="626"/>
      <c r="ED80" s="626"/>
      <c r="EE80" s="626"/>
      <c r="EF80" s="626"/>
      <c r="EG80" s="626"/>
      <c r="EH80" s="626"/>
      <c r="EI80" s="626"/>
      <c r="EJ80" s="626"/>
      <c r="EK80" s="626"/>
      <c r="EL80" s="626"/>
      <c r="EM80" s="626"/>
      <c r="EN80" s="626"/>
      <c r="EO80" s="626"/>
      <c r="EP80" s="626"/>
      <c r="EQ80" s="626"/>
      <c r="ER80" s="626"/>
      <c r="ES80" s="626"/>
      <c r="ET80" s="626"/>
      <c r="EU80" s="626"/>
      <c r="EV80" s="626"/>
      <c r="EW80" s="626"/>
      <c r="EX80" s="626"/>
      <c r="EY80" s="626"/>
      <c r="EZ80" s="626"/>
      <c r="FA80" s="626"/>
      <c r="FB80" s="626"/>
      <c r="FC80" s="626"/>
      <c r="FD80" s="626"/>
      <c r="FE80" s="626"/>
      <c r="FF80" s="626"/>
      <c r="FG80" s="626"/>
      <c r="FH80" s="626"/>
      <c r="FI80" s="626"/>
      <c r="FJ80" s="626"/>
      <c r="FK80" s="626"/>
      <c r="FL80" s="626"/>
      <c r="FM80" s="626"/>
      <c r="FN80" s="626"/>
      <c r="FO80" s="626"/>
      <c r="FP80" s="626"/>
      <c r="FQ80" s="626"/>
      <c r="FR80" s="626"/>
      <c r="FS80" s="626"/>
      <c r="FT80" s="626"/>
      <c r="FU80" s="626"/>
      <c r="FV80" s="626"/>
      <c r="FW80" s="626"/>
      <c r="FX80" s="626"/>
      <c r="FY80" s="626"/>
      <c r="FZ80" s="626"/>
      <c r="GA80" s="626"/>
      <c r="GB80" s="626"/>
      <c r="GC80" s="626"/>
      <c r="GD80" s="626"/>
      <c r="GE80" s="626"/>
      <c r="GF80" s="626"/>
      <c r="GG80" s="626"/>
      <c r="GH80" s="626"/>
      <c r="GI80" s="626"/>
      <c r="GJ80" s="626"/>
      <c r="GK80" s="626"/>
      <c r="GL80" s="626"/>
      <c r="GM80" s="626"/>
      <c r="GN80" s="626"/>
      <c r="GO80" s="626"/>
      <c r="GP80" s="626"/>
      <c r="GQ80" s="626"/>
      <c r="GR80" s="626"/>
      <c r="GS80" s="626"/>
      <c r="GT80" s="626"/>
      <c r="GU80" s="626"/>
      <c r="GV80" s="626"/>
      <c r="GW80" s="626"/>
      <c r="GX80" s="626"/>
      <c r="GY80" s="626"/>
      <c r="GZ80" s="626"/>
      <c r="HA80" s="626"/>
      <c r="HB80" s="626"/>
      <c r="HC80" s="626"/>
      <c r="HD80" s="626"/>
      <c r="HE80" s="626"/>
      <c r="HF80" s="626"/>
      <c r="HG80" s="626"/>
      <c r="HH80" s="626"/>
      <c r="HI80" s="626"/>
      <c r="HJ80" s="626"/>
      <c r="HK80" s="626"/>
      <c r="HL80" s="626"/>
      <c r="HM80" s="626"/>
      <c r="HN80" s="626"/>
      <c r="HO80" s="626"/>
      <c r="HP80" s="626"/>
      <c r="HQ80" s="626"/>
      <c r="HR80" s="626"/>
      <c r="HS80" s="626"/>
      <c r="HT80" s="626"/>
      <c r="HU80" s="626"/>
      <c r="HV80" s="626"/>
      <c r="HW80" s="626"/>
      <c r="HX80" s="626"/>
      <c r="HY80" s="626"/>
      <c r="HZ80" s="626"/>
      <c r="IA80" s="626"/>
      <c r="IB80" s="626"/>
      <c r="IC80" s="626"/>
      <c r="ID80" s="626"/>
      <c r="IE80" s="626"/>
      <c r="IF80" s="626"/>
      <c r="IG80" s="626"/>
      <c r="IH80" s="626"/>
      <c r="II80" s="626"/>
      <c r="IJ80" s="626"/>
      <c r="IK80" s="626"/>
      <c r="IL80" s="626"/>
      <c r="IM80" s="626"/>
      <c r="IN80" s="626"/>
      <c r="IO80" s="626"/>
      <c r="IP80" s="626"/>
      <c r="IQ80" s="626"/>
      <c r="IR80" s="626"/>
      <c r="IS80" s="626"/>
      <c r="IT80" s="626"/>
      <c r="IU80" s="626"/>
    </row>
    <row r="81" spans="1:255" s="627" customFormat="1" ht="12.75" customHeight="1" x14ac:dyDescent="0.2">
      <c r="A81" s="461"/>
      <c r="B81" s="645"/>
      <c r="C81" s="489"/>
      <c r="D81" s="489"/>
      <c r="E81" s="489"/>
      <c r="F81" s="489"/>
      <c r="G81" s="623"/>
      <c r="H81" s="490" t="s">
        <v>20</v>
      </c>
      <c r="I81" s="490" t="s">
        <v>20</v>
      </c>
      <c r="J81" s="615"/>
      <c r="K81" s="118"/>
      <c r="L81" s="12"/>
      <c r="M81" s="12"/>
      <c r="N81" s="499"/>
      <c r="O81" s="499"/>
      <c r="P81" s="630"/>
      <c r="Q81" s="509"/>
      <c r="R81" s="509"/>
      <c r="S81" s="623"/>
      <c r="T81" s="649"/>
      <c r="U81" s="649"/>
      <c r="V81" s="123"/>
      <c r="W81" s="123"/>
      <c r="X81" s="123"/>
      <c r="Y81" s="624"/>
      <c r="Z81" s="625"/>
      <c r="AA81" s="625"/>
      <c r="AB81" s="625"/>
      <c r="AC81" s="625"/>
      <c r="AD81" s="625"/>
      <c r="AE81" s="625"/>
      <c r="AF81" s="625"/>
      <c r="AG81" s="625"/>
      <c r="AH81" s="625"/>
      <c r="AI81" s="625"/>
      <c r="AJ81" s="625"/>
      <c r="AK81" s="625"/>
      <c r="AL81" s="625"/>
      <c r="AM81" s="625"/>
      <c r="AN81" s="625"/>
      <c r="AO81" s="625"/>
      <c r="AP81" s="625"/>
      <c r="AQ81" s="625"/>
      <c r="AR81" s="625"/>
      <c r="AS81" s="625"/>
      <c r="AT81" s="625"/>
      <c r="AU81" s="625"/>
      <c r="AV81" s="625"/>
      <c r="AW81" s="625"/>
      <c r="AX81" s="625"/>
      <c r="AY81" s="625"/>
      <c r="AZ81" s="625"/>
      <c r="BA81" s="625"/>
      <c r="BB81" s="625"/>
      <c r="BC81" s="625"/>
      <c r="BD81" s="625"/>
      <c r="BE81" s="625"/>
      <c r="BF81" s="626"/>
      <c r="BG81" s="626"/>
      <c r="BH81" s="626"/>
      <c r="BI81" s="626"/>
      <c r="BJ81" s="626"/>
      <c r="BK81" s="626"/>
      <c r="BL81" s="626"/>
      <c r="BM81" s="626"/>
      <c r="BN81" s="626"/>
      <c r="BO81" s="626"/>
      <c r="BP81" s="626"/>
      <c r="BQ81" s="626"/>
      <c r="BR81" s="626"/>
      <c r="BS81" s="626"/>
      <c r="BT81" s="626"/>
      <c r="BU81" s="626"/>
      <c r="BV81" s="626"/>
      <c r="BW81" s="626"/>
      <c r="BX81" s="626"/>
      <c r="BY81" s="626"/>
      <c r="BZ81" s="626"/>
      <c r="CA81" s="626"/>
      <c r="CB81" s="626"/>
      <c r="CC81" s="626"/>
      <c r="CD81" s="626"/>
      <c r="CE81" s="626"/>
      <c r="CF81" s="626"/>
      <c r="CG81" s="626"/>
      <c r="CH81" s="626"/>
      <c r="CI81" s="626"/>
      <c r="CJ81" s="626"/>
      <c r="CK81" s="626"/>
      <c r="CL81" s="626"/>
      <c r="CM81" s="626"/>
      <c r="CN81" s="626"/>
      <c r="CO81" s="626"/>
      <c r="CP81" s="626"/>
      <c r="CQ81" s="626"/>
      <c r="CR81" s="626"/>
      <c r="CS81" s="626"/>
      <c r="CT81" s="626"/>
      <c r="CU81" s="626"/>
      <c r="CV81" s="626"/>
      <c r="CW81" s="626"/>
      <c r="CX81" s="626"/>
      <c r="CY81" s="626"/>
      <c r="CZ81" s="626"/>
      <c r="DA81" s="626"/>
      <c r="DB81" s="626"/>
      <c r="DC81" s="626"/>
      <c r="DD81" s="626"/>
      <c r="DE81" s="626"/>
      <c r="DF81" s="626"/>
      <c r="DG81" s="626"/>
      <c r="DH81" s="626"/>
      <c r="DI81" s="626"/>
      <c r="DJ81" s="626"/>
      <c r="DK81" s="626"/>
      <c r="DL81" s="626"/>
      <c r="DM81" s="626"/>
      <c r="DN81" s="626"/>
      <c r="DO81" s="626"/>
      <c r="DP81" s="626"/>
      <c r="DQ81" s="626"/>
      <c r="DR81" s="626"/>
      <c r="DS81" s="626"/>
      <c r="DT81" s="626"/>
      <c r="DU81" s="626"/>
      <c r="DV81" s="626"/>
      <c r="DW81" s="626"/>
      <c r="DX81" s="626"/>
      <c r="DY81" s="626"/>
      <c r="DZ81" s="626"/>
      <c r="EA81" s="626"/>
      <c r="EB81" s="626"/>
      <c r="EC81" s="626"/>
      <c r="ED81" s="626"/>
      <c r="EE81" s="626"/>
      <c r="EF81" s="626"/>
      <c r="EG81" s="626"/>
      <c r="EH81" s="626"/>
      <c r="EI81" s="626"/>
      <c r="EJ81" s="626"/>
      <c r="EK81" s="626"/>
      <c r="EL81" s="626"/>
      <c r="EM81" s="626"/>
      <c r="EN81" s="626"/>
      <c r="EO81" s="626"/>
      <c r="EP81" s="626"/>
      <c r="EQ81" s="626"/>
      <c r="ER81" s="626"/>
      <c r="ES81" s="626"/>
      <c r="ET81" s="626"/>
      <c r="EU81" s="626"/>
      <c r="EV81" s="626"/>
      <c r="EW81" s="626"/>
      <c r="EX81" s="626"/>
      <c r="EY81" s="626"/>
      <c r="EZ81" s="626"/>
      <c r="FA81" s="626"/>
      <c r="FB81" s="626"/>
      <c r="FC81" s="626"/>
      <c r="FD81" s="626"/>
      <c r="FE81" s="626"/>
      <c r="FF81" s="626"/>
      <c r="FG81" s="626"/>
      <c r="FH81" s="626"/>
      <c r="FI81" s="626"/>
      <c r="FJ81" s="626"/>
      <c r="FK81" s="626"/>
      <c r="FL81" s="626"/>
      <c r="FM81" s="626"/>
      <c r="FN81" s="626"/>
      <c r="FO81" s="626"/>
      <c r="FP81" s="626"/>
      <c r="FQ81" s="626"/>
      <c r="FR81" s="626"/>
      <c r="FS81" s="626"/>
      <c r="FT81" s="626"/>
      <c r="FU81" s="626"/>
      <c r="FV81" s="626"/>
      <c r="FW81" s="626"/>
      <c r="FX81" s="626"/>
      <c r="FY81" s="626"/>
      <c r="FZ81" s="626"/>
      <c r="GA81" s="626"/>
      <c r="GB81" s="626"/>
      <c r="GC81" s="626"/>
      <c r="GD81" s="626"/>
      <c r="GE81" s="626"/>
      <c r="GF81" s="626"/>
      <c r="GG81" s="626"/>
      <c r="GH81" s="626"/>
      <c r="GI81" s="626"/>
      <c r="GJ81" s="626"/>
      <c r="GK81" s="626"/>
      <c r="GL81" s="626"/>
      <c r="GM81" s="626"/>
      <c r="GN81" s="626"/>
      <c r="GO81" s="626"/>
      <c r="GP81" s="626"/>
      <c r="GQ81" s="626"/>
      <c r="GR81" s="626"/>
      <c r="GS81" s="626"/>
      <c r="GT81" s="626"/>
      <c r="GU81" s="626"/>
      <c r="GV81" s="626"/>
      <c r="GW81" s="626"/>
      <c r="GX81" s="626"/>
      <c r="GY81" s="626"/>
      <c r="GZ81" s="626"/>
      <c r="HA81" s="626"/>
      <c r="HB81" s="626"/>
      <c r="HC81" s="626"/>
      <c r="HD81" s="626"/>
      <c r="HE81" s="626"/>
      <c r="HF81" s="626"/>
      <c r="HG81" s="626"/>
      <c r="HH81" s="626"/>
      <c r="HI81" s="626"/>
      <c r="HJ81" s="626"/>
      <c r="HK81" s="626"/>
      <c r="HL81" s="626"/>
      <c r="HM81" s="626"/>
      <c r="HN81" s="626"/>
      <c r="HO81" s="626"/>
      <c r="HP81" s="626"/>
      <c r="HQ81" s="626"/>
      <c r="HR81" s="626"/>
      <c r="HS81" s="626"/>
      <c r="HT81" s="626"/>
      <c r="HU81" s="626"/>
      <c r="HV81" s="626"/>
      <c r="HW81" s="626"/>
      <c r="HX81" s="626"/>
      <c r="HY81" s="626"/>
      <c r="HZ81" s="626"/>
      <c r="IA81" s="626"/>
      <c r="IB81" s="626"/>
      <c r="IC81" s="626"/>
      <c r="ID81" s="626"/>
      <c r="IE81" s="626"/>
      <c r="IF81" s="626"/>
      <c r="IG81" s="626"/>
      <c r="IH81" s="626"/>
      <c r="II81" s="626"/>
      <c r="IJ81" s="626"/>
      <c r="IK81" s="626"/>
      <c r="IL81" s="626"/>
      <c r="IM81" s="626"/>
      <c r="IN81" s="626"/>
      <c r="IO81" s="626"/>
      <c r="IP81" s="626"/>
      <c r="IQ81" s="626"/>
      <c r="IR81" s="626"/>
      <c r="IS81" s="626"/>
      <c r="IT81" s="626"/>
      <c r="IU81" s="626"/>
    </row>
    <row r="82" spans="1:255" s="627" customFormat="1" ht="12.75" customHeight="1" x14ac:dyDescent="0.2">
      <c r="A82" s="461"/>
      <c r="B82" s="645"/>
      <c r="C82" s="489"/>
      <c r="D82" s="489"/>
      <c r="E82" s="489"/>
      <c r="F82" s="489"/>
      <c r="G82" s="623"/>
      <c r="H82" s="490" t="s">
        <v>20</v>
      </c>
      <c r="I82" s="490" t="s">
        <v>20</v>
      </c>
      <c r="J82" s="615"/>
      <c r="K82" s="118"/>
      <c r="L82" s="12"/>
      <c r="M82" s="12"/>
      <c r="N82" s="499"/>
      <c r="O82" s="499"/>
      <c r="P82" s="630"/>
      <c r="Q82" s="509"/>
      <c r="R82" s="509"/>
      <c r="S82" s="623"/>
      <c r="T82" s="649"/>
      <c r="U82" s="649"/>
      <c r="V82" s="123"/>
      <c r="W82" s="123"/>
      <c r="X82" s="123"/>
      <c r="Y82" s="624"/>
      <c r="Z82" s="625"/>
      <c r="AA82" s="625"/>
      <c r="AB82" s="625"/>
      <c r="AC82" s="625"/>
      <c r="AD82" s="625"/>
      <c r="AE82" s="625"/>
      <c r="AF82" s="625"/>
      <c r="AG82" s="625"/>
      <c r="AH82" s="625"/>
      <c r="AI82" s="625"/>
      <c r="AJ82" s="625"/>
      <c r="AK82" s="625"/>
      <c r="AL82" s="625"/>
      <c r="AM82" s="625"/>
      <c r="AN82" s="625"/>
      <c r="AO82" s="625"/>
      <c r="AP82" s="625"/>
      <c r="AQ82" s="625"/>
      <c r="AR82" s="625"/>
      <c r="AS82" s="625"/>
      <c r="AT82" s="625"/>
      <c r="AU82" s="625"/>
      <c r="AV82" s="625"/>
      <c r="AW82" s="625"/>
      <c r="AX82" s="625"/>
      <c r="AY82" s="625"/>
      <c r="AZ82" s="625"/>
      <c r="BA82" s="625"/>
      <c r="BB82" s="625"/>
      <c r="BC82" s="625"/>
      <c r="BD82" s="625"/>
      <c r="BE82" s="625"/>
      <c r="BF82" s="626"/>
      <c r="BG82" s="626"/>
      <c r="BH82" s="626"/>
      <c r="BI82" s="626"/>
      <c r="BJ82" s="626"/>
      <c r="BK82" s="626"/>
      <c r="BL82" s="626"/>
      <c r="BM82" s="626"/>
      <c r="BN82" s="626"/>
      <c r="BO82" s="626"/>
      <c r="BP82" s="626"/>
      <c r="BQ82" s="626"/>
      <c r="BR82" s="626"/>
      <c r="BS82" s="626"/>
      <c r="BT82" s="626"/>
      <c r="BU82" s="626"/>
      <c r="BV82" s="626"/>
      <c r="BW82" s="626"/>
      <c r="BX82" s="626"/>
      <c r="BY82" s="626"/>
      <c r="BZ82" s="626"/>
      <c r="CA82" s="626"/>
      <c r="CB82" s="626"/>
      <c r="CC82" s="626"/>
      <c r="CD82" s="626"/>
      <c r="CE82" s="626"/>
      <c r="CF82" s="626"/>
      <c r="CG82" s="626"/>
      <c r="CH82" s="626"/>
      <c r="CI82" s="626"/>
      <c r="CJ82" s="626"/>
      <c r="CK82" s="626"/>
      <c r="CL82" s="626"/>
      <c r="CM82" s="626"/>
      <c r="CN82" s="626"/>
      <c r="CO82" s="626"/>
      <c r="CP82" s="626"/>
      <c r="CQ82" s="626"/>
      <c r="CR82" s="626"/>
      <c r="CS82" s="626"/>
      <c r="CT82" s="626"/>
      <c r="CU82" s="626"/>
      <c r="CV82" s="626"/>
      <c r="CW82" s="626"/>
      <c r="CX82" s="626"/>
      <c r="CY82" s="626"/>
      <c r="CZ82" s="626"/>
      <c r="DA82" s="626"/>
      <c r="DB82" s="626"/>
      <c r="DC82" s="626"/>
      <c r="DD82" s="626"/>
      <c r="DE82" s="626"/>
      <c r="DF82" s="626"/>
      <c r="DG82" s="626"/>
      <c r="DH82" s="626"/>
      <c r="DI82" s="626"/>
      <c r="DJ82" s="626"/>
      <c r="DK82" s="626"/>
      <c r="DL82" s="626"/>
      <c r="DM82" s="626"/>
      <c r="DN82" s="626"/>
      <c r="DO82" s="626"/>
      <c r="DP82" s="626"/>
      <c r="DQ82" s="626"/>
      <c r="DR82" s="626"/>
      <c r="DS82" s="626"/>
      <c r="DT82" s="626"/>
      <c r="DU82" s="626"/>
      <c r="DV82" s="626"/>
      <c r="DW82" s="626"/>
      <c r="DX82" s="626"/>
      <c r="DY82" s="626"/>
      <c r="DZ82" s="626"/>
      <c r="EA82" s="626"/>
      <c r="EB82" s="626"/>
      <c r="EC82" s="626"/>
      <c r="ED82" s="626"/>
      <c r="EE82" s="626"/>
      <c r="EF82" s="626"/>
      <c r="EG82" s="626"/>
      <c r="EH82" s="626"/>
      <c r="EI82" s="626"/>
      <c r="EJ82" s="626"/>
      <c r="EK82" s="626"/>
      <c r="EL82" s="626"/>
      <c r="EM82" s="626"/>
      <c r="EN82" s="626"/>
      <c r="EO82" s="626"/>
      <c r="EP82" s="626"/>
      <c r="EQ82" s="626"/>
      <c r="ER82" s="626"/>
      <c r="ES82" s="626"/>
      <c r="ET82" s="626"/>
      <c r="EU82" s="626"/>
      <c r="EV82" s="626"/>
      <c r="EW82" s="626"/>
      <c r="EX82" s="626"/>
      <c r="EY82" s="626"/>
      <c r="EZ82" s="626"/>
      <c r="FA82" s="626"/>
      <c r="FB82" s="626"/>
      <c r="FC82" s="626"/>
      <c r="FD82" s="626"/>
      <c r="FE82" s="626"/>
      <c r="FF82" s="626"/>
      <c r="FG82" s="626"/>
      <c r="FH82" s="626"/>
      <c r="FI82" s="626"/>
      <c r="FJ82" s="626"/>
      <c r="FK82" s="626"/>
      <c r="FL82" s="626"/>
      <c r="FM82" s="626"/>
      <c r="FN82" s="626"/>
      <c r="FO82" s="626"/>
      <c r="FP82" s="626"/>
      <c r="FQ82" s="626"/>
      <c r="FR82" s="626"/>
      <c r="FS82" s="626"/>
      <c r="FT82" s="626"/>
      <c r="FU82" s="626"/>
      <c r="FV82" s="626"/>
      <c r="FW82" s="626"/>
      <c r="FX82" s="626"/>
      <c r="FY82" s="626"/>
      <c r="FZ82" s="626"/>
      <c r="GA82" s="626"/>
      <c r="GB82" s="626"/>
      <c r="GC82" s="626"/>
      <c r="GD82" s="626"/>
      <c r="GE82" s="626"/>
      <c r="GF82" s="626"/>
      <c r="GG82" s="626"/>
      <c r="GH82" s="626"/>
      <c r="GI82" s="626"/>
      <c r="GJ82" s="626"/>
      <c r="GK82" s="626"/>
      <c r="GL82" s="626"/>
      <c r="GM82" s="626"/>
      <c r="GN82" s="626"/>
      <c r="GO82" s="626"/>
      <c r="GP82" s="626"/>
      <c r="GQ82" s="626"/>
      <c r="GR82" s="626"/>
      <c r="GS82" s="626"/>
      <c r="GT82" s="626"/>
      <c r="GU82" s="626"/>
      <c r="GV82" s="626"/>
      <c r="GW82" s="626"/>
      <c r="GX82" s="626"/>
      <c r="GY82" s="626"/>
      <c r="GZ82" s="626"/>
      <c r="HA82" s="626"/>
      <c r="HB82" s="626"/>
      <c r="HC82" s="626"/>
      <c r="HD82" s="626"/>
      <c r="HE82" s="626"/>
      <c r="HF82" s="626"/>
      <c r="HG82" s="626"/>
      <c r="HH82" s="626"/>
      <c r="HI82" s="626"/>
      <c r="HJ82" s="626"/>
      <c r="HK82" s="626"/>
      <c r="HL82" s="626"/>
      <c r="HM82" s="626"/>
      <c r="HN82" s="626"/>
      <c r="HO82" s="626"/>
      <c r="HP82" s="626"/>
      <c r="HQ82" s="626"/>
      <c r="HR82" s="626"/>
      <c r="HS82" s="626"/>
      <c r="HT82" s="626"/>
      <c r="HU82" s="626"/>
      <c r="HV82" s="626"/>
      <c r="HW82" s="626"/>
      <c r="HX82" s="626"/>
      <c r="HY82" s="626"/>
      <c r="HZ82" s="626"/>
      <c r="IA82" s="626"/>
      <c r="IB82" s="626"/>
      <c r="IC82" s="626"/>
      <c r="ID82" s="626"/>
      <c r="IE82" s="626"/>
      <c r="IF82" s="626"/>
      <c r="IG82" s="626"/>
      <c r="IH82" s="626"/>
      <c r="II82" s="626"/>
      <c r="IJ82" s="626"/>
      <c r="IK82" s="626"/>
      <c r="IL82" s="626"/>
      <c r="IM82" s="626"/>
      <c r="IN82" s="626"/>
      <c r="IO82" s="626"/>
      <c r="IP82" s="626"/>
      <c r="IQ82" s="626"/>
      <c r="IR82" s="626"/>
      <c r="IS82" s="626"/>
      <c r="IT82" s="626"/>
      <c r="IU82" s="626"/>
    </row>
    <row r="83" spans="1:255" s="627" customFormat="1" ht="12.75" customHeight="1" x14ac:dyDescent="0.2">
      <c r="A83" s="461"/>
      <c r="B83" s="645"/>
      <c r="C83" s="645"/>
      <c r="D83" s="489"/>
      <c r="E83" s="489"/>
      <c r="F83" s="483"/>
      <c r="G83" s="623"/>
      <c r="H83" s="490" t="s">
        <v>20</v>
      </c>
      <c r="I83" s="490" t="s">
        <v>20</v>
      </c>
      <c r="J83" s="615"/>
      <c r="K83" s="118"/>
      <c r="L83" s="12"/>
      <c r="M83" s="12"/>
      <c r="N83" s="499"/>
      <c r="O83" s="499"/>
      <c r="P83" s="630"/>
      <c r="Q83" s="509"/>
      <c r="R83" s="509"/>
      <c r="S83" s="623"/>
      <c r="T83" s="649"/>
      <c r="U83" s="649"/>
      <c r="V83" s="123"/>
      <c r="W83" s="123"/>
      <c r="X83" s="123"/>
      <c r="Y83" s="624"/>
      <c r="Z83" s="625"/>
      <c r="AA83" s="625"/>
      <c r="AB83" s="625"/>
      <c r="AC83" s="625"/>
      <c r="AD83" s="625"/>
      <c r="AE83" s="625"/>
      <c r="AF83" s="625"/>
      <c r="AG83" s="625"/>
      <c r="AH83" s="625"/>
      <c r="AI83" s="625"/>
      <c r="AJ83" s="625"/>
      <c r="AK83" s="625"/>
      <c r="AL83" s="625"/>
      <c r="AM83" s="625"/>
      <c r="AN83" s="625"/>
      <c r="AO83" s="625"/>
      <c r="AP83" s="625"/>
      <c r="AQ83" s="625"/>
      <c r="AR83" s="625"/>
      <c r="AS83" s="625"/>
      <c r="AT83" s="625"/>
      <c r="AU83" s="625"/>
      <c r="AV83" s="625"/>
      <c r="AW83" s="625"/>
      <c r="AX83" s="625"/>
      <c r="AY83" s="625"/>
      <c r="AZ83" s="625"/>
      <c r="BA83" s="625"/>
      <c r="BB83" s="625"/>
      <c r="BC83" s="625"/>
      <c r="BD83" s="625"/>
      <c r="BE83" s="625"/>
      <c r="BF83" s="626"/>
      <c r="BG83" s="626"/>
      <c r="BH83" s="626"/>
      <c r="BI83" s="626"/>
      <c r="BJ83" s="626"/>
      <c r="BK83" s="626"/>
      <c r="BL83" s="626"/>
      <c r="BM83" s="626"/>
      <c r="BN83" s="626"/>
      <c r="BO83" s="626"/>
      <c r="BP83" s="626"/>
      <c r="BQ83" s="626"/>
      <c r="BR83" s="626"/>
      <c r="BS83" s="626"/>
      <c r="BT83" s="626"/>
      <c r="BU83" s="626"/>
      <c r="BV83" s="626"/>
      <c r="BW83" s="626"/>
      <c r="BX83" s="626"/>
      <c r="BY83" s="626"/>
      <c r="BZ83" s="626"/>
      <c r="CA83" s="626"/>
      <c r="CB83" s="626"/>
      <c r="CC83" s="626"/>
      <c r="CD83" s="626"/>
      <c r="CE83" s="626"/>
      <c r="CF83" s="626"/>
      <c r="CG83" s="626"/>
      <c r="CH83" s="626"/>
      <c r="CI83" s="626"/>
      <c r="CJ83" s="626"/>
      <c r="CK83" s="626"/>
      <c r="CL83" s="626"/>
      <c r="CM83" s="626"/>
      <c r="CN83" s="626"/>
      <c r="CO83" s="626"/>
      <c r="CP83" s="626"/>
      <c r="CQ83" s="626"/>
      <c r="CR83" s="626"/>
      <c r="CS83" s="626"/>
      <c r="CT83" s="626"/>
      <c r="CU83" s="626"/>
      <c r="CV83" s="626"/>
      <c r="CW83" s="626"/>
      <c r="CX83" s="626"/>
      <c r="CY83" s="626"/>
      <c r="CZ83" s="626"/>
      <c r="DA83" s="626"/>
      <c r="DB83" s="626"/>
      <c r="DC83" s="626"/>
      <c r="DD83" s="626"/>
      <c r="DE83" s="626"/>
      <c r="DF83" s="626"/>
      <c r="DG83" s="626"/>
      <c r="DH83" s="626"/>
      <c r="DI83" s="626"/>
      <c r="DJ83" s="626"/>
      <c r="DK83" s="626"/>
      <c r="DL83" s="626"/>
      <c r="DM83" s="626"/>
      <c r="DN83" s="626"/>
      <c r="DO83" s="626"/>
      <c r="DP83" s="626"/>
      <c r="DQ83" s="626"/>
      <c r="DR83" s="626"/>
      <c r="DS83" s="626"/>
      <c r="DT83" s="626"/>
      <c r="DU83" s="626"/>
      <c r="DV83" s="626"/>
      <c r="DW83" s="626"/>
      <c r="DX83" s="626"/>
      <c r="DY83" s="626"/>
      <c r="DZ83" s="626"/>
      <c r="EA83" s="626"/>
      <c r="EB83" s="626"/>
      <c r="EC83" s="626"/>
      <c r="ED83" s="626"/>
      <c r="EE83" s="626"/>
      <c r="EF83" s="626"/>
      <c r="EG83" s="626"/>
      <c r="EH83" s="626"/>
      <c r="EI83" s="626"/>
      <c r="EJ83" s="626"/>
      <c r="EK83" s="626"/>
      <c r="EL83" s="626"/>
      <c r="EM83" s="626"/>
      <c r="EN83" s="626"/>
      <c r="EO83" s="626"/>
      <c r="EP83" s="626"/>
      <c r="EQ83" s="626"/>
      <c r="ER83" s="626"/>
      <c r="ES83" s="626"/>
      <c r="ET83" s="626"/>
      <c r="EU83" s="626"/>
      <c r="EV83" s="626"/>
      <c r="EW83" s="626"/>
      <c r="EX83" s="626"/>
      <c r="EY83" s="626"/>
      <c r="EZ83" s="626"/>
      <c r="FA83" s="626"/>
      <c r="FB83" s="626"/>
      <c r="FC83" s="626"/>
      <c r="FD83" s="626"/>
      <c r="FE83" s="626"/>
      <c r="FF83" s="626"/>
      <c r="FG83" s="626"/>
      <c r="FH83" s="626"/>
      <c r="FI83" s="626"/>
      <c r="FJ83" s="626"/>
      <c r="FK83" s="626"/>
      <c r="FL83" s="626"/>
      <c r="FM83" s="626"/>
      <c r="FN83" s="626"/>
      <c r="FO83" s="626"/>
      <c r="FP83" s="626"/>
      <c r="FQ83" s="626"/>
      <c r="FR83" s="626"/>
      <c r="FS83" s="626"/>
      <c r="FT83" s="626"/>
      <c r="FU83" s="626"/>
      <c r="FV83" s="626"/>
      <c r="FW83" s="626"/>
      <c r="FX83" s="626"/>
      <c r="FY83" s="626"/>
      <c r="FZ83" s="626"/>
      <c r="GA83" s="626"/>
      <c r="GB83" s="626"/>
      <c r="GC83" s="626"/>
      <c r="GD83" s="626"/>
      <c r="GE83" s="626"/>
      <c r="GF83" s="626"/>
      <c r="GG83" s="626"/>
      <c r="GH83" s="626"/>
      <c r="GI83" s="626"/>
      <c r="GJ83" s="626"/>
      <c r="GK83" s="626"/>
      <c r="GL83" s="626"/>
      <c r="GM83" s="626"/>
      <c r="GN83" s="626"/>
      <c r="GO83" s="626"/>
      <c r="GP83" s="626"/>
      <c r="GQ83" s="626"/>
      <c r="GR83" s="626"/>
      <c r="GS83" s="626"/>
      <c r="GT83" s="626"/>
      <c r="GU83" s="626"/>
      <c r="GV83" s="626"/>
      <c r="GW83" s="626"/>
      <c r="GX83" s="626"/>
      <c r="GY83" s="626"/>
      <c r="GZ83" s="626"/>
      <c r="HA83" s="626"/>
      <c r="HB83" s="626"/>
      <c r="HC83" s="626"/>
      <c r="HD83" s="626"/>
      <c r="HE83" s="626"/>
      <c r="HF83" s="626"/>
      <c r="HG83" s="626"/>
      <c r="HH83" s="626"/>
      <c r="HI83" s="626"/>
      <c r="HJ83" s="626"/>
      <c r="HK83" s="626"/>
      <c r="HL83" s="626"/>
      <c r="HM83" s="626"/>
      <c r="HN83" s="626"/>
      <c r="HO83" s="626"/>
      <c r="HP83" s="626"/>
      <c r="HQ83" s="626"/>
      <c r="HR83" s="626"/>
      <c r="HS83" s="626"/>
      <c r="HT83" s="626"/>
      <c r="HU83" s="626"/>
      <c r="HV83" s="626"/>
      <c r="HW83" s="626"/>
      <c r="HX83" s="626"/>
      <c r="HY83" s="626"/>
      <c r="HZ83" s="626"/>
      <c r="IA83" s="626"/>
      <c r="IB83" s="626"/>
      <c r="IC83" s="626"/>
      <c r="ID83" s="626"/>
      <c r="IE83" s="626"/>
      <c r="IF83" s="626"/>
      <c r="IG83" s="626"/>
      <c r="IH83" s="626"/>
      <c r="II83" s="626"/>
      <c r="IJ83" s="626"/>
      <c r="IK83" s="626"/>
      <c r="IL83" s="626"/>
      <c r="IM83" s="626"/>
      <c r="IN83" s="626"/>
      <c r="IO83" s="626"/>
      <c r="IP83" s="626"/>
      <c r="IQ83" s="626"/>
      <c r="IR83" s="626"/>
      <c r="IS83" s="626"/>
      <c r="IT83" s="626"/>
      <c r="IU83" s="626"/>
    </row>
    <row r="84" spans="1:255" s="627" customFormat="1" ht="12.75" customHeight="1" x14ac:dyDescent="0.2">
      <c r="A84" s="461"/>
      <c r="B84" s="645"/>
      <c r="C84" s="645"/>
      <c r="D84" s="489"/>
      <c r="E84" s="489"/>
      <c r="F84" s="489"/>
      <c r="G84" s="623"/>
      <c r="H84" s="490" t="s">
        <v>20</v>
      </c>
      <c r="I84" s="490" t="s">
        <v>20</v>
      </c>
      <c r="J84" s="615"/>
      <c r="K84" s="118"/>
      <c r="L84" s="12"/>
      <c r="M84" s="12"/>
      <c r="N84" s="499"/>
      <c r="O84" s="499"/>
      <c r="P84" s="630"/>
      <c r="Q84" s="509"/>
      <c r="R84" s="509"/>
      <c r="S84" s="623"/>
      <c r="T84" s="649"/>
      <c r="U84" s="649"/>
      <c r="V84" s="123"/>
      <c r="W84" s="123"/>
      <c r="X84" s="123"/>
      <c r="Y84" s="624"/>
      <c r="Z84" s="625"/>
      <c r="AA84" s="625"/>
      <c r="AB84" s="625"/>
      <c r="AC84" s="625"/>
      <c r="AD84" s="625"/>
      <c r="AE84" s="625"/>
      <c r="AF84" s="625"/>
      <c r="AG84" s="625"/>
      <c r="AH84" s="625"/>
      <c r="AI84" s="625"/>
      <c r="AJ84" s="625"/>
      <c r="AK84" s="625"/>
      <c r="AL84" s="625"/>
      <c r="AM84" s="625"/>
      <c r="AN84" s="625"/>
      <c r="AO84" s="625"/>
      <c r="AP84" s="625"/>
      <c r="AQ84" s="625"/>
      <c r="AR84" s="625"/>
      <c r="AS84" s="625"/>
      <c r="AT84" s="625"/>
      <c r="AU84" s="625"/>
      <c r="AV84" s="625"/>
      <c r="AW84" s="625"/>
      <c r="AX84" s="625"/>
      <c r="AY84" s="625"/>
      <c r="AZ84" s="625"/>
      <c r="BA84" s="625"/>
      <c r="BB84" s="625"/>
      <c r="BC84" s="625"/>
      <c r="BD84" s="625"/>
      <c r="BE84" s="625"/>
      <c r="BF84" s="626"/>
      <c r="BG84" s="626"/>
      <c r="BH84" s="626"/>
      <c r="BI84" s="626"/>
      <c r="BJ84" s="626"/>
      <c r="BK84" s="626"/>
      <c r="BL84" s="626"/>
      <c r="BM84" s="626"/>
      <c r="BN84" s="626"/>
      <c r="BO84" s="626"/>
      <c r="BP84" s="626"/>
      <c r="BQ84" s="626"/>
      <c r="BR84" s="626"/>
      <c r="BS84" s="626"/>
      <c r="BT84" s="626"/>
      <c r="BU84" s="626"/>
      <c r="BV84" s="626"/>
      <c r="BW84" s="626"/>
      <c r="BX84" s="626"/>
      <c r="BY84" s="626"/>
      <c r="BZ84" s="626"/>
      <c r="CA84" s="626"/>
      <c r="CB84" s="626"/>
      <c r="CC84" s="626"/>
      <c r="CD84" s="626"/>
      <c r="CE84" s="626"/>
      <c r="CF84" s="626"/>
      <c r="CG84" s="626"/>
      <c r="CH84" s="626"/>
      <c r="CI84" s="626"/>
      <c r="CJ84" s="626"/>
      <c r="CK84" s="626"/>
      <c r="CL84" s="626"/>
      <c r="CM84" s="626"/>
      <c r="CN84" s="626"/>
      <c r="CO84" s="626"/>
      <c r="CP84" s="626"/>
      <c r="CQ84" s="626"/>
      <c r="CR84" s="626"/>
      <c r="CS84" s="626"/>
      <c r="CT84" s="626"/>
      <c r="CU84" s="626"/>
      <c r="CV84" s="626"/>
      <c r="CW84" s="626"/>
      <c r="CX84" s="626"/>
      <c r="CY84" s="626"/>
      <c r="CZ84" s="626"/>
      <c r="DA84" s="626"/>
      <c r="DB84" s="626"/>
      <c r="DC84" s="626"/>
      <c r="DD84" s="626"/>
      <c r="DE84" s="626"/>
      <c r="DF84" s="626"/>
      <c r="DG84" s="626"/>
      <c r="DH84" s="626"/>
      <c r="DI84" s="626"/>
      <c r="DJ84" s="626"/>
      <c r="DK84" s="626"/>
      <c r="DL84" s="626"/>
      <c r="DM84" s="626"/>
      <c r="DN84" s="626"/>
      <c r="DO84" s="626"/>
      <c r="DP84" s="626"/>
      <c r="DQ84" s="626"/>
      <c r="DR84" s="626"/>
      <c r="DS84" s="626"/>
      <c r="DT84" s="626"/>
      <c r="DU84" s="626"/>
      <c r="DV84" s="626"/>
      <c r="DW84" s="626"/>
      <c r="DX84" s="626"/>
      <c r="DY84" s="626"/>
      <c r="DZ84" s="626"/>
      <c r="EA84" s="626"/>
      <c r="EB84" s="626"/>
      <c r="EC84" s="626"/>
      <c r="ED84" s="626"/>
      <c r="EE84" s="626"/>
      <c r="EF84" s="626"/>
      <c r="EG84" s="626"/>
      <c r="EH84" s="626"/>
      <c r="EI84" s="626"/>
      <c r="EJ84" s="626"/>
      <c r="EK84" s="626"/>
      <c r="EL84" s="626"/>
      <c r="EM84" s="626"/>
      <c r="EN84" s="626"/>
      <c r="EO84" s="626"/>
      <c r="EP84" s="626"/>
      <c r="EQ84" s="626"/>
      <c r="ER84" s="626"/>
      <c r="ES84" s="626"/>
      <c r="ET84" s="626"/>
      <c r="EU84" s="626"/>
      <c r="EV84" s="626"/>
      <c r="EW84" s="626"/>
      <c r="EX84" s="626"/>
      <c r="EY84" s="626"/>
      <c r="EZ84" s="626"/>
      <c r="FA84" s="626"/>
      <c r="FB84" s="626"/>
      <c r="FC84" s="626"/>
      <c r="FD84" s="626"/>
      <c r="FE84" s="626"/>
      <c r="FF84" s="626"/>
      <c r="FG84" s="626"/>
      <c r="FH84" s="626"/>
      <c r="FI84" s="626"/>
      <c r="FJ84" s="626"/>
      <c r="FK84" s="626"/>
      <c r="FL84" s="626"/>
      <c r="FM84" s="626"/>
      <c r="FN84" s="626"/>
      <c r="FO84" s="626"/>
      <c r="FP84" s="626"/>
      <c r="FQ84" s="626"/>
      <c r="FR84" s="626"/>
      <c r="FS84" s="626"/>
      <c r="FT84" s="626"/>
      <c r="FU84" s="626"/>
      <c r="FV84" s="626"/>
      <c r="FW84" s="626"/>
      <c r="FX84" s="626"/>
      <c r="FY84" s="626"/>
      <c r="FZ84" s="626"/>
      <c r="GA84" s="626"/>
      <c r="GB84" s="626"/>
      <c r="GC84" s="626"/>
      <c r="GD84" s="626"/>
      <c r="GE84" s="626"/>
      <c r="GF84" s="626"/>
      <c r="GG84" s="626"/>
      <c r="GH84" s="626"/>
      <c r="GI84" s="626"/>
      <c r="GJ84" s="626"/>
      <c r="GK84" s="626"/>
      <c r="GL84" s="626"/>
      <c r="GM84" s="626"/>
      <c r="GN84" s="626"/>
      <c r="GO84" s="626"/>
      <c r="GP84" s="626"/>
      <c r="GQ84" s="626"/>
      <c r="GR84" s="626"/>
      <c r="GS84" s="626"/>
      <c r="GT84" s="626"/>
      <c r="GU84" s="626"/>
      <c r="GV84" s="626"/>
      <c r="GW84" s="626"/>
      <c r="GX84" s="626"/>
      <c r="GY84" s="626"/>
      <c r="GZ84" s="626"/>
      <c r="HA84" s="626"/>
      <c r="HB84" s="626"/>
      <c r="HC84" s="626"/>
      <c r="HD84" s="626"/>
      <c r="HE84" s="626"/>
      <c r="HF84" s="626"/>
      <c r="HG84" s="626"/>
      <c r="HH84" s="626"/>
      <c r="HI84" s="626"/>
      <c r="HJ84" s="626"/>
      <c r="HK84" s="626"/>
      <c r="HL84" s="626"/>
      <c r="HM84" s="626"/>
      <c r="HN84" s="626"/>
      <c r="HO84" s="626"/>
      <c r="HP84" s="626"/>
      <c r="HQ84" s="626"/>
      <c r="HR84" s="626"/>
      <c r="HS84" s="626"/>
      <c r="HT84" s="626"/>
      <c r="HU84" s="626"/>
      <c r="HV84" s="626"/>
      <c r="HW84" s="626"/>
      <c r="HX84" s="626"/>
      <c r="HY84" s="626"/>
      <c r="HZ84" s="626"/>
      <c r="IA84" s="626"/>
      <c r="IB84" s="626"/>
      <c r="IC84" s="626"/>
      <c r="ID84" s="626"/>
      <c r="IE84" s="626"/>
      <c r="IF84" s="626"/>
      <c r="IG84" s="626"/>
      <c r="IH84" s="626"/>
      <c r="II84" s="626"/>
      <c r="IJ84" s="626"/>
      <c r="IK84" s="626"/>
      <c r="IL84" s="626"/>
      <c r="IM84" s="626"/>
      <c r="IN84" s="626"/>
      <c r="IO84" s="626"/>
      <c r="IP84" s="626"/>
      <c r="IQ84" s="626"/>
      <c r="IR84" s="626"/>
      <c r="IS84" s="626"/>
      <c r="IT84" s="626"/>
      <c r="IU84" s="626"/>
    </row>
    <row r="85" spans="1:255" s="627" customFormat="1" ht="12.75" customHeight="1" x14ac:dyDescent="0.2">
      <c r="A85" s="461"/>
      <c r="B85" s="645"/>
      <c r="C85" s="645"/>
      <c r="D85" s="489"/>
      <c r="E85" s="489"/>
      <c r="F85" s="489"/>
      <c r="G85" s="623"/>
      <c r="H85" s="490" t="s">
        <v>20</v>
      </c>
      <c r="I85" s="490" t="s">
        <v>20</v>
      </c>
      <c r="J85" s="615"/>
      <c r="K85" s="118"/>
      <c r="L85" s="12"/>
      <c r="M85" s="12"/>
      <c r="N85" s="499"/>
      <c r="O85" s="499"/>
      <c r="P85" s="630"/>
      <c r="Q85" s="509"/>
      <c r="R85" s="509"/>
      <c r="S85" s="623"/>
      <c r="T85" s="649"/>
      <c r="U85" s="649"/>
      <c r="V85" s="123"/>
      <c r="W85" s="123"/>
      <c r="X85" s="123"/>
      <c r="Y85" s="624"/>
      <c r="Z85" s="625"/>
      <c r="AA85" s="625"/>
      <c r="AB85" s="625"/>
      <c r="AC85" s="625"/>
      <c r="AD85" s="625"/>
      <c r="AE85" s="625"/>
      <c r="AF85" s="625"/>
      <c r="AG85" s="625"/>
      <c r="AH85" s="625"/>
      <c r="AI85" s="625"/>
      <c r="AJ85" s="625"/>
      <c r="AK85" s="625"/>
      <c r="AL85" s="625"/>
      <c r="AM85" s="625"/>
      <c r="AN85" s="625"/>
      <c r="AO85" s="625"/>
      <c r="AP85" s="625"/>
      <c r="AQ85" s="625"/>
      <c r="AR85" s="625"/>
      <c r="AS85" s="625"/>
      <c r="AT85" s="625"/>
      <c r="AU85" s="625"/>
      <c r="AV85" s="625"/>
      <c r="AW85" s="625"/>
      <c r="AX85" s="625"/>
      <c r="AY85" s="625"/>
      <c r="AZ85" s="625"/>
      <c r="BA85" s="625"/>
      <c r="BB85" s="625"/>
      <c r="BC85" s="625"/>
      <c r="BD85" s="625"/>
      <c r="BE85" s="625"/>
      <c r="BF85" s="626"/>
      <c r="BG85" s="626"/>
      <c r="BH85" s="626"/>
      <c r="BI85" s="626"/>
      <c r="BJ85" s="626"/>
      <c r="BK85" s="626"/>
      <c r="BL85" s="626"/>
      <c r="BM85" s="626"/>
      <c r="BN85" s="626"/>
      <c r="BO85" s="626"/>
      <c r="BP85" s="626"/>
      <c r="BQ85" s="626"/>
      <c r="BR85" s="626"/>
      <c r="BS85" s="626"/>
      <c r="BT85" s="626"/>
      <c r="BU85" s="626"/>
      <c r="BV85" s="626"/>
      <c r="BW85" s="626"/>
      <c r="BX85" s="626"/>
      <c r="BY85" s="626"/>
      <c r="BZ85" s="626"/>
      <c r="CA85" s="626"/>
      <c r="CB85" s="626"/>
      <c r="CC85" s="626"/>
      <c r="CD85" s="626"/>
      <c r="CE85" s="626"/>
      <c r="CF85" s="626"/>
      <c r="CG85" s="626"/>
      <c r="CH85" s="626"/>
      <c r="CI85" s="626"/>
      <c r="CJ85" s="626"/>
      <c r="CK85" s="626"/>
      <c r="CL85" s="626"/>
      <c r="CM85" s="626"/>
      <c r="CN85" s="626"/>
      <c r="CO85" s="626"/>
      <c r="CP85" s="626"/>
      <c r="CQ85" s="626"/>
      <c r="CR85" s="626"/>
      <c r="CS85" s="626"/>
      <c r="CT85" s="626"/>
      <c r="CU85" s="626"/>
      <c r="CV85" s="626"/>
      <c r="CW85" s="626"/>
      <c r="CX85" s="626"/>
      <c r="CY85" s="626"/>
      <c r="CZ85" s="626"/>
      <c r="DA85" s="626"/>
      <c r="DB85" s="626"/>
      <c r="DC85" s="626"/>
      <c r="DD85" s="626"/>
      <c r="DE85" s="626"/>
      <c r="DF85" s="626"/>
      <c r="DG85" s="626"/>
      <c r="DH85" s="626"/>
      <c r="DI85" s="626"/>
      <c r="DJ85" s="626"/>
      <c r="DK85" s="626"/>
      <c r="DL85" s="626"/>
      <c r="DM85" s="626"/>
      <c r="DN85" s="626"/>
      <c r="DO85" s="626"/>
      <c r="DP85" s="626"/>
      <c r="DQ85" s="626"/>
      <c r="DR85" s="626"/>
      <c r="DS85" s="626"/>
      <c r="DT85" s="626"/>
      <c r="DU85" s="626"/>
      <c r="DV85" s="626"/>
      <c r="DW85" s="626"/>
      <c r="DX85" s="626"/>
      <c r="DY85" s="626"/>
      <c r="DZ85" s="626"/>
      <c r="EA85" s="626"/>
      <c r="EB85" s="626"/>
      <c r="EC85" s="626"/>
      <c r="ED85" s="626"/>
      <c r="EE85" s="626"/>
      <c r="EF85" s="626"/>
      <c r="EG85" s="626"/>
      <c r="EH85" s="626"/>
      <c r="EI85" s="626"/>
      <c r="EJ85" s="626"/>
      <c r="EK85" s="626"/>
      <c r="EL85" s="626"/>
      <c r="EM85" s="626"/>
      <c r="EN85" s="626"/>
      <c r="EO85" s="626"/>
      <c r="EP85" s="626"/>
      <c r="EQ85" s="626"/>
      <c r="ER85" s="626"/>
      <c r="ES85" s="626"/>
      <c r="ET85" s="626"/>
      <c r="EU85" s="626"/>
      <c r="EV85" s="626"/>
      <c r="EW85" s="626"/>
      <c r="EX85" s="626"/>
      <c r="EY85" s="626"/>
      <c r="EZ85" s="626"/>
      <c r="FA85" s="626"/>
      <c r="FB85" s="626"/>
      <c r="FC85" s="626"/>
      <c r="FD85" s="626"/>
      <c r="FE85" s="626"/>
      <c r="FF85" s="626"/>
      <c r="FG85" s="626"/>
      <c r="FH85" s="626"/>
      <c r="FI85" s="626"/>
      <c r="FJ85" s="626"/>
      <c r="FK85" s="626"/>
      <c r="FL85" s="626"/>
      <c r="FM85" s="626"/>
      <c r="FN85" s="626"/>
      <c r="FO85" s="626"/>
      <c r="FP85" s="626"/>
      <c r="FQ85" s="626"/>
      <c r="FR85" s="626"/>
      <c r="FS85" s="626"/>
      <c r="FT85" s="626"/>
      <c r="FU85" s="626"/>
      <c r="FV85" s="626"/>
      <c r="FW85" s="626"/>
      <c r="FX85" s="626"/>
      <c r="FY85" s="626"/>
      <c r="FZ85" s="626"/>
      <c r="GA85" s="626"/>
      <c r="GB85" s="626"/>
      <c r="GC85" s="626"/>
      <c r="GD85" s="626"/>
      <c r="GE85" s="626"/>
      <c r="GF85" s="626"/>
      <c r="GG85" s="626"/>
      <c r="GH85" s="626"/>
      <c r="GI85" s="626"/>
      <c r="GJ85" s="626"/>
      <c r="GK85" s="626"/>
      <c r="GL85" s="626"/>
      <c r="GM85" s="626"/>
      <c r="GN85" s="626"/>
      <c r="GO85" s="626"/>
      <c r="GP85" s="626"/>
      <c r="GQ85" s="626"/>
      <c r="GR85" s="626"/>
      <c r="GS85" s="626"/>
      <c r="GT85" s="626"/>
      <c r="GU85" s="626"/>
      <c r="GV85" s="626"/>
      <c r="GW85" s="626"/>
      <c r="GX85" s="626"/>
      <c r="GY85" s="626"/>
      <c r="GZ85" s="626"/>
      <c r="HA85" s="626"/>
      <c r="HB85" s="626"/>
      <c r="HC85" s="626"/>
      <c r="HD85" s="626"/>
      <c r="HE85" s="626"/>
      <c r="HF85" s="626"/>
      <c r="HG85" s="626"/>
      <c r="HH85" s="626"/>
      <c r="HI85" s="626"/>
      <c r="HJ85" s="626"/>
      <c r="HK85" s="626"/>
      <c r="HL85" s="626"/>
      <c r="HM85" s="626"/>
      <c r="HN85" s="626"/>
      <c r="HO85" s="626"/>
      <c r="HP85" s="626"/>
      <c r="HQ85" s="626"/>
      <c r="HR85" s="626"/>
      <c r="HS85" s="626"/>
      <c r="HT85" s="626"/>
      <c r="HU85" s="626"/>
      <c r="HV85" s="626"/>
      <c r="HW85" s="626"/>
      <c r="HX85" s="626"/>
      <c r="HY85" s="626"/>
      <c r="HZ85" s="626"/>
      <c r="IA85" s="626"/>
      <c r="IB85" s="626"/>
      <c r="IC85" s="626"/>
      <c r="ID85" s="626"/>
      <c r="IE85" s="626"/>
      <c r="IF85" s="626"/>
      <c r="IG85" s="626"/>
      <c r="IH85" s="626"/>
      <c r="II85" s="626"/>
      <c r="IJ85" s="626"/>
      <c r="IK85" s="626"/>
      <c r="IL85" s="626"/>
      <c r="IM85" s="626"/>
      <c r="IN85" s="626"/>
      <c r="IO85" s="626"/>
      <c r="IP85" s="626"/>
      <c r="IQ85" s="626"/>
      <c r="IR85" s="626"/>
      <c r="IS85" s="626"/>
      <c r="IT85" s="626"/>
      <c r="IU85" s="626"/>
    </row>
    <row r="86" spans="1:255" s="627" customFormat="1" ht="12.75" customHeight="1" x14ac:dyDescent="0.2">
      <c r="A86" s="461"/>
      <c r="B86" s="645"/>
      <c r="C86" s="645"/>
      <c r="D86" s="489"/>
      <c r="E86" s="489"/>
      <c r="F86" s="489"/>
      <c r="G86" s="623"/>
      <c r="H86" s="490" t="s">
        <v>20</v>
      </c>
      <c r="I86" s="490" t="s">
        <v>20</v>
      </c>
      <c r="J86" s="615"/>
      <c r="K86" s="118"/>
      <c r="L86" s="12"/>
      <c r="M86" s="12"/>
      <c r="N86" s="499"/>
      <c r="O86" s="499"/>
      <c r="P86" s="630"/>
      <c r="Q86" s="509"/>
      <c r="R86" s="509"/>
      <c r="S86" s="623"/>
      <c r="T86" s="649"/>
      <c r="U86" s="649"/>
      <c r="V86" s="123"/>
      <c r="W86" s="123"/>
      <c r="X86" s="123"/>
      <c r="Y86" s="624"/>
      <c r="Z86" s="625"/>
      <c r="AA86" s="625"/>
      <c r="AB86" s="625"/>
      <c r="AC86" s="625"/>
      <c r="AD86" s="625"/>
      <c r="AE86" s="625"/>
      <c r="AF86" s="625"/>
      <c r="AG86" s="625"/>
      <c r="AH86" s="625"/>
      <c r="AI86" s="625"/>
      <c r="AJ86" s="625"/>
      <c r="AK86" s="625"/>
      <c r="AL86" s="625"/>
      <c r="AM86" s="625"/>
      <c r="AN86" s="625"/>
      <c r="AO86" s="625"/>
      <c r="AP86" s="625"/>
      <c r="AQ86" s="625"/>
      <c r="AR86" s="625"/>
      <c r="AS86" s="625"/>
      <c r="AT86" s="625"/>
      <c r="AU86" s="625"/>
      <c r="AV86" s="625"/>
      <c r="AW86" s="625"/>
      <c r="AX86" s="625"/>
      <c r="AY86" s="625"/>
      <c r="AZ86" s="625"/>
      <c r="BA86" s="625"/>
      <c r="BB86" s="625"/>
      <c r="BC86" s="625"/>
      <c r="BD86" s="625"/>
      <c r="BE86" s="625"/>
      <c r="BF86" s="626"/>
      <c r="BG86" s="626"/>
      <c r="BH86" s="626"/>
      <c r="BI86" s="626"/>
      <c r="BJ86" s="626"/>
      <c r="BK86" s="626"/>
      <c r="BL86" s="626"/>
      <c r="BM86" s="626"/>
      <c r="BN86" s="626"/>
      <c r="BO86" s="626"/>
      <c r="BP86" s="626"/>
      <c r="BQ86" s="626"/>
      <c r="BR86" s="626"/>
      <c r="BS86" s="626"/>
      <c r="BT86" s="626"/>
      <c r="BU86" s="626"/>
      <c r="BV86" s="626"/>
      <c r="BW86" s="626"/>
      <c r="BX86" s="626"/>
      <c r="BY86" s="626"/>
      <c r="BZ86" s="626"/>
      <c r="CA86" s="626"/>
      <c r="CB86" s="626"/>
      <c r="CC86" s="626"/>
      <c r="CD86" s="626"/>
      <c r="CE86" s="626"/>
      <c r="CF86" s="626"/>
      <c r="CG86" s="626"/>
      <c r="CH86" s="626"/>
      <c r="CI86" s="626"/>
      <c r="CJ86" s="626"/>
      <c r="CK86" s="626"/>
      <c r="CL86" s="626"/>
      <c r="CM86" s="626"/>
      <c r="CN86" s="626"/>
      <c r="CO86" s="626"/>
      <c r="CP86" s="626"/>
      <c r="CQ86" s="626"/>
      <c r="CR86" s="626"/>
      <c r="CS86" s="626"/>
      <c r="CT86" s="626"/>
      <c r="CU86" s="626"/>
      <c r="CV86" s="626"/>
      <c r="CW86" s="626"/>
      <c r="CX86" s="626"/>
      <c r="CY86" s="626"/>
      <c r="CZ86" s="626"/>
      <c r="DA86" s="626"/>
      <c r="DB86" s="626"/>
      <c r="DC86" s="626"/>
      <c r="DD86" s="626"/>
      <c r="DE86" s="626"/>
      <c r="DF86" s="626"/>
      <c r="DG86" s="626"/>
      <c r="DH86" s="626"/>
      <c r="DI86" s="626"/>
      <c r="DJ86" s="626"/>
      <c r="DK86" s="626"/>
      <c r="DL86" s="626"/>
      <c r="DM86" s="626"/>
      <c r="DN86" s="626"/>
      <c r="DO86" s="626"/>
      <c r="DP86" s="626"/>
      <c r="DQ86" s="626"/>
      <c r="DR86" s="626"/>
      <c r="DS86" s="626"/>
      <c r="DT86" s="626"/>
      <c r="DU86" s="626"/>
      <c r="DV86" s="626"/>
      <c r="DW86" s="626"/>
      <c r="DX86" s="626"/>
      <c r="DY86" s="626"/>
      <c r="DZ86" s="626"/>
      <c r="EA86" s="626"/>
      <c r="EB86" s="626"/>
      <c r="EC86" s="626"/>
      <c r="ED86" s="626"/>
      <c r="EE86" s="626"/>
      <c r="EF86" s="626"/>
      <c r="EG86" s="626"/>
      <c r="EH86" s="626"/>
      <c r="EI86" s="626"/>
      <c r="EJ86" s="626"/>
      <c r="EK86" s="626"/>
      <c r="EL86" s="626"/>
      <c r="EM86" s="626"/>
      <c r="EN86" s="626"/>
      <c r="EO86" s="626"/>
      <c r="EP86" s="626"/>
      <c r="EQ86" s="626"/>
      <c r="ER86" s="626"/>
      <c r="ES86" s="626"/>
      <c r="ET86" s="626"/>
      <c r="EU86" s="626"/>
      <c r="EV86" s="626"/>
      <c r="EW86" s="626"/>
      <c r="EX86" s="626"/>
      <c r="EY86" s="626"/>
      <c r="EZ86" s="626"/>
      <c r="FA86" s="626"/>
      <c r="FB86" s="626"/>
      <c r="FC86" s="626"/>
      <c r="FD86" s="626"/>
      <c r="FE86" s="626"/>
      <c r="FF86" s="626"/>
      <c r="FG86" s="626"/>
      <c r="FH86" s="626"/>
      <c r="FI86" s="626"/>
      <c r="FJ86" s="626"/>
      <c r="FK86" s="626"/>
      <c r="FL86" s="626"/>
      <c r="FM86" s="626"/>
      <c r="FN86" s="626"/>
      <c r="FO86" s="626"/>
      <c r="FP86" s="626"/>
      <c r="FQ86" s="626"/>
      <c r="FR86" s="626"/>
      <c r="FS86" s="626"/>
      <c r="FT86" s="626"/>
      <c r="FU86" s="626"/>
      <c r="FV86" s="626"/>
      <c r="FW86" s="626"/>
      <c r="FX86" s="626"/>
      <c r="FY86" s="626"/>
      <c r="FZ86" s="626"/>
      <c r="GA86" s="626"/>
      <c r="GB86" s="626"/>
      <c r="GC86" s="626"/>
      <c r="GD86" s="626"/>
      <c r="GE86" s="626"/>
      <c r="GF86" s="626"/>
      <c r="GG86" s="626"/>
      <c r="GH86" s="626"/>
      <c r="GI86" s="626"/>
      <c r="GJ86" s="626"/>
      <c r="GK86" s="626"/>
      <c r="GL86" s="626"/>
      <c r="GM86" s="626"/>
      <c r="GN86" s="626"/>
      <c r="GO86" s="626"/>
      <c r="GP86" s="626"/>
      <c r="GQ86" s="626"/>
      <c r="GR86" s="626"/>
      <c r="GS86" s="626"/>
      <c r="GT86" s="626"/>
      <c r="GU86" s="626"/>
      <c r="GV86" s="626"/>
      <c r="GW86" s="626"/>
      <c r="GX86" s="626"/>
      <c r="GY86" s="626"/>
      <c r="GZ86" s="626"/>
      <c r="HA86" s="626"/>
      <c r="HB86" s="626"/>
      <c r="HC86" s="626"/>
      <c r="HD86" s="626"/>
      <c r="HE86" s="626"/>
      <c r="HF86" s="626"/>
      <c r="HG86" s="626"/>
      <c r="HH86" s="626"/>
      <c r="HI86" s="626"/>
      <c r="HJ86" s="626"/>
      <c r="HK86" s="626"/>
      <c r="HL86" s="626"/>
      <c r="HM86" s="626"/>
      <c r="HN86" s="626"/>
      <c r="HO86" s="626"/>
      <c r="HP86" s="626"/>
      <c r="HQ86" s="626"/>
      <c r="HR86" s="626"/>
      <c r="HS86" s="626"/>
      <c r="HT86" s="626"/>
      <c r="HU86" s="626"/>
      <c r="HV86" s="626"/>
      <c r="HW86" s="626"/>
      <c r="HX86" s="626"/>
      <c r="HY86" s="626"/>
      <c r="HZ86" s="626"/>
      <c r="IA86" s="626"/>
      <c r="IB86" s="626"/>
      <c r="IC86" s="626"/>
      <c r="ID86" s="626"/>
      <c r="IE86" s="626"/>
      <c r="IF86" s="626"/>
      <c r="IG86" s="626"/>
      <c r="IH86" s="626"/>
      <c r="II86" s="626"/>
      <c r="IJ86" s="626"/>
      <c r="IK86" s="626"/>
      <c r="IL86" s="626"/>
      <c r="IM86" s="626"/>
      <c r="IN86" s="626"/>
      <c r="IO86" s="626"/>
      <c r="IP86" s="626"/>
      <c r="IQ86" s="626"/>
      <c r="IR86" s="626"/>
      <c r="IS86" s="626"/>
      <c r="IT86" s="626"/>
      <c r="IU86" s="626"/>
    </row>
    <row r="87" spans="1:255" s="627" customFormat="1" ht="12.75" customHeight="1" x14ac:dyDescent="0.2">
      <c r="A87" s="461"/>
      <c r="B87" s="645"/>
      <c r="C87" s="645"/>
      <c r="D87" s="489"/>
      <c r="E87" s="489"/>
      <c r="F87" s="489"/>
      <c r="G87" s="623"/>
      <c r="H87" s="490" t="s">
        <v>20</v>
      </c>
      <c r="I87" s="490" t="s">
        <v>20</v>
      </c>
      <c r="J87" s="615"/>
      <c r="K87" s="118"/>
      <c r="L87" s="12"/>
      <c r="M87" s="12"/>
      <c r="N87" s="499"/>
      <c r="O87" s="499"/>
      <c r="P87" s="630"/>
      <c r="Q87" s="509"/>
      <c r="R87" s="509"/>
      <c r="S87" s="623"/>
      <c r="T87" s="649"/>
      <c r="U87" s="649"/>
      <c r="V87" s="123"/>
      <c r="W87" s="123"/>
      <c r="X87" s="123"/>
      <c r="Y87" s="624"/>
      <c r="Z87" s="625"/>
      <c r="AA87" s="625"/>
      <c r="AB87" s="625"/>
      <c r="AC87" s="625"/>
      <c r="AD87" s="625"/>
      <c r="AE87" s="625"/>
      <c r="AF87" s="625"/>
      <c r="AG87" s="625"/>
      <c r="AH87" s="625"/>
      <c r="AI87" s="625"/>
      <c r="AJ87" s="625"/>
      <c r="AK87" s="625"/>
      <c r="AL87" s="625"/>
      <c r="AM87" s="625"/>
      <c r="AN87" s="625"/>
      <c r="AO87" s="625"/>
      <c r="AP87" s="625"/>
      <c r="AQ87" s="625"/>
      <c r="AR87" s="625"/>
      <c r="AS87" s="625"/>
      <c r="AT87" s="625"/>
      <c r="AU87" s="625"/>
      <c r="AV87" s="625"/>
      <c r="AW87" s="625"/>
      <c r="AX87" s="625"/>
      <c r="AY87" s="625"/>
      <c r="AZ87" s="625"/>
      <c r="BA87" s="625"/>
      <c r="BB87" s="625"/>
      <c r="BC87" s="625"/>
      <c r="BD87" s="625"/>
      <c r="BE87" s="625"/>
      <c r="BF87" s="626"/>
      <c r="BG87" s="626"/>
      <c r="BH87" s="626"/>
      <c r="BI87" s="626"/>
      <c r="BJ87" s="626"/>
      <c r="BK87" s="626"/>
      <c r="BL87" s="626"/>
      <c r="BM87" s="626"/>
      <c r="BN87" s="626"/>
      <c r="BO87" s="626"/>
      <c r="BP87" s="626"/>
      <c r="BQ87" s="626"/>
      <c r="BR87" s="626"/>
      <c r="BS87" s="626"/>
      <c r="BT87" s="626"/>
      <c r="BU87" s="626"/>
      <c r="BV87" s="626"/>
      <c r="BW87" s="626"/>
      <c r="BX87" s="626"/>
      <c r="BY87" s="626"/>
      <c r="BZ87" s="626"/>
      <c r="CA87" s="626"/>
      <c r="CB87" s="626"/>
      <c r="CC87" s="626"/>
      <c r="CD87" s="626"/>
      <c r="CE87" s="626"/>
      <c r="CF87" s="626"/>
      <c r="CG87" s="626"/>
      <c r="CH87" s="626"/>
      <c r="CI87" s="626"/>
      <c r="CJ87" s="626"/>
      <c r="CK87" s="626"/>
      <c r="CL87" s="626"/>
      <c r="CM87" s="626"/>
      <c r="CN87" s="626"/>
      <c r="CO87" s="626"/>
      <c r="CP87" s="626"/>
      <c r="CQ87" s="626"/>
      <c r="CR87" s="626"/>
      <c r="CS87" s="626"/>
      <c r="CT87" s="626"/>
      <c r="CU87" s="626"/>
      <c r="CV87" s="626"/>
      <c r="CW87" s="626"/>
      <c r="CX87" s="626"/>
      <c r="CY87" s="626"/>
      <c r="CZ87" s="626"/>
      <c r="DA87" s="626"/>
      <c r="DB87" s="626"/>
      <c r="DC87" s="626"/>
      <c r="DD87" s="626"/>
      <c r="DE87" s="626"/>
      <c r="DF87" s="626"/>
      <c r="DG87" s="626"/>
      <c r="DH87" s="626"/>
      <c r="DI87" s="626"/>
      <c r="DJ87" s="626"/>
      <c r="DK87" s="626"/>
      <c r="DL87" s="626"/>
      <c r="DM87" s="626"/>
      <c r="DN87" s="626"/>
      <c r="DO87" s="626"/>
      <c r="DP87" s="626"/>
      <c r="DQ87" s="626"/>
      <c r="DR87" s="626"/>
      <c r="DS87" s="626"/>
      <c r="DT87" s="626"/>
      <c r="DU87" s="626"/>
      <c r="DV87" s="626"/>
      <c r="DW87" s="626"/>
      <c r="DX87" s="626"/>
      <c r="DY87" s="626"/>
      <c r="DZ87" s="626"/>
      <c r="EA87" s="626"/>
      <c r="EB87" s="626"/>
      <c r="EC87" s="626"/>
      <c r="ED87" s="626"/>
      <c r="EE87" s="626"/>
      <c r="EF87" s="626"/>
      <c r="EG87" s="626"/>
      <c r="EH87" s="626"/>
      <c r="EI87" s="626"/>
      <c r="EJ87" s="626"/>
      <c r="EK87" s="626"/>
      <c r="EL87" s="626"/>
      <c r="EM87" s="626"/>
      <c r="EN87" s="626"/>
      <c r="EO87" s="626"/>
      <c r="EP87" s="626"/>
      <c r="EQ87" s="626"/>
      <c r="ER87" s="626"/>
      <c r="ES87" s="626"/>
      <c r="ET87" s="626"/>
      <c r="EU87" s="626"/>
      <c r="EV87" s="626"/>
      <c r="EW87" s="626"/>
      <c r="EX87" s="626"/>
      <c r="EY87" s="626"/>
      <c r="EZ87" s="626"/>
      <c r="FA87" s="626"/>
      <c r="FB87" s="626"/>
      <c r="FC87" s="626"/>
      <c r="FD87" s="626"/>
      <c r="FE87" s="626"/>
      <c r="FF87" s="626"/>
      <c r="FG87" s="626"/>
      <c r="FH87" s="626"/>
      <c r="FI87" s="626"/>
      <c r="FJ87" s="626"/>
      <c r="FK87" s="626"/>
      <c r="FL87" s="626"/>
      <c r="FM87" s="626"/>
      <c r="FN87" s="626"/>
      <c r="FO87" s="626"/>
      <c r="FP87" s="626"/>
      <c r="FQ87" s="626"/>
      <c r="FR87" s="626"/>
      <c r="FS87" s="626"/>
      <c r="FT87" s="626"/>
      <c r="FU87" s="626"/>
      <c r="FV87" s="626"/>
      <c r="FW87" s="626"/>
      <c r="FX87" s="626"/>
      <c r="FY87" s="626"/>
      <c r="FZ87" s="626"/>
      <c r="GA87" s="626"/>
      <c r="GB87" s="626"/>
      <c r="GC87" s="626"/>
      <c r="GD87" s="626"/>
      <c r="GE87" s="626"/>
      <c r="GF87" s="626"/>
      <c r="GG87" s="626"/>
      <c r="GH87" s="626"/>
      <c r="GI87" s="626"/>
      <c r="GJ87" s="626"/>
      <c r="GK87" s="626"/>
      <c r="GL87" s="626"/>
      <c r="GM87" s="626"/>
      <c r="GN87" s="626"/>
      <c r="GO87" s="626"/>
      <c r="GP87" s="626"/>
      <c r="GQ87" s="626"/>
      <c r="GR87" s="626"/>
      <c r="GS87" s="626"/>
      <c r="GT87" s="626"/>
      <c r="GU87" s="626"/>
      <c r="GV87" s="626"/>
      <c r="GW87" s="626"/>
      <c r="GX87" s="626"/>
      <c r="GY87" s="626"/>
      <c r="GZ87" s="626"/>
      <c r="HA87" s="626"/>
      <c r="HB87" s="626"/>
      <c r="HC87" s="626"/>
      <c r="HD87" s="626"/>
      <c r="HE87" s="626"/>
      <c r="HF87" s="626"/>
      <c r="HG87" s="626"/>
      <c r="HH87" s="626"/>
      <c r="HI87" s="626"/>
      <c r="HJ87" s="626"/>
      <c r="HK87" s="626"/>
      <c r="HL87" s="626"/>
      <c r="HM87" s="626"/>
      <c r="HN87" s="626"/>
      <c r="HO87" s="626"/>
      <c r="HP87" s="626"/>
      <c r="HQ87" s="626"/>
      <c r="HR87" s="626"/>
      <c r="HS87" s="626"/>
      <c r="HT87" s="626"/>
      <c r="HU87" s="626"/>
      <c r="HV87" s="626"/>
      <c r="HW87" s="626"/>
      <c r="HX87" s="626"/>
      <c r="HY87" s="626"/>
      <c r="HZ87" s="626"/>
      <c r="IA87" s="626"/>
      <c r="IB87" s="626"/>
      <c r="IC87" s="626"/>
      <c r="ID87" s="626"/>
      <c r="IE87" s="626"/>
      <c r="IF87" s="626"/>
      <c r="IG87" s="626"/>
      <c r="IH87" s="626"/>
      <c r="II87" s="626"/>
      <c r="IJ87" s="626"/>
      <c r="IK87" s="626"/>
      <c r="IL87" s="626"/>
      <c r="IM87" s="626"/>
      <c r="IN87" s="626"/>
      <c r="IO87" s="626"/>
      <c r="IP87" s="626"/>
      <c r="IQ87" s="626"/>
      <c r="IR87" s="626"/>
      <c r="IS87" s="626"/>
      <c r="IT87" s="626"/>
      <c r="IU87" s="626"/>
    </row>
    <row r="88" spans="1:255" s="627" customFormat="1" ht="12.75" customHeight="1" x14ac:dyDescent="0.2">
      <c r="A88" s="461"/>
      <c r="B88" s="645"/>
      <c r="C88" s="489"/>
      <c r="D88" s="489"/>
      <c r="E88" s="489"/>
      <c r="F88" s="489"/>
      <c r="G88" s="623"/>
      <c r="H88" s="490" t="s">
        <v>20</v>
      </c>
      <c r="I88" s="490" t="s">
        <v>20</v>
      </c>
      <c r="J88" s="615"/>
      <c r="K88" s="118"/>
      <c r="L88" s="12"/>
      <c r="M88" s="12"/>
      <c r="N88" s="499"/>
      <c r="O88" s="499"/>
      <c r="P88" s="630"/>
      <c r="Q88" s="509"/>
      <c r="R88" s="509"/>
      <c r="S88" s="623"/>
      <c r="T88" s="649"/>
      <c r="U88" s="649"/>
      <c r="V88" s="123"/>
      <c r="W88" s="123"/>
      <c r="X88" s="123"/>
      <c r="Y88" s="624"/>
      <c r="Z88" s="625"/>
      <c r="AA88" s="625"/>
      <c r="AB88" s="625"/>
      <c r="AC88" s="625"/>
      <c r="AD88" s="625"/>
      <c r="AE88" s="625"/>
      <c r="AF88" s="625"/>
      <c r="AG88" s="625"/>
      <c r="AH88" s="625"/>
      <c r="AI88" s="625"/>
      <c r="AJ88" s="625"/>
      <c r="AK88" s="625"/>
      <c r="AL88" s="625"/>
      <c r="AM88" s="625"/>
      <c r="AN88" s="625"/>
      <c r="AO88" s="625"/>
      <c r="AP88" s="625"/>
      <c r="AQ88" s="625"/>
      <c r="AR88" s="625"/>
      <c r="AS88" s="625"/>
      <c r="AT88" s="625"/>
      <c r="AU88" s="625"/>
      <c r="AV88" s="625"/>
      <c r="AW88" s="625"/>
      <c r="AX88" s="625"/>
      <c r="AY88" s="625"/>
      <c r="AZ88" s="625"/>
      <c r="BA88" s="625"/>
      <c r="BB88" s="625"/>
      <c r="BC88" s="625"/>
      <c r="BD88" s="625"/>
      <c r="BE88" s="625"/>
      <c r="BF88" s="626"/>
      <c r="BG88" s="626"/>
      <c r="BH88" s="626"/>
      <c r="BI88" s="626"/>
      <c r="BJ88" s="626"/>
      <c r="BK88" s="626"/>
      <c r="BL88" s="626"/>
      <c r="BM88" s="626"/>
      <c r="BN88" s="626"/>
      <c r="BO88" s="626"/>
      <c r="BP88" s="626"/>
      <c r="BQ88" s="626"/>
      <c r="BR88" s="626"/>
      <c r="BS88" s="626"/>
      <c r="BT88" s="626"/>
      <c r="BU88" s="626"/>
      <c r="BV88" s="626"/>
      <c r="BW88" s="626"/>
      <c r="BX88" s="626"/>
      <c r="BY88" s="626"/>
      <c r="BZ88" s="626"/>
      <c r="CA88" s="626"/>
      <c r="CB88" s="626"/>
      <c r="CC88" s="626"/>
      <c r="CD88" s="626"/>
      <c r="CE88" s="626"/>
      <c r="CF88" s="626"/>
      <c r="CG88" s="626"/>
      <c r="CH88" s="626"/>
      <c r="CI88" s="626"/>
      <c r="CJ88" s="626"/>
      <c r="CK88" s="626"/>
      <c r="CL88" s="626"/>
      <c r="CM88" s="626"/>
      <c r="CN88" s="626"/>
      <c r="CO88" s="626"/>
      <c r="CP88" s="626"/>
      <c r="CQ88" s="626"/>
      <c r="CR88" s="626"/>
      <c r="CS88" s="626"/>
      <c r="CT88" s="626"/>
      <c r="CU88" s="626"/>
      <c r="CV88" s="626"/>
      <c r="CW88" s="626"/>
      <c r="CX88" s="626"/>
      <c r="CY88" s="626"/>
      <c r="CZ88" s="626"/>
      <c r="DA88" s="626"/>
      <c r="DB88" s="626"/>
      <c r="DC88" s="626"/>
      <c r="DD88" s="626"/>
      <c r="DE88" s="626"/>
      <c r="DF88" s="626"/>
      <c r="DG88" s="626"/>
      <c r="DH88" s="626"/>
      <c r="DI88" s="626"/>
      <c r="DJ88" s="626"/>
      <c r="DK88" s="626"/>
      <c r="DL88" s="626"/>
      <c r="DM88" s="626"/>
      <c r="DN88" s="626"/>
      <c r="DO88" s="626"/>
      <c r="DP88" s="626"/>
      <c r="DQ88" s="626"/>
      <c r="DR88" s="626"/>
      <c r="DS88" s="626"/>
      <c r="DT88" s="626"/>
      <c r="DU88" s="626"/>
      <c r="DV88" s="626"/>
      <c r="DW88" s="626"/>
      <c r="DX88" s="626"/>
      <c r="DY88" s="626"/>
      <c r="DZ88" s="626"/>
      <c r="EA88" s="626"/>
      <c r="EB88" s="626"/>
      <c r="EC88" s="626"/>
      <c r="ED88" s="626"/>
      <c r="EE88" s="626"/>
      <c r="EF88" s="626"/>
      <c r="EG88" s="626"/>
      <c r="EH88" s="626"/>
      <c r="EI88" s="626"/>
      <c r="EJ88" s="626"/>
      <c r="EK88" s="626"/>
      <c r="EL88" s="626"/>
      <c r="EM88" s="626"/>
      <c r="EN88" s="626"/>
      <c r="EO88" s="626"/>
      <c r="EP88" s="626"/>
      <c r="EQ88" s="626"/>
      <c r="ER88" s="626"/>
      <c r="ES88" s="626"/>
      <c r="ET88" s="626"/>
      <c r="EU88" s="626"/>
      <c r="EV88" s="626"/>
      <c r="EW88" s="626"/>
      <c r="EX88" s="626"/>
      <c r="EY88" s="626"/>
      <c r="EZ88" s="626"/>
      <c r="FA88" s="626"/>
      <c r="FB88" s="626"/>
      <c r="FC88" s="626"/>
      <c r="FD88" s="626"/>
      <c r="FE88" s="626"/>
      <c r="FF88" s="626"/>
      <c r="FG88" s="626"/>
      <c r="FH88" s="626"/>
      <c r="FI88" s="626"/>
      <c r="FJ88" s="626"/>
      <c r="FK88" s="626"/>
      <c r="FL88" s="626"/>
      <c r="FM88" s="626"/>
      <c r="FN88" s="626"/>
      <c r="FO88" s="626"/>
      <c r="FP88" s="626"/>
      <c r="FQ88" s="626"/>
      <c r="FR88" s="626"/>
      <c r="FS88" s="626"/>
      <c r="FT88" s="626"/>
      <c r="FU88" s="626"/>
      <c r="FV88" s="626"/>
      <c r="FW88" s="626"/>
      <c r="FX88" s="626"/>
      <c r="FY88" s="626"/>
      <c r="FZ88" s="626"/>
      <c r="GA88" s="626"/>
      <c r="GB88" s="626"/>
      <c r="GC88" s="626"/>
      <c r="GD88" s="626"/>
      <c r="GE88" s="626"/>
      <c r="GF88" s="626"/>
      <c r="GG88" s="626"/>
      <c r="GH88" s="626"/>
      <c r="GI88" s="626"/>
      <c r="GJ88" s="626"/>
      <c r="GK88" s="626"/>
      <c r="GL88" s="626"/>
      <c r="GM88" s="626"/>
      <c r="GN88" s="626"/>
      <c r="GO88" s="626"/>
      <c r="GP88" s="626"/>
      <c r="GQ88" s="626"/>
      <c r="GR88" s="626"/>
      <c r="GS88" s="626"/>
      <c r="GT88" s="626"/>
      <c r="GU88" s="626"/>
      <c r="GV88" s="626"/>
      <c r="GW88" s="626"/>
      <c r="GX88" s="626"/>
      <c r="GY88" s="626"/>
      <c r="GZ88" s="626"/>
      <c r="HA88" s="626"/>
      <c r="HB88" s="626"/>
      <c r="HC88" s="626"/>
      <c r="HD88" s="626"/>
      <c r="HE88" s="626"/>
      <c r="HF88" s="626"/>
      <c r="HG88" s="626"/>
      <c r="HH88" s="626"/>
      <c r="HI88" s="626"/>
      <c r="HJ88" s="626"/>
      <c r="HK88" s="626"/>
      <c r="HL88" s="626"/>
      <c r="HM88" s="626"/>
      <c r="HN88" s="626"/>
      <c r="HO88" s="626"/>
      <c r="HP88" s="626"/>
      <c r="HQ88" s="626"/>
      <c r="HR88" s="626"/>
      <c r="HS88" s="626"/>
      <c r="HT88" s="626"/>
      <c r="HU88" s="626"/>
      <c r="HV88" s="626"/>
      <c r="HW88" s="626"/>
      <c r="HX88" s="626"/>
      <c r="HY88" s="626"/>
      <c r="HZ88" s="626"/>
      <c r="IA88" s="626"/>
      <c r="IB88" s="626"/>
      <c r="IC88" s="626"/>
      <c r="ID88" s="626"/>
      <c r="IE88" s="626"/>
      <c r="IF88" s="626"/>
      <c r="IG88" s="626"/>
      <c r="IH88" s="626"/>
      <c r="II88" s="626"/>
      <c r="IJ88" s="626"/>
      <c r="IK88" s="626"/>
      <c r="IL88" s="626"/>
      <c r="IM88" s="626"/>
      <c r="IN88" s="626"/>
      <c r="IO88" s="626"/>
      <c r="IP88" s="626"/>
      <c r="IQ88" s="626"/>
      <c r="IR88" s="626"/>
      <c r="IS88" s="626"/>
      <c r="IT88" s="626"/>
      <c r="IU88" s="626"/>
    </row>
    <row r="89" spans="1:255" s="627" customFormat="1" ht="12.75" customHeight="1" x14ac:dyDescent="0.2">
      <c r="A89" s="461"/>
      <c r="B89" s="645"/>
      <c r="C89" s="645"/>
      <c r="D89" s="489"/>
      <c r="E89" s="489"/>
      <c r="F89" s="489"/>
      <c r="G89" s="623"/>
      <c r="H89" s="490" t="s">
        <v>20</v>
      </c>
      <c r="I89" s="490" t="s">
        <v>20</v>
      </c>
      <c r="J89" s="615"/>
      <c r="K89" s="118"/>
      <c r="L89" s="12"/>
      <c r="M89" s="12"/>
      <c r="N89" s="499"/>
      <c r="O89" s="499"/>
      <c r="P89" s="630"/>
      <c r="Q89" s="509"/>
      <c r="R89" s="509"/>
      <c r="S89" s="623"/>
      <c r="T89" s="649"/>
      <c r="U89" s="649"/>
      <c r="V89" s="123"/>
      <c r="W89" s="123"/>
      <c r="X89" s="123"/>
      <c r="Y89" s="624"/>
      <c r="Z89" s="625"/>
      <c r="AA89" s="625"/>
      <c r="AB89" s="625"/>
      <c r="AC89" s="625"/>
      <c r="AD89" s="625"/>
      <c r="AE89" s="625"/>
      <c r="AF89" s="625"/>
      <c r="AG89" s="625"/>
      <c r="AH89" s="625"/>
      <c r="AI89" s="625"/>
      <c r="AJ89" s="625"/>
      <c r="AK89" s="625"/>
      <c r="AL89" s="625"/>
      <c r="AM89" s="625"/>
      <c r="AN89" s="625"/>
      <c r="AO89" s="625"/>
      <c r="AP89" s="625"/>
      <c r="AQ89" s="625"/>
      <c r="AR89" s="625"/>
      <c r="AS89" s="625"/>
      <c r="AT89" s="625"/>
      <c r="AU89" s="625"/>
      <c r="AV89" s="625"/>
      <c r="AW89" s="625"/>
      <c r="AX89" s="625"/>
      <c r="AY89" s="625"/>
      <c r="AZ89" s="625"/>
      <c r="BA89" s="625"/>
      <c r="BB89" s="625"/>
      <c r="BC89" s="625"/>
      <c r="BD89" s="625"/>
      <c r="BE89" s="625"/>
      <c r="BF89" s="626"/>
      <c r="BG89" s="626"/>
      <c r="BH89" s="626"/>
      <c r="BI89" s="626"/>
      <c r="BJ89" s="626"/>
      <c r="BK89" s="626"/>
      <c r="BL89" s="626"/>
      <c r="BM89" s="626"/>
      <c r="BN89" s="626"/>
      <c r="BO89" s="626"/>
      <c r="BP89" s="626"/>
      <c r="BQ89" s="626"/>
      <c r="BR89" s="626"/>
      <c r="BS89" s="626"/>
      <c r="BT89" s="626"/>
      <c r="BU89" s="626"/>
      <c r="BV89" s="626"/>
      <c r="BW89" s="626"/>
      <c r="BX89" s="626"/>
      <c r="BY89" s="626"/>
      <c r="BZ89" s="626"/>
      <c r="CA89" s="626"/>
      <c r="CB89" s="626"/>
      <c r="CC89" s="626"/>
      <c r="CD89" s="626"/>
      <c r="CE89" s="626"/>
      <c r="CF89" s="626"/>
      <c r="CG89" s="626"/>
      <c r="CH89" s="626"/>
      <c r="CI89" s="626"/>
      <c r="CJ89" s="626"/>
      <c r="CK89" s="626"/>
      <c r="CL89" s="626"/>
      <c r="CM89" s="626"/>
      <c r="CN89" s="626"/>
      <c r="CO89" s="626"/>
      <c r="CP89" s="626"/>
      <c r="CQ89" s="626"/>
      <c r="CR89" s="626"/>
      <c r="CS89" s="626"/>
      <c r="CT89" s="626"/>
      <c r="CU89" s="626"/>
      <c r="CV89" s="626"/>
      <c r="CW89" s="626"/>
      <c r="CX89" s="626"/>
      <c r="CY89" s="626"/>
      <c r="CZ89" s="626"/>
      <c r="DA89" s="626"/>
      <c r="DB89" s="626"/>
      <c r="DC89" s="626"/>
      <c r="DD89" s="626"/>
      <c r="DE89" s="626"/>
      <c r="DF89" s="626"/>
      <c r="DG89" s="626"/>
      <c r="DH89" s="626"/>
      <c r="DI89" s="626"/>
      <c r="DJ89" s="626"/>
      <c r="DK89" s="626"/>
      <c r="DL89" s="626"/>
      <c r="DM89" s="626"/>
      <c r="DN89" s="626"/>
      <c r="DO89" s="626"/>
      <c r="DP89" s="626"/>
      <c r="DQ89" s="626"/>
      <c r="DR89" s="626"/>
      <c r="DS89" s="626"/>
      <c r="DT89" s="626"/>
      <c r="DU89" s="626"/>
      <c r="DV89" s="626"/>
      <c r="DW89" s="626"/>
      <c r="DX89" s="626"/>
      <c r="DY89" s="626"/>
      <c r="DZ89" s="626"/>
      <c r="EA89" s="626"/>
      <c r="EB89" s="626"/>
      <c r="EC89" s="626"/>
      <c r="ED89" s="626"/>
      <c r="EE89" s="626"/>
      <c r="EF89" s="626"/>
      <c r="EG89" s="626"/>
      <c r="EH89" s="626"/>
      <c r="EI89" s="626"/>
      <c r="EJ89" s="626"/>
      <c r="EK89" s="626"/>
      <c r="EL89" s="626"/>
      <c r="EM89" s="626"/>
      <c r="EN89" s="626"/>
      <c r="EO89" s="626"/>
      <c r="EP89" s="626"/>
      <c r="EQ89" s="626"/>
      <c r="ER89" s="626"/>
      <c r="ES89" s="626"/>
      <c r="ET89" s="626"/>
      <c r="EU89" s="626"/>
      <c r="EV89" s="626"/>
      <c r="EW89" s="626"/>
      <c r="EX89" s="626"/>
      <c r="EY89" s="626"/>
      <c r="EZ89" s="626"/>
      <c r="FA89" s="626"/>
      <c r="FB89" s="626"/>
      <c r="FC89" s="626"/>
      <c r="FD89" s="626"/>
      <c r="FE89" s="626"/>
      <c r="FF89" s="626"/>
      <c r="FG89" s="626"/>
      <c r="FH89" s="626"/>
      <c r="FI89" s="626"/>
      <c r="FJ89" s="626"/>
      <c r="FK89" s="626"/>
      <c r="FL89" s="626"/>
      <c r="FM89" s="626"/>
      <c r="FN89" s="626"/>
      <c r="FO89" s="626"/>
      <c r="FP89" s="626"/>
      <c r="FQ89" s="626"/>
      <c r="FR89" s="626"/>
      <c r="FS89" s="626"/>
      <c r="FT89" s="626"/>
      <c r="FU89" s="626"/>
      <c r="FV89" s="626"/>
      <c r="FW89" s="626"/>
      <c r="FX89" s="626"/>
      <c r="FY89" s="626"/>
      <c r="FZ89" s="626"/>
      <c r="GA89" s="626"/>
      <c r="GB89" s="626"/>
      <c r="GC89" s="626"/>
      <c r="GD89" s="626"/>
      <c r="GE89" s="626"/>
      <c r="GF89" s="626"/>
      <c r="GG89" s="626"/>
      <c r="GH89" s="626"/>
      <c r="GI89" s="626"/>
      <c r="GJ89" s="626"/>
      <c r="GK89" s="626"/>
      <c r="GL89" s="626"/>
      <c r="GM89" s="626"/>
      <c r="GN89" s="626"/>
      <c r="GO89" s="626"/>
      <c r="GP89" s="626"/>
      <c r="GQ89" s="626"/>
      <c r="GR89" s="626"/>
      <c r="GS89" s="626"/>
      <c r="GT89" s="626"/>
      <c r="GU89" s="626"/>
      <c r="GV89" s="626"/>
      <c r="GW89" s="626"/>
      <c r="GX89" s="626"/>
      <c r="GY89" s="626"/>
      <c r="GZ89" s="626"/>
      <c r="HA89" s="626"/>
      <c r="HB89" s="626"/>
      <c r="HC89" s="626"/>
      <c r="HD89" s="626"/>
      <c r="HE89" s="626"/>
      <c r="HF89" s="626"/>
      <c r="HG89" s="626"/>
      <c r="HH89" s="626"/>
      <c r="HI89" s="626"/>
      <c r="HJ89" s="626"/>
      <c r="HK89" s="626"/>
      <c r="HL89" s="626"/>
      <c r="HM89" s="626"/>
      <c r="HN89" s="626"/>
      <c r="HO89" s="626"/>
      <c r="HP89" s="626"/>
      <c r="HQ89" s="626"/>
      <c r="HR89" s="626"/>
      <c r="HS89" s="626"/>
      <c r="HT89" s="626"/>
      <c r="HU89" s="626"/>
      <c r="HV89" s="626"/>
      <c r="HW89" s="626"/>
      <c r="HX89" s="626"/>
      <c r="HY89" s="626"/>
      <c r="HZ89" s="626"/>
      <c r="IA89" s="626"/>
      <c r="IB89" s="626"/>
      <c r="IC89" s="626"/>
      <c r="ID89" s="626"/>
      <c r="IE89" s="626"/>
      <c r="IF89" s="626"/>
      <c r="IG89" s="626"/>
      <c r="IH89" s="626"/>
      <c r="II89" s="626"/>
      <c r="IJ89" s="626"/>
      <c r="IK89" s="626"/>
      <c r="IL89" s="626"/>
      <c r="IM89" s="626"/>
      <c r="IN89" s="626"/>
      <c r="IO89" s="626"/>
      <c r="IP89" s="626"/>
      <c r="IQ89" s="626"/>
      <c r="IR89" s="626"/>
      <c r="IS89" s="626"/>
      <c r="IT89" s="626"/>
      <c r="IU89" s="626"/>
    </row>
    <row r="90" spans="1:255" s="627" customFormat="1" ht="12.75" customHeight="1" x14ac:dyDescent="0.2">
      <c r="A90" s="461"/>
      <c r="B90" s="645"/>
      <c r="C90" s="645"/>
      <c r="D90" s="489"/>
      <c r="E90" s="489"/>
      <c r="F90" s="489"/>
      <c r="G90" s="623"/>
      <c r="H90" s="490" t="s">
        <v>20</v>
      </c>
      <c r="I90" s="490" t="s">
        <v>20</v>
      </c>
      <c r="J90" s="615"/>
      <c r="K90" s="118"/>
      <c r="L90" s="12"/>
      <c r="M90" s="12"/>
      <c r="N90" s="499"/>
      <c r="O90" s="499"/>
      <c r="P90" s="630"/>
      <c r="Q90" s="509"/>
      <c r="R90" s="509"/>
      <c r="S90" s="623"/>
      <c r="T90" s="649"/>
      <c r="U90" s="649"/>
      <c r="V90" s="123"/>
      <c r="W90" s="123"/>
      <c r="X90" s="123"/>
      <c r="Y90" s="624"/>
      <c r="Z90" s="625"/>
      <c r="AA90" s="625"/>
      <c r="AB90" s="625"/>
      <c r="AC90" s="625"/>
      <c r="AD90" s="625"/>
      <c r="AE90" s="625"/>
      <c r="AF90" s="625"/>
      <c r="AG90" s="625"/>
      <c r="AH90" s="625"/>
      <c r="AI90" s="625"/>
      <c r="AJ90" s="625"/>
      <c r="AK90" s="625"/>
      <c r="AL90" s="625"/>
      <c r="AM90" s="625"/>
      <c r="AN90" s="625"/>
      <c r="AO90" s="625"/>
      <c r="AP90" s="625"/>
      <c r="AQ90" s="625"/>
      <c r="AR90" s="625"/>
      <c r="AS90" s="625"/>
      <c r="AT90" s="625"/>
      <c r="AU90" s="625"/>
      <c r="AV90" s="625"/>
      <c r="AW90" s="625"/>
      <c r="AX90" s="625"/>
      <c r="AY90" s="625"/>
      <c r="AZ90" s="625"/>
      <c r="BA90" s="625"/>
      <c r="BB90" s="625"/>
      <c r="BC90" s="625"/>
      <c r="BD90" s="625"/>
      <c r="BE90" s="625"/>
      <c r="BF90" s="626"/>
      <c r="BG90" s="626"/>
      <c r="BH90" s="626"/>
      <c r="BI90" s="626"/>
      <c r="BJ90" s="626"/>
      <c r="BK90" s="626"/>
      <c r="BL90" s="626"/>
      <c r="BM90" s="626"/>
      <c r="BN90" s="626"/>
      <c r="BO90" s="626"/>
      <c r="BP90" s="626"/>
      <c r="BQ90" s="626"/>
      <c r="BR90" s="626"/>
      <c r="BS90" s="626"/>
      <c r="BT90" s="626"/>
      <c r="BU90" s="626"/>
      <c r="BV90" s="626"/>
      <c r="BW90" s="626"/>
      <c r="BX90" s="626"/>
      <c r="BY90" s="626"/>
      <c r="BZ90" s="626"/>
      <c r="CA90" s="626"/>
      <c r="CB90" s="626"/>
      <c r="CC90" s="626"/>
      <c r="CD90" s="626"/>
      <c r="CE90" s="626"/>
      <c r="CF90" s="626"/>
      <c r="CG90" s="626"/>
      <c r="CH90" s="626"/>
      <c r="CI90" s="626"/>
      <c r="CJ90" s="626"/>
      <c r="CK90" s="626"/>
      <c r="CL90" s="626"/>
      <c r="CM90" s="626"/>
      <c r="CN90" s="626"/>
      <c r="CO90" s="626"/>
      <c r="CP90" s="626"/>
      <c r="CQ90" s="626"/>
      <c r="CR90" s="626"/>
      <c r="CS90" s="626"/>
      <c r="CT90" s="626"/>
      <c r="CU90" s="626"/>
      <c r="CV90" s="626"/>
      <c r="CW90" s="626"/>
      <c r="CX90" s="626"/>
      <c r="CY90" s="626"/>
      <c r="CZ90" s="626"/>
      <c r="DA90" s="626"/>
      <c r="DB90" s="626"/>
      <c r="DC90" s="626"/>
      <c r="DD90" s="626"/>
      <c r="DE90" s="626"/>
      <c r="DF90" s="626"/>
      <c r="DG90" s="626"/>
      <c r="DH90" s="626"/>
      <c r="DI90" s="626"/>
      <c r="DJ90" s="626"/>
      <c r="DK90" s="626"/>
      <c r="DL90" s="626"/>
      <c r="DM90" s="626"/>
      <c r="DN90" s="626"/>
      <c r="DO90" s="626"/>
      <c r="DP90" s="626"/>
      <c r="DQ90" s="626"/>
      <c r="DR90" s="626"/>
      <c r="DS90" s="626"/>
      <c r="DT90" s="626"/>
      <c r="DU90" s="626"/>
      <c r="DV90" s="626"/>
      <c r="DW90" s="626"/>
      <c r="DX90" s="626"/>
      <c r="DY90" s="626"/>
      <c r="DZ90" s="626"/>
      <c r="EA90" s="626"/>
      <c r="EB90" s="626"/>
      <c r="EC90" s="626"/>
      <c r="ED90" s="626"/>
      <c r="EE90" s="626"/>
      <c r="EF90" s="626"/>
      <c r="EG90" s="626"/>
      <c r="EH90" s="626"/>
      <c r="EI90" s="626"/>
      <c r="EJ90" s="626"/>
      <c r="EK90" s="626"/>
      <c r="EL90" s="626"/>
      <c r="EM90" s="626"/>
      <c r="EN90" s="626"/>
      <c r="EO90" s="626"/>
      <c r="EP90" s="626"/>
      <c r="EQ90" s="626"/>
      <c r="ER90" s="626"/>
      <c r="ES90" s="626"/>
      <c r="ET90" s="626"/>
      <c r="EU90" s="626"/>
      <c r="EV90" s="626"/>
      <c r="EW90" s="626"/>
      <c r="EX90" s="626"/>
      <c r="EY90" s="626"/>
      <c r="EZ90" s="626"/>
      <c r="FA90" s="626"/>
      <c r="FB90" s="626"/>
      <c r="FC90" s="626"/>
      <c r="FD90" s="626"/>
      <c r="FE90" s="626"/>
      <c r="FF90" s="626"/>
      <c r="FG90" s="626"/>
      <c r="FH90" s="626"/>
      <c r="FI90" s="626"/>
      <c r="FJ90" s="626"/>
      <c r="FK90" s="626"/>
      <c r="FL90" s="626"/>
      <c r="FM90" s="626"/>
      <c r="FN90" s="626"/>
      <c r="FO90" s="626"/>
      <c r="FP90" s="626"/>
      <c r="FQ90" s="626"/>
      <c r="FR90" s="626"/>
      <c r="FS90" s="626"/>
      <c r="FT90" s="626"/>
      <c r="FU90" s="626"/>
      <c r="FV90" s="626"/>
      <c r="FW90" s="626"/>
      <c r="FX90" s="626"/>
      <c r="FY90" s="626"/>
      <c r="FZ90" s="626"/>
      <c r="GA90" s="626"/>
      <c r="GB90" s="626"/>
      <c r="GC90" s="626"/>
      <c r="GD90" s="626"/>
      <c r="GE90" s="626"/>
      <c r="GF90" s="626"/>
      <c r="GG90" s="626"/>
      <c r="GH90" s="626"/>
      <c r="GI90" s="626"/>
      <c r="GJ90" s="626"/>
      <c r="GK90" s="626"/>
      <c r="GL90" s="626"/>
      <c r="GM90" s="626"/>
      <c r="GN90" s="626"/>
      <c r="GO90" s="626"/>
      <c r="GP90" s="626"/>
      <c r="GQ90" s="626"/>
      <c r="GR90" s="626"/>
      <c r="GS90" s="626"/>
      <c r="GT90" s="626"/>
      <c r="GU90" s="626"/>
      <c r="GV90" s="626"/>
      <c r="GW90" s="626"/>
      <c r="GX90" s="626"/>
      <c r="GY90" s="626"/>
      <c r="GZ90" s="626"/>
      <c r="HA90" s="626"/>
      <c r="HB90" s="626"/>
      <c r="HC90" s="626"/>
      <c r="HD90" s="626"/>
      <c r="HE90" s="626"/>
      <c r="HF90" s="626"/>
      <c r="HG90" s="626"/>
      <c r="HH90" s="626"/>
      <c r="HI90" s="626"/>
      <c r="HJ90" s="626"/>
      <c r="HK90" s="626"/>
      <c r="HL90" s="626"/>
      <c r="HM90" s="626"/>
      <c r="HN90" s="626"/>
      <c r="HO90" s="626"/>
      <c r="HP90" s="626"/>
      <c r="HQ90" s="626"/>
      <c r="HR90" s="626"/>
      <c r="HS90" s="626"/>
      <c r="HT90" s="626"/>
      <c r="HU90" s="626"/>
      <c r="HV90" s="626"/>
      <c r="HW90" s="626"/>
      <c r="HX90" s="626"/>
      <c r="HY90" s="626"/>
      <c r="HZ90" s="626"/>
      <c r="IA90" s="626"/>
      <c r="IB90" s="626"/>
      <c r="IC90" s="626"/>
      <c r="ID90" s="626"/>
      <c r="IE90" s="626"/>
      <c r="IF90" s="626"/>
      <c r="IG90" s="626"/>
      <c r="IH90" s="626"/>
      <c r="II90" s="626"/>
      <c r="IJ90" s="626"/>
      <c r="IK90" s="626"/>
      <c r="IL90" s="626"/>
      <c r="IM90" s="626"/>
      <c r="IN90" s="626"/>
      <c r="IO90" s="626"/>
      <c r="IP90" s="626"/>
      <c r="IQ90" s="626"/>
      <c r="IR90" s="626"/>
      <c r="IS90" s="626"/>
      <c r="IT90" s="626"/>
      <c r="IU90" s="626"/>
    </row>
    <row r="91" spans="1:255" s="627" customFormat="1" ht="12.75" customHeight="1" x14ac:dyDescent="0.2">
      <c r="A91" s="461"/>
      <c r="B91" s="645"/>
      <c r="C91" s="645"/>
      <c r="D91" s="489"/>
      <c r="E91" s="489"/>
      <c r="F91" s="489"/>
      <c r="G91" s="623"/>
      <c r="H91" s="490" t="s">
        <v>20</v>
      </c>
      <c r="I91" s="490" t="s">
        <v>20</v>
      </c>
      <c r="J91" s="615"/>
      <c r="K91" s="118"/>
      <c r="L91" s="12"/>
      <c r="M91" s="12"/>
      <c r="N91" s="499"/>
      <c r="O91" s="499"/>
      <c r="P91" s="630"/>
      <c r="Q91" s="509"/>
      <c r="R91" s="509"/>
      <c r="S91" s="623"/>
      <c r="T91" s="649"/>
      <c r="U91" s="649"/>
      <c r="V91" s="123"/>
      <c r="W91" s="123"/>
      <c r="X91" s="123"/>
      <c r="Y91" s="624"/>
      <c r="Z91" s="625"/>
      <c r="AA91" s="625"/>
      <c r="AB91" s="625"/>
      <c r="AC91" s="625"/>
      <c r="AD91" s="625"/>
      <c r="AE91" s="625"/>
      <c r="AF91" s="625"/>
      <c r="AG91" s="625"/>
      <c r="AH91" s="625"/>
      <c r="AI91" s="625"/>
      <c r="AJ91" s="625"/>
      <c r="AK91" s="625"/>
      <c r="AL91" s="625"/>
      <c r="AM91" s="625"/>
      <c r="AN91" s="625"/>
      <c r="AO91" s="625"/>
      <c r="AP91" s="625"/>
      <c r="AQ91" s="625"/>
      <c r="AR91" s="625"/>
      <c r="AS91" s="625"/>
      <c r="AT91" s="625"/>
      <c r="AU91" s="625"/>
      <c r="AV91" s="625"/>
      <c r="AW91" s="625"/>
      <c r="AX91" s="625"/>
      <c r="AY91" s="625"/>
      <c r="AZ91" s="625"/>
      <c r="BA91" s="625"/>
      <c r="BB91" s="625"/>
      <c r="BC91" s="625"/>
      <c r="BD91" s="625"/>
      <c r="BE91" s="625"/>
      <c r="BF91" s="626"/>
      <c r="BG91" s="626"/>
      <c r="BH91" s="626"/>
      <c r="BI91" s="626"/>
      <c r="BJ91" s="626"/>
      <c r="BK91" s="626"/>
      <c r="BL91" s="626"/>
      <c r="BM91" s="626"/>
      <c r="BN91" s="626"/>
      <c r="BO91" s="626"/>
      <c r="BP91" s="626"/>
      <c r="BQ91" s="626"/>
      <c r="BR91" s="626"/>
      <c r="BS91" s="626"/>
      <c r="BT91" s="626"/>
      <c r="BU91" s="626"/>
      <c r="BV91" s="626"/>
      <c r="BW91" s="626"/>
      <c r="BX91" s="626"/>
      <c r="BY91" s="626"/>
      <c r="BZ91" s="626"/>
      <c r="CA91" s="626"/>
      <c r="CB91" s="626"/>
      <c r="CC91" s="626"/>
      <c r="CD91" s="626"/>
      <c r="CE91" s="626"/>
      <c r="CF91" s="626"/>
      <c r="CG91" s="626"/>
      <c r="CH91" s="626"/>
      <c r="CI91" s="626"/>
      <c r="CJ91" s="626"/>
      <c r="CK91" s="626"/>
      <c r="CL91" s="626"/>
      <c r="CM91" s="626"/>
      <c r="CN91" s="626"/>
      <c r="CO91" s="626"/>
      <c r="CP91" s="626"/>
      <c r="CQ91" s="626"/>
      <c r="CR91" s="626"/>
      <c r="CS91" s="626"/>
      <c r="CT91" s="626"/>
      <c r="CU91" s="626"/>
      <c r="CV91" s="626"/>
      <c r="CW91" s="626"/>
      <c r="CX91" s="626"/>
      <c r="CY91" s="626"/>
      <c r="CZ91" s="626"/>
      <c r="DA91" s="626"/>
      <c r="DB91" s="626"/>
      <c r="DC91" s="626"/>
      <c r="DD91" s="626"/>
      <c r="DE91" s="626"/>
      <c r="DF91" s="626"/>
      <c r="DG91" s="626"/>
      <c r="DH91" s="626"/>
      <c r="DI91" s="626"/>
      <c r="DJ91" s="626"/>
      <c r="DK91" s="626"/>
      <c r="DL91" s="626"/>
      <c r="DM91" s="626"/>
      <c r="DN91" s="626"/>
      <c r="DO91" s="626"/>
      <c r="DP91" s="626"/>
      <c r="DQ91" s="626"/>
      <c r="DR91" s="626"/>
      <c r="DS91" s="626"/>
      <c r="DT91" s="626"/>
      <c r="DU91" s="626"/>
      <c r="DV91" s="626"/>
      <c r="DW91" s="626"/>
      <c r="DX91" s="626"/>
      <c r="DY91" s="626"/>
      <c r="DZ91" s="626"/>
      <c r="EA91" s="626"/>
      <c r="EB91" s="626"/>
      <c r="EC91" s="626"/>
      <c r="ED91" s="626"/>
      <c r="EE91" s="626"/>
      <c r="EF91" s="626"/>
      <c r="EG91" s="626"/>
      <c r="EH91" s="626"/>
      <c r="EI91" s="626"/>
      <c r="EJ91" s="626"/>
      <c r="EK91" s="626"/>
      <c r="EL91" s="626"/>
      <c r="EM91" s="626"/>
      <c r="EN91" s="626"/>
      <c r="EO91" s="626"/>
      <c r="EP91" s="626"/>
      <c r="EQ91" s="626"/>
      <c r="ER91" s="626"/>
      <c r="ES91" s="626"/>
      <c r="ET91" s="626"/>
      <c r="EU91" s="626"/>
      <c r="EV91" s="626"/>
      <c r="EW91" s="626"/>
      <c r="EX91" s="626"/>
      <c r="EY91" s="626"/>
      <c r="EZ91" s="626"/>
      <c r="FA91" s="626"/>
      <c r="FB91" s="626"/>
      <c r="FC91" s="626"/>
      <c r="FD91" s="626"/>
      <c r="FE91" s="626"/>
      <c r="FF91" s="626"/>
      <c r="FG91" s="626"/>
      <c r="FH91" s="626"/>
      <c r="FI91" s="626"/>
      <c r="FJ91" s="626"/>
      <c r="FK91" s="626"/>
      <c r="FL91" s="626"/>
      <c r="FM91" s="626"/>
      <c r="FN91" s="626"/>
      <c r="FO91" s="626"/>
      <c r="FP91" s="626"/>
      <c r="FQ91" s="626"/>
      <c r="FR91" s="626"/>
      <c r="FS91" s="626"/>
      <c r="FT91" s="626"/>
      <c r="FU91" s="626"/>
      <c r="FV91" s="626"/>
      <c r="FW91" s="626"/>
      <c r="FX91" s="626"/>
      <c r="FY91" s="626"/>
      <c r="FZ91" s="626"/>
      <c r="GA91" s="626"/>
      <c r="GB91" s="626"/>
      <c r="GC91" s="626"/>
      <c r="GD91" s="626"/>
      <c r="GE91" s="626"/>
      <c r="GF91" s="626"/>
      <c r="GG91" s="626"/>
      <c r="GH91" s="626"/>
      <c r="GI91" s="626"/>
      <c r="GJ91" s="626"/>
      <c r="GK91" s="626"/>
      <c r="GL91" s="626"/>
      <c r="GM91" s="626"/>
      <c r="GN91" s="626"/>
      <c r="GO91" s="626"/>
      <c r="GP91" s="626"/>
      <c r="GQ91" s="626"/>
      <c r="GR91" s="626"/>
      <c r="GS91" s="626"/>
      <c r="GT91" s="626"/>
      <c r="GU91" s="626"/>
      <c r="GV91" s="626"/>
      <c r="GW91" s="626"/>
      <c r="GX91" s="626"/>
      <c r="GY91" s="626"/>
      <c r="GZ91" s="626"/>
      <c r="HA91" s="626"/>
      <c r="HB91" s="626"/>
      <c r="HC91" s="626"/>
      <c r="HD91" s="626"/>
      <c r="HE91" s="626"/>
      <c r="HF91" s="626"/>
      <c r="HG91" s="626"/>
      <c r="HH91" s="626"/>
      <c r="HI91" s="626"/>
      <c r="HJ91" s="626"/>
      <c r="HK91" s="626"/>
      <c r="HL91" s="626"/>
      <c r="HM91" s="626"/>
      <c r="HN91" s="626"/>
      <c r="HO91" s="626"/>
      <c r="HP91" s="626"/>
      <c r="HQ91" s="626"/>
      <c r="HR91" s="626"/>
      <c r="HS91" s="626"/>
      <c r="HT91" s="626"/>
      <c r="HU91" s="626"/>
      <c r="HV91" s="626"/>
      <c r="HW91" s="626"/>
      <c r="HX91" s="626"/>
      <c r="HY91" s="626"/>
      <c r="HZ91" s="626"/>
      <c r="IA91" s="626"/>
      <c r="IB91" s="626"/>
      <c r="IC91" s="626"/>
      <c r="ID91" s="626"/>
      <c r="IE91" s="626"/>
      <c r="IF91" s="626"/>
      <c r="IG91" s="626"/>
      <c r="IH91" s="626"/>
      <c r="II91" s="626"/>
      <c r="IJ91" s="626"/>
      <c r="IK91" s="626"/>
      <c r="IL91" s="626"/>
      <c r="IM91" s="626"/>
      <c r="IN91" s="626"/>
      <c r="IO91" s="626"/>
      <c r="IP91" s="626"/>
      <c r="IQ91" s="626"/>
      <c r="IR91" s="626"/>
      <c r="IS91" s="626"/>
      <c r="IT91" s="626"/>
      <c r="IU91" s="626"/>
    </row>
    <row r="92" spans="1:255" s="627" customFormat="1" ht="12.75" customHeight="1" x14ac:dyDescent="0.2">
      <c r="A92" s="461"/>
      <c r="B92" s="645"/>
      <c r="C92" s="645"/>
      <c r="D92" s="489"/>
      <c r="E92" s="489"/>
      <c r="F92" s="489"/>
      <c r="G92" s="623"/>
      <c r="H92" s="490" t="s">
        <v>20</v>
      </c>
      <c r="I92" s="490" t="s">
        <v>20</v>
      </c>
      <c r="J92" s="615"/>
      <c r="K92" s="118"/>
      <c r="L92" s="12"/>
      <c r="M92" s="12"/>
      <c r="N92" s="499"/>
      <c r="O92" s="499"/>
      <c r="P92" s="630"/>
      <c r="Q92" s="509"/>
      <c r="R92" s="509"/>
      <c r="S92" s="623"/>
      <c r="T92" s="649"/>
      <c r="U92" s="649"/>
      <c r="V92" s="123"/>
      <c r="W92" s="123"/>
      <c r="X92" s="123"/>
      <c r="Y92" s="624"/>
      <c r="Z92" s="625"/>
      <c r="AA92" s="625"/>
      <c r="AB92" s="625"/>
      <c r="AC92" s="625"/>
      <c r="AD92" s="625"/>
      <c r="AE92" s="625"/>
      <c r="AF92" s="625"/>
      <c r="AG92" s="625"/>
      <c r="AH92" s="625"/>
      <c r="AI92" s="625"/>
      <c r="AJ92" s="625"/>
      <c r="AK92" s="625"/>
      <c r="AL92" s="625"/>
      <c r="AM92" s="625"/>
      <c r="AN92" s="625"/>
      <c r="AO92" s="625"/>
      <c r="AP92" s="625"/>
      <c r="AQ92" s="625"/>
      <c r="AR92" s="625"/>
      <c r="AS92" s="625"/>
      <c r="AT92" s="625"/>
      <c r="AU92" s="625"/>
      <c r="AV92" s="625"/>
      <c r="AW92" s="625"/>
      <c r="AX92" s="625"/>
      <c r="AY92" s="625"/>
      <c r="AZ92" s="625"/>
      <c r="BA92" s="625"/>
      <c r="BB92" s="625"/>
      <c r="BC92" s="625"/>
      <c r="BD92" s="625"/>
      <c r="BE92" s="625"/>
      <c r="BF92" s="626"/>
      <c r="BG92" s="626"/>
      <c r="BH92" s="626"/>
      <c r="BI92" s="626"/>
      <c r="BJ92" s="626"/>
      <c r="BK92" s="626"/>
      <c r="BL92" s="626"/>
      <c r="BM92" s="626"/>
      <c r="BN92" s="626"/>
      <c r="BO92" s="626"/>
      <c r="BP92" s="626"/>
      <c r="BQ92" s="626"/>
      <c r="BR92" s="626"/>
      <c r="BS92" s="626"/>
      <c r="BT92" s="626"/>
      <c r="BU92" s="626"/>
      <c r="BV92" s="626"/>
      <c r="BW92" s="626"/>
      <c r="BX92" s="626"/>
      <c r="BY92" s="626"/>
      <c r="BZ92" s="626"/>
      <c r="CA92" s="626"/>
      <c r="CB92" s="626"/>
      <c r="CC92" s="626"/>
      <c r="CD92" s="626"/>
      <c r="CE92" s="626"/>
      <c r="CF92" s="626"/>
      <c r="CG92" s="626"/>
      <c r="CH92" s="626"/>
      <c r="CI92" s="626"/>
      <c r="CJ92" s="626"/>
      <c r="CK92" s="626"/>
      <c r="CL92" s="626"/>
      <c r="CM92" s="626"/>
      <c r="CN92" s="626"/>
      <c r="CO92" s="626"/>
      <c r="CP92" s="626"/>
      <c r="CQ92" s="626"/>
      <c r="CR92" s="626"/>
      <c r="CS92" s="626"/>
      <c r="CT92" s="626"/>
      <c r="CU92" s="626"/>
      <c r="CV92" s="626"/>
      <c r="CW92" s="626"/>
      <c r="CX92" s="626"/>
      <c r="CY92" s="626"/>
      <c r="CZ92" s="626"/>
      <c r="DA92" s="626"/>
      <c r="DB92" s="626"/>
      <c r="DC92" s="626"/>
      <c r="DD92" s="626"/>
      <c r="DE92" s="626"/>
      <c r="DF92" s="626"/>
      <c r="DG92" s="626"/>
      <c r="DH92" s="626"/>
      <c r="DI92" s="626"/>
      <c r="DJ92" s="626"/>
      <c r="DK92" s="626"/>
      <c r="DL92" s="626"/>
      <c r="DM92" s="626"/>
      <c r="DN92" s="626"/>
      <c r="DO92" s="626"/>
      <c r="DP92" s="626"/>
      <c r="DQ92" s="626"/>
      <c r="DR92" s="626"/>
      <c r="DS92" s="626"/>
      <c r="DT92" s="626"/>
      <c r="DU92" s="626"/>
      <c r="DV92" s="626"/>
      <c r="DW92" s="626"/>
      <c r="DX92" s="626"/>
      <c r="DY92" s="626"/>
      <c r="DZ92" s="626"/>
      <c r="EA92" s="626"/>
      <c r="EB92" s="626"/>
      <c r="EC92" s="626"/>
      <c r="ED92" s="626"/>
      <c r="EE92" s="626"/>
      <c r="EF92" s="626"/>
      <c r="EG92" s="626"/>
      <c r="EH92" s="626"/>
      <c r="EI92" s="626"/>
      <c r="EJ92" s="626"/>
      <c r="EK92" s="626"/>
      <c r="EL92" s="626"/>
      <c r="EM92" s="626"/>
      <c r="EN92" s="626"/>
      <c r="EO92" s="626"/>
      <c r="EP92" s="626"/>
      <c r="EQ92" s="626"/>
      <c r="ER92" s="626"/>
      <c r="ES92" s="626"/>
      <c r="ET92" s="626"/>
      <c r="EU92" s="626"/>
      <c r="EV92" s="626"/>
      <c r="EW92" s="626"/>
      <c r="EX92" s="626"/>
      <c r="EY92" s="626"/>
      <c r="EZ92" s="626"/>
      <c r="FA92" s="626"/>
      <c r="FB92" s="626"/>
      <c r="FC92" s="626"/>
      <c r="FD92" s="626"/>
      <c r="FE92" s="626"/>
      <c r="FF92" s="626"/>
      <c r="FG92" s="626"/>
      <c r="FH92" s="626"/>
      <c r="FI92" s="626"/>
      <c r="FJ92" s="626"/>
      <c r="FK92" s="626"/>
      <c r="FL92" s="626"/>
      <c r="FM92" s="626"/>
      <c r="FN92" s="626"/>
      <c r="FO92" s="626"/>
      <c r="FP92" s="626"/>
      <c r="FQ92" s="626"/>
      <c r="FR92" s="626"/>
      <c r="FS92" s="626"/>
      <c r="FT92" s="626"/>
      <c r="FU92" s="626"/>
      <c r="FV92" s="626"/>
      <c r="FW92" s="626"/>
      <c r="FX92" s="626"/>
      <c r="FY92" s="626"/>
      <c r="FZ92" s="626"/>
      <c r="GA92" s="626"/>
      <c r="GB92" s="626"/>
      <c r="GC92" s="626"/>
      <c r="GD92" s="626"/>
      <c r="GE92" s="626"/>
      <c r="GF92" s="626"/>
      <c r="GG92" s="626"/>
      <c r="GH92" s="626"/>
      <c r="GI92" s="626"/>
      <c r="GJ92" s="626"/>
      <c r="GK92" s="626"/>
      <c r="GL92" s="626"/>
      <c r="GM92" s="626"/>
      <c r="GN92" s="626"/>
      <c r="GO92" s="626"/>
      <c r="GP92" s="626"/>
      <c r="GQ92" s="626"/>
      <c r="GR92" s="626"/>
      <c r="GS92" s="626"/>
      <c r="GT92" s="626"/>
      <c r="GU92" s="626"/>
      <c r="GV92" s="626"/>
      <c r="GW92" s="626"/>
      <c r="GX92" s="626"/>
      <c r="GY92" s="626"/>
      <c r="GZ92" s="626"/>
      <c r="HA92" s="626"/>
      <c r="HB92" s="626"/>
      <c r="HC92" s="626"/>
      <c r="HD92" s="626"/>
      <c r="HE92" s="626"/>
      <c r="HF92" s="626"/>
      <c r="HG92" s="626"/>
      <c r="HH92" s="626"/>
      <c r="HI92" s="626"/>
      <c r="HJ92" s="626"/>
      <c r="HK92" s="626"/>
      <c r="HL92" s="626"/>
      <c r="HM92" s="626"/>
      <c r="HN92" s="626"/>
      <c r="HO92" s="626"/>
      <c r="HP92" s="626"/>
      <c r="HQ92" s="626"/>
      <c r="HR92" s="626"/>
      <c r="HS92" s="626"/>
      <c r="HT92" s="626"/>
      <c r="HU92" s="626"/>
      <c r="HV92" s="626"/>
      <c r="HW92" s="626"/>
      <c r="HX92" s="626"/>
      <c r="HY92" s="626"/>
      <c r="HZ92" s="626"/>
      <c r="IA92" s="626"/>
      <c r="IB92" s="626"/>
      <c r="IC92" s="626"/>
      <c r="ID92" s="626"/>
      <c r="IE92" s="626"/>
      <c r="IF92" s="626"/>
      <c r="IG92" s="626"/>
      <c r="IH92" s="626"/>
      <c r="II92" s="626"/>
      <c r="IJ92" s="626"/>
      <c r="IK92" s="626"/>
      <c r="IL92" s="626"/>
      <c r="IM92" s="626"/>
      <c r="IN92" s="626"/>
      <c r="IO92" s="626"/>
      <c r="IP92" s="626"/>
      <c r="IQ92" s="626"/>
      <c r="IR92" s="626"/>
      <c r="IS92" s="626"/>
      <c r="IT92" s="626"/>
      <c r="IU92" s="626"/>
    </row>
    <row r="93" spans="1:255" s="627" customFormat="1" ht="12.75" customHeight="1" x14ac:dyDescent="0.2">
      <c r="A93" s="461"/>
      <c r="B93" s="645"/>
      <c r="C93" s="489"/>
      <c r="D93" s="489"/>
      <c r="E93" s="489"/>
      <c r="F93" s="489"/>
      <c r="G93" s="623"/>
      <c r="H93" s="490" t="s">
        <v>20</v>
      </c>
      <c r="I93" s="490" t="s">
        <v>20</v>
      </c>
      <c r="J93" s="615"/>
      <c r="K93" s="118"/>
      <c r="L93" s="12"/>
      <c r="M93" s="12"/>
      <c r="N93" s="499"/>
      <c r="O93" s="499"/>
      <c r="P93" s="630"/>
      <c r="Q93" s="509"/>
      <c r="R93" s="509"/>
      <c r="S93" s="623"/>
      <c r="T93" s="649"/>
      <c r="U93" s="649"/>
      <c r="V93" s="123"/>
      <c r="W93" s="123"/>
      <c r="X93" s="123"/>
      <c r="Y93" s="624"/>
      <c r="Z93" s="625"/>
      <c r="AA93" s="625"/>
      <c r="AB93" s="625"/>
      <c r="AC93" s="625"/>
      <c r="AD93" s="625"/>
      <c r="AE93" s="625"/>
      <c r="AF93" s="625"/>
      <c r="AG93" s="625"/>
      <c r="AH93" s="625"/>
      <c r="AI93" s="625"/>
      <c r="AJ93" s="625"/>
      <c r="AK93" s="625"/>
      <c r="AL93" s="625"/>
      <c r="AM93" s="625"/>
      <c r="AN93" s="625"/>
      <c r="AO93" s="625"/>
      <c r="AP93" s="625"/>
      <c r="AQ93" s="625"/>
      <c r="AR93" s="625"/>
      <c r="AS93" s="625"/>
      <c r="AT93" s="625"/>
      <c r="AU93" s="625"/>
      <c r="AV93" s="625"/>
      <c r="AW93" s="625"/>
      <c r="AX93" s="625"/>
      <c r="AY93" s="625"/>
      <c r="AZ93" s="625"/>
      <c r="BA93" s="625"/>
      <c r="BB93" s="625"/>
      <c r="BC93" s="625"/>
      <c r="BD93" s="625"/>
      <c r="BE93" s="625"/>
      <c r="BF93" s="626"/>
      <c r="BG93" s="626"/>
      <c r="BH93" s="626"/>
      <c r="BI93" s="626"/>
      <c r="BJ93" s="626"/>
      <c r="BK93" s="626"/>
      <c r="BL93" s="626"/>
      <c r="BM93" s="626"/>
      <c r="BN93" s="626"/>
      <c r="BO93" s="626"/>
      <c r="BP93" s="626"/>
      <c r="BQ93" s="626"/>
      <c r="BR93" s="626"/>
      <c r="BS93" s="626"/>
      <c r="BT93" s="626"/>
      <c r="BU93" s="626"/>
      <c r="BV93" s="626"/>
      <c r="BW93" s="626"/>
      <c r="BX93" s="626"/>
      <c r="BY93" s="626"/>
      <c r="BZ93" s="626"/>
      <c r="CA93" s="626"/>
      <c r="CB93" s="626"/>
      <c r="CC93" s="626"/>
      <c r="CD93" s="626"/>
      <c r="CE93" s="626"/>
      <c r="CF93" s="626"/>
      <c r="CG93" s="626"/>
      <c r="CH93" s="626"/>
      <c r="CI93" s="626"/>
      <c r="CJ93" s="626"/>
      <c r="CK93" s="626"/>
      <c r="CL93" s="626"/>
      <c r="CM93" s="626"/>
      <c r="CN93" s="626"/>
      <c r="CO93" s="626"/>
      <c r="CP93" s="626"/>
      <c r="CQ93" s="626"/>
      <c r="CR93" s="626"/>
      <c r="CS93" s="626"/>
      <c r="CT93" s="626"/>
      <c r="CU93" s="626"/>
      <c r="CV93" s="626"/>
      <c r="CW93" s="626"/>
      <c r="CX93" s="626"/>
      <c r="CY93" s="626"/>
      <c r="CZ93" s="626"/>
      <c r="DA93" s="626"/>
      <c r="DB93" s="626"/>
      <c r="DC93" s="626"/>
      <c r="DD93" s="626"/>
      <c r="DE93" s="626"/>
      <c r="DF93" s="626"/>
      <c r="DG93" s="626"/>
      <c r="DH93" s="626"/>
      <c r="DI93" s="626"/>
      <c r="DJ93" s="626"/>
      <c r="DK93" s="626"/>
      <c r="DL93" s="626"/>
      <c r="DM93" s="626"/>
      <c r="DN93" s="626"/>
      <c r="DO93" s="626"/>
      <c r="DP93" s="626"/>
      <c r="DQ93" s="626"/>
      <c r="DR93" s="626"/>
      <c r="DS93" s="626"/>
      <c r="DT93" s="626"/>
      <c r="DU93" s="626"/>
      <c r="DV93" s="626"/>
      <c r="DW93" s="626"/>
      <c r="DX93" s="626"/>
      <c r="DY93" s="626"/>
      <c r="DZ93" s="626"/>
      <c r="EA93" s="626"/>
      <c r="EB93" s="626"/>
      <c r="EC93" s="626"/>
      <c r="ED93" s="626"/>
      <c r="EE93" s="626"/>
      <c r="EF93" s="626"/>
      <c r="EG93" s="626"/>
      <c r="EH93" s="626"/>
      <c r="EI93" s="626"/>
      <c r="EJ93" s="626"/>
      <c r="EK93" s="626"/>
      <c r="EL93" s="626"/>
      <c r="EM93" s="626"/>
      <c r="EN93" s="626"/>
      <c r="EO93" s="626"/>
      <c r="EP93" s="626"/>
      <c r="EQ93" s="626"/>
      <c r="ER93" s="626"/>
      <c r="ES93" s="626"/>
      <c r="ET93" s="626"/>
      <c r="EU93" s="626"/>
      <c r="EV93" s="626"/>
      <c r="EW93" s="626"/>
      <c r="EX93" s="626"/>
      <c r="EY93" s="626"/>
      <c r="EZ93" s="626"/>
      <c r="FA93" s="626"/>
      <c r="FB93" s="626"/>
      <c r="FC93" s="626"/>
      <c r="FD93" s="626"/>
      <c r="FE93" s="626"/>
      <c r="FF93" s="626"/>
      <c r="FG93" s="626"/>
      <c r="FH93" s="626"/>
      <c r="FI93" s="626"/>
      <c r="FJ93" s="626"/>
      <c r="FK93" s="626"/>
      <c r="FL93" s="626"/>
      <c r="FM93" s="626"/>
      <c r="FN93" s="626"/>
      <c r="FO93" s="626"/>
      <c r="FP93" s="626"/>
      <c r="FQ93" s="626"/>
      <c r="FR93" s="626"/>
      <c r="FS93" s="626"/>
      <c r="FT93" s="626"/>
      <c r="FU93" s="626"/>
      <c r="FV93" s="626"/>
      <c r="FW93" s="626"/>
      <c r="FX93" s="626"/>
      <c r="FY93" s="626"/>
      <c r="FZ93" s="626"/>
      <c r="GA93" s="626"/>
      <c r="GB93" s="626"/>
      <c r="GC93" s="626"/>
      <c r="GD93" s="626"/>
      <c r="GE93" s="626"/>
      <c r="GF93" s="626"/>
      <c r="GG93" s="626"/>
      <c r="GH93" s="626"/>
      <c r="GI93" s="626"/>
      <c r="GJ93" s="626"/>
      <c r="GK93" s="626"/>
      <c r="GL93" s="626"/>
      <c r="GM93" s="626"/>
      <c r="GN93" s="626"/>
      <c r="GO93" s="626"/>
      <c r="GP93" s="626"/>
      <c r="GQ93" s="626"/>
      <c r="GR93" s="626"/>
      <c r="GS93" s="626"/>
      <c r="GT93" s="626"/>
      <c r="GU93" s="626"/>
      <c r="GV93" s="626"/>
      <c r="GW93" s="626"/>
      <c r="GX93" s="626"/>
      <c r="GY93" s="626"/>
      <c r="GZ93" s="626"/>
      <c r="HA93" s="626"/>
      <c r="HB93" s="626"/>
      <c r="HC93" s="626"/>
      <c r="HD93" s="626"/>
      <c r="HE93" s="626"/>
      <c r="HF93" s="626"/>
      <c r="HG93" s="626"/>
      <c r="HH93" s="626"/>
      <c r="HI93" s="626"/>
      <c r="HJ93" s="626"/>
      <c r="HK93" s="626"/>
      <c r="HL93" s="626"/>
      <c r="HM93" s="626"/>
      <c r="HN93" s="626"/>
      <c r="HO93" s="626"/>
      <c r="HP93" s="626"/>
      <c r="HQ93" s="626"/>
      <c r="HR93" s="626"/>
      <c r="HS93" s="626"/>
      <c r="HT93" s="626"/>
      <c r="HU93" s="626"/>
      <c r="HV93" s="626"/>
      <c r="HW93" s="626"/>
      <c r="HX93" s="626"/>
      <c r="HY93" s="626"/>
      <c r="HZ93" s="626"/>
      <c r="IA93" s="626"/>
      <c r="IB93" s="626"/>
      <c r="IC93" s="626"/>
      <c r="ID93" s="626"/>
      <c r="IE93" s="626"/>
      <c r="IF93" s="626"/>
      <c r="IG93" s="626"/>
      <c r="IH93" s="626"/>
      <c r="II93" s="626"/>
      <c r="IJ93" s="626"/>
      <c r="IK93" s="626"/>
      <c r="IL93" s="626"/>
      <c r="IM93" s="626"/>
      <c r="IN93" s="626"/>
      <c r="IO93" s="626"/>
      <c r="IP93" s="626"/>
      <c r="IQ93" s="626"/>
      <c r="IR93" s="626"/>
      <c r="IS93" s="626"/>
      <c r="IT93" s="626"/>
      <c r="IU93" s="626"/>
    </row>
    <row r="94" spans="1:255" s="627" customFormat="1" ht="12.75" customHeight="1" x14ac:dyDescent="0.2">
      <c r="A94" s="461"/>
      <c r="B94" s="645"/>
      <c r="C94" s="489"/>
      <c r="D94" s="489"/>
      <c r="E94" s="489"/>
      <c r="F94" s="489"/>
      <c r="G94" s="623"/>
      <c r="H94" s="490" t="s">
        <v>20</v>
      </c>
      <c r="I94" s="490" t="s">
        <v>20</v>
      </c>
      <c r="J94" s="615"/>
      <c r="K94" s="118"/>
      <c r="L94" s="12"/>
      <c r="M94" s="12"/>
      <c r="N94" s="499"/>
      <c r="O94" s="499"/>
      <c r="P94" s="630"/>
      <c r="Q94" s="509"/>
      <c r="R94" s="509"/>
      <c r="S94" s="623"/>
      <c r="T94" s="649"/>
      <c r="U94" s="649"/>
      <c r="V94" s="123"/>
      <c r="W94" s="123"/>
      <c r="X94" s="123"/>
      <c r="Y94" s="624"/>
      <c r="Z94" s="625"/>
      <c r="AA94" s="625"/>
      <c r="AB94" s="625"/>
      <c r="AC94" s="625"/>
      <c r="AD94" s="625"/>
      <c r="AE94" s="625"/>
      <c r="AF94" s="625"/>
      <c r="AG94" s="625"/>
      <c r="AH94" s="625"/>
      <c r="AI94" s="625"/>
      <c r="AJ94" s="625"/>
      <c r="AK94" s="625"/>
      <c r="AL94" s="625"/>
      <c r="AM94" s="625"/>
      <c r="AN94" s="625"/>
      <c r="AO94" s="625"/>
      <c r="AP94" s="625"/>
      <c r="AQ94" s="625"/>
      <c r="AR94" s="625"/>
      <c r="AS94" s="625"/>
      <c r="AT94" s="625"/>
      <c r="AU94" s="625"/>
      <c r="AV94" s="625"/>
      <c r="AW94" s="625"/>
      <c r="AX94" s="625"/>
      <c r="AY94" s="625"/>
      <c r="AZ94" s="625"/>
      <c r="BA94" s="625"/>
      <c r="BB94" s="625"/>
      <c r="BC94" s="625"/>
      <c r="BD94" s="625"/>
      <c r="BE94" s="625"/>
      <c r="BF94" s="626"/>
      <c r="BG94" s="626"/>
      <c r="BH94" s="626"/>
      <c r="BI94" s="626"/>
      <c r="BJ94" s="626"/>
      <c r="BK94" s="626"/>
      <c r="BL94" s="626"/>
      <c r="BM94" s="626"/>
      <c r="BN94" s="626"/>
      <c r="BO94" s="626"/>
      <c r="BP94" s="626"/>
      <c r="BQ94" s="626"/>
      <c r="BR94" s="626"/>
      <c r="BS94" s="626"/>
      <c r="BT94" s="626"/>
      <c r="BU94" s="626"/>
      <c r="BV94" s="626"/>
      <c r="BW94" s="626"/>
      <c r="BX94" s="626"/>
      <c r="BY94" s="626"/>
      <c r="BZ94" s="626"/>
      <c r="CA94" s="626"/>
      <c r="CB94" s="626"/>
      <c r="CC94" s="626"/>
      <c r="CD94" s="626"/>
      <c r="CE94" s="626"/>
      <c r="CF94" s="626"/>
      <c r="CG94" s="626"/>
      <c r="CH94" s="626"/>
      <c r="CI94" s="626"/>
      <c r="CJ94" s="626"/>
      <c r="CK94" s="626"/>
      <c r="CL94" s="626"/>
      <c r="CM94" s="626"/>
      <c r="CN94" s="626"/>
      <c r="CO94" s="626"/>
      <c r="CP94" s="626"/>
      <c r="CQ94" s="626"/>
      <c r="CR94" s="626"/>
      <c r="CS94" s="626"/>
      <c r="CT94" s="626"/>
      <c r="CU94" s="626"/>
      <c r="CV94" s="626"/>
      <c r="CW94" s="626"/>
      <c r="CX94" s="626"/>
      <c r="CY94" s="626"/>
      <c r="CZ94" s="626"/>
      <c r="DA94" s="626"/>
      <c r="DB94" s="626"/>
      <c r="DC94" s="626"/>
      <c r="DD94" s="626"/>
      <c r="DE94" s="626"/>
      <c r="DF94" s="626"/>
      <c r="DG94" s="626"/>
      <c r="DH94" s="626"/>
      <c r="DI94" s="626"/>
      <c r="DJ94" s="626"/>
      <c r="DK94" s="626"/>
      <c r="DL94" s="626"/>
      <c r="DM94" s="626"/>
      <c r="DN94" s="626"/>
      <c r="DO94" s="626"/>
      <c r="DP94" s="626"/>
      <c r="DQ94" s="626"/>
      <c r="DR94" s="626"/>
      <c r="DS94" s="626"/>
      <c r="DT94" s="626"/>
      <c r="DU94" s="626"/>
      <c r="DV94" s="626"/>
      <c r="DW94" s="626"/>
      <c r="DX94" s="626"/>
      <c r="DY94" s="626"/>
      <c r="DZ94" s="626"/>
      <c r="EA94" s="626"/>
      <c r="EB94" s="626"/>
      <c r="EC94" s="626"/>
      <c r="ED94" s="626"/>
      <c r="EE94" s="626"/>
      <c r="EF94" s="626"/>
      <c r="EG94" s="626"/>
      <c r="EH94" s="626"/>
      <c r="EI94" s="626"/>
      <c r="EJ94" s="626"/>
      <c r="EK94" s="626"/>
      <c r="EL94" s="626"/>
      <c r="EM94" s="626"/>
      <c r="EN94" s="626"/>
      <c r="EO94" s="626"/>
      <c r="EP94" s="626"/>
      <c r="EQ94" s="626"/>
      <c r="ER94" s="626"/>
      <c r="ES94" s="626"/>
      <c r="ET94" s="626"/>
      <c r="EU94" s="626"/>
      <c r="EV94" s="626"/>
      <c r="EW94" s="626"/>
      <c r="EX94" s="626"/>
      <c r="EY94" s="626"/>
      <c r="EZ94" s="626"/>
      <c r="FA94" s="626"/>
      <c r="FB94" s="626"/>
      <c r="FC94" s="626"/>
      <c r="FD94" s="626"/>
      <c r="FE94" s="626"/>
      <c r="FF94" s="626"/>
      <c r="FG94" s="626"/>
      <c r="FH94" s="626"/>
      <c r="FI94" s="626"/>
      <c r="FJ94" s="626"/>
      <c r="FK94" s="626"/>
      <c r="FL94" s="626"/>
      <c r="FM94" s="626"/>
      <c r="FN94" s="626"/>
      <c r="FO94" s="626"/>
      <c r="FP94" s="626"/>
      <c r="FQ94" s="626"/>
      <c r="FR94" s="626"/>
      <c r="FS94" s="626"/>
      <c r="FT94" s="626"/>
      <c r="FU94" s="626"/>
      <c r="FV94" s="626"/>
      <c r="FW94" s="626"/>
      <c r="FX94" s="626"/>
      <c r="FY94" s="626"/>
      <c r="FZ94" s="626"/>
      <c r="GA94" s="626"/>
      <c r="GB94" s="626"/>
      <c r="GC94" s="626"/>
      <c r="GD94" s="626"/>
      <c r="GE94" s="626"/>
      <c r="GF94" s="626"/>
      <c r="GG94" s="626"/>
      <c r="GH94" s="626"/>
      <c r="GI94" s="626"/>
      <c r="GJ94" s="626"/>
      <c r="GK94" s="626"/>
      <c r="GL94" s="626"/>
      <c r="GM94" s="626"/>
      <c r="GN94" s="626"/>
      <c r="GO94" s="626"/>
      <c r="GP94" s="626"/>
      <c r="GQ94" s="626"/>
      <c r="GR94" s="626"/>
      <c r="GS94" s="626"/>
      <c r="GT94" s="626"/>
      <c r="GU94" s="626"/>
      <c r="GV94" s="626"/>
      <c r="GW94" s="626"/>
      <c r="GX94" s="626"/>
      <c r="GY94" s="626"/>
      <c r="GZ94" s="626"/>
      <c r="HA94" s="626"/>
      <c r="HB94" s="626"/>
      <c r="HC94" s="626"/>
      <c r="HD94" s="626"/>
      <c r="HE94" s="626"/>
      <c r="HF94" s="626"/>
      <c r="HG94" s="626"/>
      <c r="HH94" s="626"/>
      <c r="HI94" s="626"/>
      <c r="HJ94" s="626"/>
      <c r="HK94" s="626"/>
      <c r="HL94" s="626"/>
      <c r="HM94" s="626"/>
      <c r="HN94" s="626"/>
      <c r="HO94" s="626"/>
      <c r="HP94" s="626"/>
      <c r="HQ94" s="626"/>
      <c r="HR94" s="626"/>
      <c r="HS94" s="626"/>
      <c r="HT94" s="626"/>
      <c r="HU94" s="626"/>
      <c r="HV94" s="626"/>
      <c r="HW94" s="626"/>
      <c r="HX94" s="626"/>
      <c r="HY94" s="626"/>
      <c r="HZ94" s="626"/>
      <c r="IA94" s="626"/>
      <c r="IB94" s="626"/>
      <c r="IC94" s="626"/>
      <c r="ID94" s="626"/>
      <c r="IE94" s="626"/>
      <c r="IF94" s="626"/>
      <c r="IG94" s="626"/>
      <c r="IH94" s="626"/>
      <c r="II94" s="626"/>
      <c r="IJ94" s="626"/>
      <c r="IK94" s="626"/>
      <c r="IL94" s="626"/>
      <c r="IM94" s="626"/>
      <c r="IN94" s="626"/>
      <c r="IO94" s="626"/>
      <c r="IP94" s="626"/>
      <c r="IQ94" s="626"/>
      <c r="IR94" s="626"/>
      <c r="IS94" s="626"/>
      <c r="IT94" s="626"/>
      <c r="IU94" s="626"/>
    </row>
    <row r="95" spans="1:255" s="627" customFormat="1" ht="12.75" customHeight="1" x14ac:dyDescent="0.2">
      <c r="A95" s="461"/>
      <c r="B95" s="645"/>
      <c r="C95" s="489"/>
      <c r="D95" s="489"/>
      <c r="E95" s="489"/>
      <c r="F95" s="489"/>
      <c r="G95" s="623"/>
      <c r="H95" s="490" t="s">
        <v>20</v>
      </c>
      <c r="I95" s="490" t="s">
        <v>20</v>
      </c>
      <c r="J95" s="615"/>
      <c r="K95" s="118"/>
      <c r="L95" s="12"/>
      <c r="M95" s="12"/>
      <c r="N95" s="499"/>
      <c r="O95" s="499"/>
      <c r="P95" s="630"/>
      <c r="Q95" s="509"/>
      <c r="R95" s="509"/>
      <c r="S95" s="623"/>
      <c r="T95" s="649"/>
      <c r="U95" s="649"/>
      <c r="V95" s="123"/>
      <c r="W95" s="123"/>
      <c r="X95" s="123"/>
      <c r="Y95" s="624"/>
      <c r="Z95" s="625"/>
      <c r="AA95" s="625"/>
      <c r="AB95" s="625"/>
      <c r="AC95" s="625"/>
      <c r="AD95" s="625"/>
      <c r="AE95" s="625"/>
      <c r="AF95" s="625"/>
      <c r="AG95" s="625"/>
      <c r="AH95" s="625"/>
      <c r="AI95" s="625"/>
      <c r="AJ95" s="625"/>
      <c r="AK95" s="625"/>
      <c r="AL95" s="625"/>
      <c r="AM95" s="625"/>
      <c r="AN95" s="625"/>
      <c r="AO95" s="625"/>
      <c r="AP95" s="625"/>
      <c r="AQ95" s="625"/>
      <c r="AR95" s="625"/>
      <c r="AS95" s="625"/>
      <c r="AT95" s="625"/>
      <c r="AU95" s="625"/>
      <c r="AV95" s="625"/>
      <c r="AW95" s="625"/>
      <c r="AX95" s="625"/>
      <c r="AY95" s="625"/>
      <c r="AZ95" s="625"/>
      <c r="BA95" s="625"/>
      <c r="BB95" s="625"/>
      <c r="BC95" s="625"/>
      <c r="BD95" s="625"/>
      <c r="BE95" s="625"/>
      <c r="BF95" s="626"/>
      <c r="BG95" s="626"/>
      <c r="BH95" s="626"/>
      <c r="BI95" s="626"/>
      <c r="BJ95" s="626"/>
      <c r="BK95" s="626"/>
      <c r="BL95" s="626"/>
      <c r="BM95" s="626"/>
      <c r="BN95" s="626"/>
      <c r="BO95" s="626"/>
      <c r="BP95" s="626"/>
      <c r="BQ95" s="626"/>
      <c r="BR95" s="626"/>
      <c r="BS95" s="626"/>
      <c r="BT95" s="626"/>
      <c r="BU95" s="626"/>
      <c r="BV95" s="626"/>
      <c r="BW95" s="626"/>
      <c r="BX95" s="626"/>
      <c r="BY95" s="626"/>
      <c r="BZ95" s="626"/>
      <c r="CA95" s="626"/>
      <c r="CB95" s="626"/>
      <c r="CC95" s="626"/>
      <c r="CD95" s="626"/>
      <c r="CE95" s="626"/>
      <c r="CF95" s="626"/>
      <c r="CG95" s="626"/>
      <c r="CH95" s="626"/>
      <c r="CI95" s="626"/>
      <c r="CJ95" s="626"/>
      <c r="CK95" s="626"/>
      <c r="CL95" s="626"/>
      <c r="CM95" s="626"/>
      <c r="CN95" s="626"/>
      <c r="CO95" s="626"/>
      <c r="CP95" s="626"/>
      <c r="CQ95" s="626"/>
      <c r="CR95" s="626"/>
      <c r="CS95" s="626"/>
      <c r="CT95" s="626"/>
      <c r="CU95" s="626"/>
      <c r="CV95" s="626"/>
      <c r="CW95" s="626"/>
      <c r="CX95" s="626"/>
      <c r="CY95" s="626"/>
      <c r="CZ95" s="626"/>
      <c r="DA95" s="626"/>
      <c r="DB95" s="626"/>
      <c r="DC95" s="626"/>
      <c r="DD95" s="626"/>
      <c r="DE95" s="626"/>
      <c r="DF95" s="626"/>
      <c r="DG95" s="626"/>
      <c r="DH95" s="626"/>
      <c r="DI95" s="626"/>
      <c r="DJ95" s="626"/>
      <c r="DK95" s="626"/>
      <c r="DL95" s="626"/>
      <c r="DM95" s="626"/>
      <c r="DN95" s="626"/>
      <c r="DO95" s="626"/>
      <c r="DP95" s="626"/>
      <c r="DQ95" s="626"/>
      <c r="DR95" s="626"/>
      <c r="DS95" s="626"/>
      <c r="DT95" s="626"/>
      <c r="DU95" s="626"/>
      <c r="DV95" s="626"/>
      <c r="DW95" s="626"/>
      <c r="DX95" s="626"/>
      <c r="DY95" s="626"/>
      <c r="DZ95" s="626"/>
      <c r="EA95" s="626"/>
      <c r="EB95" s="626"/>
      <c r="EC95" s="626"/>
      <c r="ED95" s="626"/>
      <c r="EE95" s="626"/>
      <c r="EF95" s="626"/>
      <c r="EG95" s="626"/>
      <c r="EH95" s="626"/>
      <c r="EI95" s="626"/>
      <c r="EJ95" s="626"/>
      <c r="EK95" s="626"/>
      <c r="EL95" s="626"/>
      <c r="EM95" s="626"/>
      <c r="EN95" s="626"/>
      <c r="EO95" s="626"/>
      <c r="EP95" s="626"/>
      <c r="EQ95" s="626"/>
      <c r="ER95" s="626"/>
      <c r="ES95" s="626"/>
      <c r="ET95" s="626"/>
      <c r="EU95" s="626"/>
      <c r="EV95" s="626"/>
      <c r="EW95" s="626"/>
      <c r="EX95" s="626"/>
      <c r="EY95" s="626"/>
      <c r="EZ95" s="626"/>
      <c r="FA95" s="626"/>
      <c r="FB95" s="626"/>
      <c r="FC95" s="626"/>
      <c r="FD95" s="626"/>
      <c r="FE95" s="626"/>
      <c r="FF95" s="626"/>
      <c r="FG95" s="626"/>
      <c r="FH95" s="626"/>
      <c r="FI95" s="626"/>
      <c r="FJ95" s="626"/>
      <c r="FK95" s="626"/>
      <c r="FL95" s="626"/>
      <c r="FM95" s="626"/>
      <c r="FN95" s="626"/>
      <c r="FO95" s="626"/>
      <c r="FP95" s="626"/>
      <c r="FQ95" s="626"/>
      <c r="FR95" s="626"/>
      <c r="FS95" s="626"/>
      <c r="FT95" s="626"/>
      <c r="FU95" s="626"/>
      <c r="FV95" s="626"/>
      <c r="FW95" s="626"/>
      <c r="FX95" s="626"/>
      <c r="FY95" s="626"/>
      <c r="FZ95" s="626"/>
      <c r="GA95" s="626"/>
      <c r="GB95" s="626"/>
      <c r="GC95" s="626"/>
      <c r="GD95" s="626"/>
      <c r="GE95" s="626"/>
      <c r="GF95" s="626"/>
      <c r="GG95" s="626"/>
      <c r="GH95" s="626"/>
      <c r="GI95" s="626"/>
      <c r="GJ95" s="626"/>
      <c r="GK95" s="626"/>
      <c r="GL95" s="626"/>
      <c r="GM95" s="626"/>
      <c r="GN95" s="626"/>
      <c r="GO95" s="626"/>
      <c r="GP95" s="626"/>
      <c r="GQ95" s="626"/>
      <c r="GR95" s="626"/>
      <c r="GS95" s="626"/>
      <c r="GT95" s="626"/>
      <c r="GU95" s="626"/>
      <c r="GV95" s="626"/>
      <c r="GW95" s="626"/>
      <c r="GX95" s="626"/>
      <c r="GY95" s="626"/>
      <c r="GZ95" s="626"/>
      <c r="HA95" s="626"/>
      <c r="HB95" s="626"/>
      <c r="HC95" s="626"/>
      <c r="HD95" s="626"/>
      <c r="HE95" s="626"/>
      <c r="HF95" s="626"/>
      <c r="HG95" s="626"/>
      <c r="HH95" s="626"/>
      <c r="HI95" s="626"/>
      <c r="HJ95" s="626"/>
      <c r="HK95" s="626"/>
      <c r="HL95" s="626"/>
      <c r="HM95" s="626"/>
      <c r="HN95" s="626"/>
      <c r="HO95" s="626"/>
      <c r="HP95" s="626"/>
      <c r="HQ95" s="626"/>
      <c r="HR95" s="626"/>
      <c r="HS95" s="626"/>
      <c r="HT95" s="626"/>
      <c r="HU95" s="626"/>
      <c r="HV95" s="626"/>
      <c r="HW95" s="626"/>
      <c r="HX95" s="626"/>
      <c r="HY95" s="626"/>
      <c r="HZ95" s="626"/>
      <c r="IA95" s="626"/>
      <c r="IB95" s="626"/>
      <c r="IC95" s="626"/>
      <c r="ID95" s="626"/>
      <c r="IE95" s="626"/>
      <c r="IF95" s="626"/>
      <c r="IG95" s="626"/>
      <c r="IH95" s="626"/>
      <c r="II95" s="626"/>
      <c r="IJ95" s="626"/>
      <c r="IK95" s="626"/>
      <c r="IL95" s="626"/>
      <c r="IM95" s="626"/>
      <c r="IN95" s="626"/>
      <c r="IO95" s="626"/>
      <c r="IP95" s="626"/>
      <c r="IQ95" s="626"/>
      <c r="IR95" s="626"/>
      <c r="IS95" s="626"/>
      <c r="IT95" s="626"/>
      <c r="IU95" s="626"/>
    </row>
    <row r="96" spans="1:255" s="627" customFormat="1" ht="12.75" customHeight="1" x14ac:dyDescent="0.2">
      <c r="A96" s="461"/>
      <c r="B96" s="645"/>
      <c r="C96" s="489"/>
      <c r="D96" s="489"/>
      <c r="E96" s="489"/>
      <c r="F96" s="489"/>
      <c r="G96" s="623"/>
      <c r="H96" s="490" t="s">
        <v>20</v>
      </c>
      <c r="I96" s="490" t="s">
        <v>20</v>
      </c>
      <c r="J96" s="615"/>
      <c r="K96" s="118"/>
      <c r="L96" s="12"/>
      <c r="M96" s="12"/>
      <c r="N96" s="499"/>
      <c r="O96" s="499"/>
      <c r="P96" s="630"/>
      <c r="Q96" s="509"/>
      <c r="R96" s="509"/>
      <c r="S96" s="623"/>
      <c r="T96" s="649"/>
      <c r="U96" s="649"/>
      <c r="V96" s="123"/>
      <c r="W96" s="123"/>
      <c r="X96" s="123"/>
      <c r="Y96" s="624"/>
      <c r="Z96" s="625"/>
      <c r="AA96" s="625"/>
      <c r="AB96" s="625"/>
      <c r="AC96" s="625"/>
      <c r="AD96" s="625"/>
      <c r="AE96" s="625"/>
      <c r="AF96" s="625"/>
      <c r="AG96" s="625"/>
      <c r="AH96" s="625"/>
      <c r="AI96" s="625"/>
      <c r="AJ96" s="625"/>
      <c r="AK96" s="625"/>
      <c r="AL96" s="625"/>
      <c r="AM96" s="625"/>
      <c r="AN96" s="625"/>
      <c r="AO96" s="625"/>
      <c r="AP96" s="625"/>
      <c r="AQ96" s="625"/>
      <c r="AR96" s="625"/>
      <c r="AS96" s="625"/>
      <c r="AT96" s="625"/>
      <c r="AU96" s="625"/>
      <c r="AV96" s="625"/>
      <c r="AW96" s="625"/>
      <c r="AX96" s="625"/>
      <c r="AY96" s="625"/>
      <c r="AZ96" s="625"/>
      <c r="BA96" s="625"/>
      <c r="BB96" s="625"/>
      <c r="BC96" s="625"/>
      <c r="BD96" s="625"/>
      <c r="BE96" s="625"/>
      <c r="BF96" s="626"/>
      <c r="BG96" s="626"/>
      <c r="BH96" s="626"/>
      <c r="BI96" s="626"/>
      <c r="BJ96" s="626"/>
      <c r="BK96" s="626"/>
      <c r="BL96" s="626"/>
      <c r="BM96" s="626"/>
      <c r="BN96" s="626"/>
      <c r="BO96" s="626"/>
      <c r="BP96" s="626"/>
      <c r="BQ96" s="626"/>
      <c r="BR96" s="626"/>
      <c r="BS96" s="626"/>
      <c r="BT96" s="626"/>
      <c r="BU96" s="626"/>
      <c r="BV96" s="626"/>
      <c r="BW96" s="626"/>
      <c r="BX96" s="626"/>
      <c r="BY96" s="626"/>
      <c r="BZ96" s="626"/>
      <c r="CA96" s="626"/>
      <c r="CB96" s="626"/>
      <c r="CC96" s="626"/>
      <c r="CD96" s="626"/>
      <c r="CE96" s="626"/>
      <c r="CF96" s="626"/>
      <c r="CG96" s="626"/>
      <c r="CH96" s="626"/>
      <c r="CI96" s="626"/>
      <c r="CJ96" s="626"/>
      <c r="CK96" s="626"/>
      <c r="CL96" s="626"/>
      <c r="CM96" s="626"/>
      <c r="CN96" s="626"/>
      <c r="CO96" s="626"/>
      <c r="CP96" s="626"/>
      <c r="CQ96" s="626"/>
      <c r="CR96" s="626"/>
      <c r="CS96" s="626"/>
      <c r="CT96" s="626"/>
      <c r="CU96" s="626"/>
      <c r="CV96" s="626"/>
      <c r="CW96" s="626"/>
      <c r="CX96" s="626"/>
      <c r="CY96" s="626"/>
      <c r="CZ96" s="626"/>
      <c r="DA96" s="626"/>
      <c r="DB96" s="626"/>
      <c r="DC96" s="626"/>
      <c r="DD96" s="626"/>
      <c r="DE96" s="626"/>
      <c r="DF96" s="626"/>
      <c r="DG96" s="626"/>
      <c r="DH96" s="626"/>
      <c r="DI96" s="626"/>
      <c r="DJ96" s="626"/>
      <c r="DK96" s="626"/>
      <c r="DL96" s="626"/>
      <c r="DM96" s="626"/>
      <c r="DN96" s="626"/>
      <c r="DO96" s="626"/>
      <c r="DP96" s="626"/>
      <c r="DQ96" s="626"/>
      <c r="DR96" s="626"/>
      <c r="DS96" s="626"/>
      <c r="DT96" s="626"/>
      <c r="DU96" s="626"/>
      <c r="DV96" s="626"/>
      <c r="DW96" s="626"/>
      <c r="DX96" s="626"/>
      <c r="DY96" s="626"/>
      <c r="DZ96" s="626"/>
      <c r="EA96" s="626"/>
      <c r="EB96" s="626"/>
      <c r="EC96" s="626"/>
      <c r="ED96" s="626"/>
      <c r="EE96" s="626"/>
      <c r="EF96" s="626"/>
      <c r="EG96" s="626"/>
      <c r="EH96" s="626"/>
      <c r="EI96" s="626"/>
      <c r="EJ96" s="626"/>
      <c r="EK96" s="626"/>
      <c r="EL96" s="626"/>
      <c r="EM96" s="626"/>
      <c r="EN96" s="626"/>
      <c r="EO96" s="626"/>
      <c r="EP96" s="626"/>
      <c r="EQ96" s="626"/>
      <c r="ER96" s="626"/>
      <c r="ES96" s="626"/>
      <c r="ET96" s="626"/>
      <c r="EU96" s="626"/>
      <c r="EV96" s="626"/>
      <c r="EW96" s="626"/>
      <c r="EX96" s="626"/>
      <c r="EY96" s="626"/>
      <c r="EZ96" s="626"/>
      <c r="FA96" s="626"/>
      <c r="FB96" s="626"/>
      <c r="FC96" s="626"/>
      <c r="FD96" s="626"/>
      <c r="FE96" s="626"/>
      <c r="FF96" s="626"/>
      <c r="FG96" s="626"/>
      <c r="FH96" s="626"/>
      <c r="FI96" s="626"/>
      <c r="FJ96" s="626"/>
      <c r="FK96" s="626"/>
      <c r="FL96" s="626"/>
      <c r="FM96" s="626"/>
      <c r="FN96" s="626"/>
      <c r="FO96" s="626"/>
      <c r="FP96" s="626"/>
      <c r="FQ96" s="626"/>
      <c r="FR96" s="626"/>
      <c r="FS96" s="626"/>
      <c r="FT96" s="626"/>
      <c r="FU96" s="626"/>
      <c r="FV96" s="626"/>
      <c r="FW96" s="626"/>
      <c r="FX96" s="626"/>
      <c r="FY96" s="626"/>
      <c r="FZ96" s="626"/>
      <c r="GA96" s="626"/>
      <c r="GB96" s="626"/>
      <c r="GC96" s="626"/>
      <c r="GD96" s="626"/>
      <c r="GE96" s="626"/>
      <c r="GF96" s="626"/>
      <c r="GG96" s="626"/>
      <c r="GH96" s="626"/>
      <c r="GI96" s="626"/>
      <c r="GJ96" s="626"/>
      <c r="GK96" s="626"/>
      <c r="GL96" s="626"/>
      <c r="GM96" s="626"/>
      <c r="GN96" s="626"/>
      <c r="GO96" s="626"/>
      <c r="GP96" s="626"/>
      <c r="GQ96" s="626"/>
      <c r="GR96" s="626"/>
      <c r="GS96" s="626"/>
      <c r="GT96" s="626"/>
      <c r="GU96" s="626"/>
      <c r="GV96" s="626"/>
      <c r="GW96" s="626"/>
      <c r="GX96" s="626"/>
      <c r="GY96" s="626"/>
      <c r="GZ96" s="626"/>
      <c r="HA96" s="626"/>
      <c r="HB96" s="626"/>
      <c r="HC96" s="626"/>
      <c r="HD96" s="626"/>
      <c r="HE96" s="626"/>
      <c r="HF96" s="626"/>
      <c r="HG96" s="626"/>
      <c r="HH96" s="626"/>
      <c r="HI96" s="626"/>
      <c r="HJ96" s="626"/>
      <c r="HK96" s="626"/>
      <c r="HL96" s="626"/>
      <c r="HM96" s="626"/>
      <c r="HN96" s="626"/>
      <c r="HO96" s="626"/>
      <c r="HP96" s="626"/>
      <c r="HQ96" s="626"/>
      <c r="HR96" s="626"/>
      <c r="HS96" s="626"/>
      <c r="HT96" s="626"/>
      <c r="HU96" s="626"/>
      <c r="HV96" s="626"/>
      <c r="HW96" s="626"/>
      <c r="HX96" s="626"/>
      <c r="HY96" s="626"/>
      <c r="HZ96" s="626"/>
      <c r="IA96" s="626"/>
      <c r="IB96" s="626"/>
      <c r="IC96" s="626"/>
      <c r="ID96" s="626"/>
      <c r="IE96" s="626"/>
      <c r="IF96" s="626"/>
      <c r="IG96" s="626"/>
      <c r="IH96" s="626"/>
      <c r="II96" s="626"/>
      <c r="IJ96" s="626"/>
      <c r="IK96" s="626"/>
      <c r="IL96" s="626"/>
      <c r="IM96" s="626"/>
      <c r="IN96" s="626"/>
      <c r="IO96" s="626"/>
      <c r="IP96" s="626"/>
      <c r="IQ96" s="626"/>
      <c r="IR96" s="626"/>
      <c r="IS96" s="626"/>
      <c r="IT96" s="626"/>
      <c r="IU96" s="626"/>
    </row>
    <row r="97" spans="1:255" s="627" customFormat="1" ht="12.75" customHeight="1" x14ac:dyDescent="0.2">
      <c r="A97" s="461"/>
      <c r="B97" s="645"/>
      <c r="C97" s="489"/>
      <c r="D97" s="489"/>
      <c r="E97" s="489"/>
      <c r="F97" s="489"/>
      <c r="G97" s="623"/>
      <c r="H97" s="490" t="s">
        <v>20</v>
      </c>
      <c r="I97" s="490" t="s">
        <v>20</v>
      </c>
      <c r="J97" s="615"/>
      <c r="K97" s="118"/>
      <c r="L97" s="12"/>
      <c r="M97" s="12"/>
      <c r="N97" s="499"/>
      <c r="O97" s="499"/>
      <c r="P97" s="630"/>
      <c r="Q97" s="509"/>
      <c r="R97" s="509"/>
      <c r="S97" s="623"/>
      <c r="T97" s="649"/>
      <c r="U97" s="649"/>
      <c r="V97" s="123"/>
      <c r="W97" s="123"/>
      <c r="X97" s="123"/>
      <c r="Y97" s="624"/>
      <c r="Z97" s="625"/>
      <c r="AA97" s="625"/>
      <c r="AB97" s="625"/>
      <c r="AC97" s="625"/>
      <c r="AD97" s="625"/>
      <c r="AE97" s="625"/>
      <c r="AF97" s="625"/>
      <c r="AG97" s="625"/>
      <c r="AH97" s="625"/>
      <c r="AI97" s="625"/>
      <c r="AJ97" s="625"/>
      <c r="AK97" s="625"/>
      <c r="AL97" s="625"/>
      <c r="AM97" s="625"/>
      <c r="AN97" s="625"/>
      <c r="AO97" s="625"/>
      <c r="AP97" s="625"/>
      <c r="AQ97" s="625"/>
      <c r="AR97" s="625"/>
      <c r="AS97" s="625"/>
      <c r="AT97" s="625"/>
      <c r="AU97" s="625"/>
      <c r="AV97" s="625"/>
      <c r="AW97" s="625"/>
      <c r="AX97" s="625"/>
      <c r="AY97" s="625"/>
      <c r="AZ97" s="625"/>
      <c r="BA97" s="625"/>
      <c r="BB97" s="625"/>
      <c r="BC97" s="625"/>
      <c r="BD97" s="625"/>
      <c r="BE97" s="625"/>
      <c r="BF97" s="626"/>
      <c r="BG97" s="626"/>
      <c r="BH97" s="626"/>
      <c r="BI97" s="626"/>
      <c r="BJ97" s="626"/>
      <c r="BK97" s="626"/>
      <c r="BL97" s="626"/>
      <c r="BM97" s="626"/>
      <c r="BN97" s="626"/>
      <c r="BO97" s="626"/>
      <c r="BP97" s="626"/>
      <c r="BQ97" s="626"/>
      <c r="BR97" s="626"/>
      <c r="BS97" s="626"/>
      <c r="BT97" s="626"/>
      <c r="BU97" s="626"/>
      <c r="BV97" s="626"/>
      <c r="BW97" s="626"/>
      <c r="BX97" s="626"/>
      <c r="BY97" s="626"/>
      <c r="BZ97" s="626"/>
      <c r="CA97" s="626"/>
      <c r="CB97" s="626"/>
      <c r="CC97" s="626"/>
      <c r="CD97" s="626"/>
      <c r="CE97" s="626"/>
      <c r="CF97" s="626"/>
      <c r="CG97" s="626"/>
      <c r="CH97" s="626"/>
      <c r="CI97" s="626"/>
      <c r="CJ97" s="626"/>
      <c r="CK97" s="626"/>
      <c r="CL97" s="626"/>
      <c r="CM97" s="626"/>
      <c r="CN97" s="626"/>
      <c r="CO97" s="626"/>
      <c r="CP97" s="626"/>
      <c r="CQ97" s="626"/>
      <c r="CR97" s="626"/>
      <c r="CS97" s="626"/>
      <c r="CT97" s="626"/>
      <c r="CU97" s="626"/>
      <c r="CV97" s="626"/>
      <c r="CW97" s="626"/>
      <c r="CX97" s="626"/>
      <c r="CY97" s="626"/>
      <c r="CZ97" s="626"/>
      <c r="DA97" s="626"/>
      <c r="DB97" s="626"/>
      <c r="DC97" s="626"/>
      <c r="DD97" s="626"/>
      <c r="DE97" s="626"/>
      <c r="DF97" s="626"/>
      <c r="DG97" s="626"/>
      <c r="DH97" s="626"/>
      <c r="DI97" s="626"/>
      <c r="DJ97" s="626"/>
      <c r="DK97" s="626"/>
      <c r="DL97" s="626"/>
      <c r="DM97" s="626"/>
      <c r="DN97" s="626"/>
      <c r="DO97" s="626"/>
      <c r="DP97" s="626"/>
      <c r="DQ97" s="626"/>
      <c r="DR97" s="626"/>
      <c r="DS97" s="626"/>
      <c r="DT97" s="626"/>
      <c r="DU97" s="626"/>
      <c r="DV97" s="626"/>
      <c r="DW97" s="626"/>
      <c r="DX97" s="626"/>
      <c r="DY97" s="626"/>
      <c r="DZ97" s="626"/>
      <c r="EA97" s="626"/>
      <c r="EB97" s="626"/>
      <c r="EC97" s="626"/>
      <c r="ED97" s="626"/>
      <c r="EE97" s="626"/>
      <c r="EF97" s="626"/>
      <c r="EG97" s="626"/>
      <c r="EH97" s="626"/>
      <c r="EI97" s="626"/>
      <c r="EJ97" s="626"/>
      <c r="EK97" s="626"/>
      <c r="EL97" s="626"/>
      <c r="EM97" s="626"/>
      <c r="EN97" s="626"/>
      <c r="EO97" s="626"/>
      <c r="EP97" s="626"/>
      <c r="EQ97" s="626"/>
      <c r="ER97" s="626"/>
      <c r="ES97" s="626"/>
      <c r="ET97" s="626"/>
      <c r="EU97" s="626"/>
      <c r="EV97" s="626"/>
      <c r="EW97" s="626"/>
      <c r="EX97" s="626"/>
      <c r="EY97" s="626"/>
      <c r="EZ97" s="626"/>
      <c r="FA97" s="626"/>
      <c r="FB97" s="626"/>
      <c r="FC97" s="626"/>
      <c r="FD97" s="626"/>
      <c r="FE97" s="626"/>
      <c r="FF97" s="626"/>
      <c r="FG97" s="626"/>
      <c r="FH97" s="626"/>
      <c r="FI97" s="626"/>
      <c r="FJ97" s="626"/>
      <c r="FK97" s="626"/>
      <c r="FL97" s="626"/>
      <c r="FM97" s="626"/>
      <c r="FN97" s="626"/>
      <c r="FO97" s="626"/>
      <c r="FP97" s="626"/>
      <c r="FQ97" s="626"/>
      <c r="FR97" s="626"/>
      <c r="FS97" s="626"/>
      <c r="FT97" s="626"/>
      <c r="FU97" s="626"/>
      <c r="FV97" s="626"/>
      <c r="FW97" s="626"/>
      <c r="FX97" s="626"/>
      <c r="FY97" s="626"/>
      <c r="FZ97" s="626"/>
      <c r="GA97" s="626"/>
      <c r="GB97" s="626"/>
      <c r="GC97" s="626"/>
      <c r="GD97" s="626"/>
      <c r="GE97" s="626"/>
      <c r="GF97" s="626"/>
      <c r="GG97" s="626"/>
      <c r="GH97" s="626"/>
      <c r="GI97" s="626"/>
      <c r="GJ97" s="626"/>
      <c r="GK97" s="626"/>
      <c r="GL97" s="626"/>
      <c r="GM97" s="626"/>
      <c r="GN97" s="626"/>
      <c r="GO97" s="626"/>
      <c r="GP97" s="626"/>
      <c r="GQ97" s="626"/>
      <c r="GR97" s="626"/>
      <c r="GS97" s="626"/>
      <c r="GT97" s="626"/>
      <c r="GU97" s="626"/>
      <c r="GV97" s="626"/>
      <c r="GW97" s="626"/>
      <c r="GX97" s="626"/>
      <c r="GY97" s="626"/>
      <c r="GZ97" s="626"/>
      <c r="HA97" s="626"/>
      <c r="HB97" s="626"/>
      <c r="HC97" s="626"/>
      <c r="HD97" s="626"/>
      <c r="HE97" s="626"/>
      <c r="HF97" s="626"/>
      <c r="HG97" s="626"/>
      <c r="HH97" s="626"/>
      <c r="HI97" s="626"/>
      <c r="HJ97" s="626"/>
      <c r="HK97" s="626"/>
      <c r="HL97" s="626"/>
      <c r="HM97" s="626"/>
      <c r="HN97" s="626"/>
      <c r="HO97" s="626"/>
      <c r="HP97" s="626"/>
      <c r="HQ97" s="626"/>
      <c r="HR97" s="626"/>
      <c r="HS97" s="626"/>
      <c r="HT97" s="626"/>
      <c r="HU97" s="626"/>
      <c r="HV97" s="626"/>
      <c r="HW97" s="626"/>
      <c r="HX97" s="626"/>
      <c r="HY97" s="626"/>
      <c r="HZ97" s="626"/>
      <c r="IA97" s="626"/>
      <c r="IB97" s="626"/>
      <c r="IC97" s="626"/>
      <c r="ID97" s="626"/>
      <c r="IE97" s="626"/>
      <c r="IF97" s="626"/>
      <c r="IG97" s="626"/>
      <c r="IH97" s="626"/>
      <c r="II97" s="626"/>
      <c r="IJ97" s="626"/>
      <c r="IK97" s="626"/>
      <c r="IL97" s="626"/>
      <c r="IM97" s="626"/>
      <c r="IN97" s="626"/>
      <c r="IO97" s="626"/>
      <c r="IP97" s="626"/>
      <c r="IQ97" s="626"/>
      <c r="IR97" s="626"/>
      <c r="IS97" s="626"/>
      <c r="IT97" s="626"/>
      <c r="IU97" s="626"/>
    </row>
    <row r="98" spans="1:255" s="627" customFormat="1" ht="12.75" customHeight="1" x14ac:dyDescent="0.2">
      <c r="A98" s="461"/>
      <c r="B98" s="645"/>
      <c r="C98" s="489"/>
      <c r="D98" s="489"/>
      <c r="E98" s="489"/>
      <c r="F98" s="489"/>
      <c r="G98" s="623"/>
      <c r="H98" s="490" t="s">
        <v>20</v>
      </c>
      <c r="I98" s="490" t="s">
        <v>20</v>
      </c>
      <c r="J98" s="615"/>
      <c r="K98" s="118"/>
      <c r="L98" s="12"/>
      <c r="M98" s="12"/>
      <c r="N98" s="499"/>
      <c r="O98" s="499"/>
      <c r="P98" s="630"/>
      <c r="Q98" s="509"/>
      <c r="R98" s="509"/>
      <c r="S98" s="623"/>
      <c r="T98" s="649"/>
      <c r="U98" s="649"/>
      <c r="V98" s="123"/>
      <c r="W98" s="123"/>
      <c r="X98" s="123"/>
      <c r="Y98" s="624"/>
      <c r="Z98" s="625"/>
      <c r="AA98" s="625"/>
      <c r="AB98" s="625"/>
      <c r="AC98" s="625"/>
      <c r="AD98" s="625"/>
      <c r="AE98" s="625"/>
      <c r="AF98" s="625"/>
      <c r="AG98" s="625"/>
      <c r="AH98" s="625"/>
      <c r="AI98" s="625"/>
      <c r="AJ98" s="625"/>
      <c r="AK98" s="625"/>
      <c r="AL98" s="625"/>
      <c r="AM98" s="625"/>
      <c r="AN98" s="625"/>
      <c r="AO98" s="625"/>
      <c r="AP98" s="625"/>
      <c r="AQ98" s="625"/>
      <c r="AR98" s="625"/>
      <c r="AS98" s="625"/>
      <c r="AT98" s="625"/>
      <c r="AU98" s="625"/>
      <c r="AV98" s="625"/>
      <c r="AW98" s="625"/>
      <c r="AX98" s="625"/>
      <c r="AY98" s="625"/>
      <c r="AZ98" s="625"/>
      <c r="BA98" s="625"/>
      <c r="BB98" s="625"/>
      <c r="BC98" s="625"/>
      <c r="BD98" s="625"/>
      <c r="BE98" s="625"/>
      <c r="BF98" s="626"/>
      <c r="BG98" s="626"/>
      <c r="BH98" s="626"/>
      <c r="BI98" s="626"/>
      <c r="BJ98" s="626"/>
      <c r="BK98" s="626"/>
      <c r="BL98" s="626"/>
      <c r="BM98" s="626"/>
      <c r="BN98" s="626"/>
      <c r="BO98" s="626"/>
      <c r="BP98" s="626"/>
      <c r="BQ98" s="626"/>
      <c r="BR98" s="626"/>
      <c r="BS98" s="626"/>
      <c r="BT98" s="626"/>
      <c r="BU98" s="626"/>
      <c r="BV98" s="626"/>
      <c r="BW98" s="626"/>
      <c r="BX98" s="626"/>
      <c r="BY98" s="626"/>
      <c r="BZ98" s="626"/>
      <c r="CA98" s="626"/>
      <c r="CB98" s="626"/>
      <c r="CC98" s="626"/>
      <c r="CD98" s="626"/>
      <c r="CE98" s="626"/>
      <c r="CF98" s="626"/>
      <c r="CG98" s="626"/>
      <c r="CH98" s="626"/>
      <c r="CI98" s="626"/>
      <c r="CJ98" s="626"/>
      <c r="CK98" s="626"/>
      <c r="CL98" s="626"/>
      <c r="CM98" s="626"/>
      <c r="CN98" s="626"/>
      <c r="CO98" s="626"/>
      <c r="CP98" s="626"/>
      <c r="CQ98" s="626"/>
      <c r="CR98" s="626"/>
      <c r="CS98" s="626"/>
      <c r="CT98" s="626"/>
      <c r="CU98" s="626"/>
      <c r="CV98" s="626"/>
      <c r="CW98" s="626"/>
      <c r="CX98" s="626"/>
      <c r="CY98" s="626"/>
      <c r="CZ98" s="626"/>
      <c r="DA98" s="626"/>
      <c r="DB98" s="626"/>
      <c r="DC98" s="626"/>
      <c r="DD98" s="626"/>
      <c r="DE98" s="626"/>
      <c r="DF98" s="626"/>
      <c r="DG98" s="626"/>
      <c r="DH98" s="626"/>
      <c r="DI98" s="626"/>
      <c r="DJ98" s="626"/>
      <c r="DK98" s="626"/>
      <c r="DL98" s="626"/>
      <c r="DM98" s="626"/>
      <c r="DN98" s="626"/>
      <c r="DO98" s="626"/>
      <c r="DP98" s="626"/>
      <c r="DQ98" s="626"/>
      <c r="DR98" s="626"/>
      <c r="DS98" s="626"/>
      <c r="DT98" s="626"/>
      <c r="DU98" s="626"/>
      <c r="DV98" s="626"/>
      <c r="DW98" s="626"/>
      <c r="DX98" s="626"/>
      <c r="DY98" s="626"/>
      <c r="DZ98" s="626"/>
      <c r="EA98" s="626"/>
      <c r="EB98" s="626"/>
      <c r="EC98" s="626"/>
      <c r="ED98" s="626"/>
      <c r="EE98" s="626"/>
      <c r="EF98" s="626"/>
      <c r="EG98" s="626"/>
      <c r="EH98" s="626"/>
      <c r="EI98" s="626"/>
      <c r="EJ98" s="626"/>
      <c r="EK98" s="626"/>
      <c r="EL98" s="626"/>
      <c r="EM98" s="626"/>
      <c r="EN98" s="626"/>
      <c r="EO98" s="626"/>
      <c r="EP98" s="626"/>
      <c r="EQ98" s="626"/>
      <c r="ER98" s="626"/>
      <c r="ES98" s="626"/>
      <c r="ET98" s="626"/>
      <c r="EU98" s="626"/>
      <c r="EV98" s="626"/>
      <c r="EW98" s="626"/>
      <c r="EX98" s="626"/>
      <c r="EY98" s="626"/>
      <c r="EZ98" s="626"/>
      <c r="FA98" s="626"/>
      <c r="FB98" s="626"/>
      <c r="FC98" s="626"/>
      <c r="FD98" s="626"/>
      <c r="FE98" s="626"/>
      <c r="FF98" s="626"/>
      <c r="FG98" s="626"/>
      <c r="FH98" s="626"/>
      <c r="FI98" s="626"/>
      <c r="FJ98" s="626"/>
      <c r="FK98" s="626"/>
      <c r="FL98" s="626"/>
      <c r="FM98" s="626"/>
      <c r="FN98" s="626"/>
      <c r="FO98" s="626"/>
      <c r="FP98" s="626"/>
      <c r="FQ98" s="626"/>
      <c r="FR98" s="626"/>
      <c r="FS98" s="626"/>
      <c r="FT98" s="626"/>
      <c r="FU98" s="626"/>
      <c r="FV98" s="626"/>
      <c r="FW98" s="626"/>
      <c r="FX98" s="626"/>
      <c r="FY98" s="626"/>
      <c r="FZ98" s="626"/>
      <c r="GA98" s="626"/>
      <c r="GB98" s="626"/>
      <c r="GC98" s="626"/>
      <c r="GD98" s="626"/>
      <c r="GE98" s="626"/>
      <c r="GF98" s="626"/>
      <c r="GG98" s="626"/>
      <c r="GH98" s="626"/>
      <c r="GI98" s="626"/>
      <c r="GJ98" s="626"/>
      <c r="GK98" s="626"/>
      <c r="GL98" s="626"/>
      <c r="GM98" s="626"/>
      <c r="GN98" s="626"/>
      <c r="GO98" s="626"/>
      <c r="GP98" s="626"/>
      <c r="GQ98" s="626"/>
      <c r="GR98" s="626"/>
      <c r="GS98" s="626"/>
      <c r="GT98" s="626"/>
      <c r="GU98" s="626"/>
      <c r="GV98" s="626"/>
      <c r="GW98" s="626"/>
      <c r="GX98" s="626"/>
      <c r="GY98" s="626"/>
      <c r="GZ98" s="626"/>
      <c r="HA98" s="626"/>
      <c r="HB98" s="626"/>
      <c r="HC98" s="626"/>
      <c r="HD98" s="626"/>
      <c r="HE98" s="626"/>
      <c r="HF98" s="626"/>
      <c r="HG98" s="626"/>
      <c r="HH98" s="626"/>
      <c r="HI98" s="626"/>
      <c r="HJ98" s="626"/>
      <c r="HK98" s="626"/>
      <c r="HL98" s="626"/>
      <c r="HM98" s="626"/>
      <c r="HN98" s="626"/>
      <c r="HO98" s="626"/>
      <c r="HP98" s="626"/>
      <c r="HQ98" s="626"/>
      <c r="HR98" s="626"/>
      <c r="HS98" s="626"/>
      <c r="HT98" s="626"/>
      <c r="HU98" s="626"/>
      <c r="HV98" s="626"/>
      <c r="HW98" s="626"/>
      <c r="HX98" s="626"/>
      <c r="HY98" s="626"/>
      <c r="HZ98" s="626"/>
      <c r="IA98" s="626"/>
      <c r="IB98" s="626"/>
      <c r="IC98" s="626"/>
      <c r="ID98" s="626"/>
      <c r="IE98" s="626"/>
      <c r="IF98" s="626"/>
      <c r="IG98" s="626"/>
      <c r="IH98" s="626"/>
      <c r="II98" s="626"/>
      <c r="IJ98" s="626"/>
      <c r="IK98" s="626"/>
      <c r="IL98" s="626"/>
      <c r="IM98" s="626"/>
      <c r="IN98" s="626"/>
      <c r="IO98" s="626"/>
      <c r="IP98" s="626"/>
      <c r="IQ98" s="626"/>
      <c r="IR98" s="626"/>
      <c r="IS98" s="626"/>
      <c r="IT98" s="626"/>
      <c r="IU98" s="626"/>
    </row>
    <row r="99" spans="1:255" s="627" customFormat="1" ht="12.75" customHeight="1" x14ac:dyDescent="0.2">
      <c r="A99" s="461"/>
      <c r="B99" s="645"/>
      <c r="C99" s="489"/>
      <c r="D99" s="489"/>
      <c r="E99" s="489"/>
      <c r="F99" s="489"/>
      <c r="G99" s="623"/>
      <c r="H99" s="490" t="s">
        <v>20</v>
      </c>
      <c r="I99" s="490" t="s">
        <v>20</v>
      </c>
      <c r="J99" s="615"/>
      <c r="K99" s="118"/>
      <c r="L99" s="12"/>
      <c r="M99" s="12"/>
      <c r="N99" s="499"/>
      <c r="O99" s="499"/>
      <c r="P99" s="630"/>
      <c r="Q99" s="509"/>
      <c r="R99" s="509"/>
      <c r="S99" s="623"/>
      <c r="T99" s="649"/>
      <c r="U99" s="649"/>
      <c r="V99" s="123"/>
      <c r="W99" s="123"/>
      <c r="X99" s="123"/>
      <c r="Y99" s="624"/>
      <c r="Z99" s="625"/>
      <c r="AA99" s="625"/>
      <c r="AB99" s="625"/>
      <c r="AC99" s="625"/>
      <c r="AD99" s="625"/>
      <c r="AE99" s="625"/>
      <c r="AF99" s="625"/>
      <c r="AG99" s="625"/>
      <c r="AH99" s="625"/>
      <c r="AI99" s="625"/>
      <c r="AJ99" s="625"/>
      <c r="AK99" s="625"/>
      <c r="AL99" s="625"/>
      <c r="AM99" s="625"/>
      <c r="AN99" s="625"/>
      <c r="AO99" s="625"/>
      <c r="AP99" s="625"/>
      <c r="AQ99" s="625"/>
      <c r="AR99" s="625"/>
      <c r="AS99" s="625"/>
      <c r="AT99" s="625"/>
      <c r="AU99" s="625"/>
      <c r="AV99" s="625"/>
      <c r="AW99" s="625"/>
      <c r="AX99" s="625"/>
      <c r="AY99" s="625"/>
      <c r="AZ99" s="625"/>
      <c r="BA99" s="625"/>
      <c r="BB99" s="625"/>
      <c r="BC99" s="625"/>
      <c r="BD99" s="625"/>
      <c r="BE99" s="625"/>
      <c r="BF99" s="626"/>
      <c r="BG99" s="626"/>
      <c r="BH99" s="626"/>
      <c r="BI99" s="626"/>
      <c r="BJ99" s="626"/>
      <c r="BK99" s="626"/>
      <c r="BL99" s="626"/>
      <c r="BM99" s="626"/>
      <c r="BN99" s="626"/>
      <c r="BO99" s="626"/>
      <c r="BP99" s="626"/>
      <c r="BQ99" s="626"/>
      <c r="BR99" s="626"/>
      <c r="BS99" s="626"/>
      <c r="BT99" s="626"/>
      <c r="BU99" s="626"/>
      <c r="BV99" s="626"/>
      <c r="BW99" s="626"/>
      <c r="BX99" s="626"/>
      <c r="BY99" s="626"/>
      <c r="BZ99" s="626"/>
      <c r="CA99" s="626"/>
      <c r="CB99" s="626"/>
      <c r="CC99" s="626"/>
      <c r="CD99" s="626"/>
      <c r="CE99" s="626"/>
      <c r="CF99" s="626"/>
      <c r="CG99" s="626"/>
      <c r="CH99" s="626"/>
      <c r="CI99" s="626"/>
      <c r="CJ99" s="626"/>
      <c r="CK99" s="626"/>
      <c r="CL99" s="626"/>
      <c r="CM99" s="626"/>
      <c r="CN99" s="626"/>
      <c r="CO99" s="626"/>
      <c r="CP99" s="626"/>
      <c r="CQ99" s="626"/>
      <c r="CR99" s="626"/>
      <c r="CS99" s="626"/>
      <c r="CT99" s="626"/>
      <c r="CU99" s="626"/>
      <c r="CV99" s="626"/>
      <c r="CW99" s="626"/>
      <c r="CX99" s="626"/>
      <c r="CY99" s="626"/>
      <c r="CZ99" s="626"/>
      <c r="DA99" s="626"/>
      <c r="DB99" s="626"/>
      <c r="DC99" s="626"/>
      <c r="DD99" s="626"/>
      <c r="DE99" s="626"/>
      <c r="DF99" s="626"/>
      <c r="DG99" s="626"/>
      <c r="DH99" s="626"/>
      <c r="DI99" s="626"/>
      <c r="DJ99" s="626"/>
      <c r="DK99" s="626"/>
      <c r="DL99" s="626"/>
      <c r="DM99" s="626"/>
      <c r="DN99" s="626"/>
      <c r="DO99" s="626"/>
      <c r="DP99" s="626"/>
      <c r="DQ99" s="626"/>
      <c r="DR99" s="626"/>
      <c r="DS99" s="626"/>
      <c r="DT99" s="626"/>
      <c r="DU99" s="626"/>
      <c r="DV99" s="626"/>
      <c r="DW99" s="626"/>
      <c r="DX99" s="626"/>
      <c r="DY99" s="626"/>
      <c r="DZ99" s="626"/>
      <c r="EA99" s="626"/>
      <c r="EB99" s="626"/>
      <c r="EC99" s="626"/>
      <c r="ED99" s="626"/>
      <c r="EE99" s="626"/>
      <c r="EF99" s="626"/>
      <c r="EG99" s="626"/>
      <c r="EH99" s="626"/>
      <c r="EI99" s="626"/>
      <c r="EJ99" s="626"/>
      <c r="EK99" s="626"/>
      <c r="EL99" s="626"/>
      <c r="EM99" s="626"/>
      <c r="EN99" s="626"/>
      <c r="EO99" s="626"/>
      <c r="EP99" s="626"/>
      <c r="EQ99" s="626"/>
      <c r="ER99" s="626"/>
      <c r="ES99" s="626"/>
      <c r="ET99" s="626"/>
      <c r="EU99" s="626"/>
      <c r="EV99" s="626"/>
      <c r="EW99" s="626"/>
      <c r="EX99" s="626"/>
      <c r="EY99" s="626"/>
      <c r="EZ99" s="626"/>
      <c r="FA99" s="626"/>
      <c r="FB99" s="626"/>
      <c r="FC99" s="626"/>
      <c r="FD99" s="626"/>
      <c r="FE99" s="626"/>
      <c r="FF99" s="626"/>
      <c r="FG99" s="626"/>
      <c r="FH99" s="626"/>
      <c r="FI99" s="626"/>
      <c r="FJ99" s="626"/>
      <c r="FK99" s="626"/>
      <c r="FL99" s="626"/>
      <c r="FM99" s="626"/>
      <c r="FN99" s="626"/>
      <c r="FO99" s="626"/>
      <c r="FP99" s="626"/>
      <c r="FQ99" s="626"/>
      <c r="FR99" s="626"/>
      <c r="FS99" s="626"/>
      <c r="FT99" s="626"/>
      <c r="FU99" s="626"/>
      <c r="FV99" s="626"/>
      <c r="FW99" s="626"/>
      <c r="FX99" s="626"/>
      <c r="FY99" s="626"/>
      <c r="FZ99" s="626"/>
      <c r="GA99" s="626"/>
      <c r="GB99" s="626"/>
      <c r="GC99" s="626"/>
      <c r="GD99" s="626"/>
      <c r="GE99" s="626"/>
      <c r="GF99" s="626"/>
      <c r="GG99" s="626"/>
      <c r="GH99" s="626"/>
      <c r="GI99" s="626"/>
      <c r="GJ99" s="626"/>
      <c r="GK99" s="626"/>
      <c r="GL99" s="626"/>
      <c r="GM99" s="626"/>
      <c r="GN99" s="626"/>
      <c r="GO99" s="626"/>
      <c r="GP99" s="626"/>
      <c r="GQ99" s="626"/>
      <c r="GR99" s="626"/>
      <c r="GS99" s="626"/>
      <c r="GT99" s="626"/>
      <c r="GU99" s="626"/>
      <c r="GV99" s="626"/>
      <c r="GW99" s="626"/>
      <c r="GX99" s="626"/>
      <c r="GY99" s="626"/>
      <c r="GZ99" s="626"/>
      <c r="HA99" s="626"/>
      <c r="HB99" s="626"/>
      <c r="HC99" s="626"/>
      <c r="HD99" s="626"/>
      <c r="HE99" s="626"/>
      <c r="HF99" s="626"/>
      <c r="HG99" s="626"/>
      <c r="HH99" s="626"/>
      <c r="HI99" s="626"/>
      <c r="HJ99" s="626"/>
      <c r="HK99" s="626"/>
      <c r="HL99" s="626"/>
      <c r="HM99" s="626"/>
      <c r="HN99" s="626"/>
      <c r="HO99" s="626"/>
      <c r="HP99" s="626"/>
      <c r="HQ99" s="626"/>
      <c r="HR99" s="626"/>
      <c r="HS99" s="626"/>
      <c r="HT99" s="626"/>
      <c r="HU99" s="626"/>
      <c r="HV99" s="626"/>
      <c r="HW99" s="626"/>
      <c r="HX99" s="626"/>
      <c r="HY99" s="626"/>
      <c r="HZ99" s="626"/>
      <c r="IA99" s="626"/>
      <c r="IB99" s="626"/>
      <c r="IC99" s="626"/>
      <c r="ID99" s="626"/>
      <c r="IE99" s="626"/>
      <c r="IF99" s="626"/>
      <c r="IG99" s="626"/>
      <c r="IH99" s="626"/>
      <c r="II99" s="626"/>
      <c r="IJ99" s="626"/>
      <c r="IK99" s="626"/>
      <c r="IL99" s="626"/>
      <c r="IM99" s="626"/>
      <c r="IN99" s="626"/>
      <c r="IO99" s="626"/>
      <c r="IP99" s="626"/>
      <c r="IQ99" s="626"/>
      <c r="IR99" s="626"/>
      <c r="IS99" s="626"/>
      <c r="IT99" s="626"/>
      <c r="IU99" s="626"/>
    </row>
    <row r="100" spans="1:255" s="627" customFormat="1" ht="12.75" customHeight="1" x14ac:dyDescent="0.2">
      <c r="A100" s="461"/>
      <c r="B100" s="645"/>
      <c r="C100" s="489"/>
      <c r="D100" s="489"/>
      <c r="E100" s="489"/>
      <c r="F100" s="489"/>
      <c r="G100" s="623"/>
      <c r="H100" s="490" t="s">
        <v>20</v>
      </c>
      <c r="I100" s="490" t="s">
        <v>20</v>
      </c>
      <c r="J100" s="615"/>
      <c r="K100" s="118"/>
      <c r="L100" s="12"/>
      <c r="M100" s="12"/>
      <c r="N100" s="499"/>
      <c r="O100" s="499"/>
      <c r="P100" s="630"/>
      <c r="Q100" s="509"/>
      <c r="R100" s="509"/>
      <c r="S100" s="623"/>
      <c r="T100" s="649"/>
      <c r="U100" s="649"/>
      <c r="V100" s="123"/>
      <c r="W100" s="123"/>
      <c r="X100" s="123"/>
      <c r="Y100" s="624"/>
      <c r="Z100" s="625"/>
      <c r="AA100" s="625"/>
      <c r="AB100" s="625"/>
      <c r="AC100" s="625"/>
      <c r="AD100" s="625"/>
      <c r="AE100" s="625"/>
      <c r="AF100" s="625"/>
      <c r="AG100" s="625"/>
      <c r="AH100" s="625"/>
      <c r="AI100" s="625"/>
      <c r="AJ100" s="625"/>
      <c r="AK100" s="625"/>
      <c r="AL100" s="625"/>
      <c r="AM100" s="625"/>
      <c r="AN100" s="625"/>
      <c r="AO100" s="625"/>
      <c r="AP100" s="625"/>
      <c r="AQ100" s="625"/>
      <c r="AR100" s="625"/>
      <c r="AS100" s="625"/>
      <c r="AT100" s="625"/>
      <c r="AU100" s="625"/>
      <c r="AV100" s="625"/>
      <c r="AW100" s="625"/>
      <c r="AX100" s="625"/>
      <c r="AY100" s="625"/>
      <c r="AZ100" s="625"/>
      <c r="BA100" s="625"/>
      <c r="BB100" s="625"/>
      <c r="BC100" s="625"/>
      <c r="BD100" s="625"/>
      <c r="BE100" s="625"/>
      <c r="BF100" s="626"/>
      <c r="BG100" s="626"/>
      <c r="BH100" s="626"/>
      <c r="BI100" s="626"/>
      <c r="BJ100" s="626"/>
      <c r="BK100" s="626"/>
      <c r="BL100" s="626"/>
      <c r="BM100" s="626"/>
      <c r="BN100" s="626"/>
      <c r="BO100" s="626"/>
      <c r="BP100" s="626"/>
      <c r="BQ100" s="626"/>
      <c r="BR100" s="626"/>
      <c r="BS100" s="626"/>
      <c r="BT100" s="626"/>
      <c r="BU100" s="626"/>
      <c r="BV100" s="626"/>
      <c r="BW100" s="626"/>
      <c r="BX100" s="626"/>
      <c r="BY100" s="626"/>
      <c r="BZ100" s="626"/>
      <c r="CA100" s="626"/>
      <c r="CB100" s="626"/>
      <c r="CC100" s="626"/>
      <c r="CD100" s="626"/>
      <c r="CE100" s="626"/>
      <c r="CF100" s="626"/>
      <c r="CG100" s="626"/>
      <c r="CH100" s="626"/>
      <c r="CI100" s="626"/>
      <c r="CJ100" s="626"/>
      <c r="CK100" s="626"/>
      <c r="CL100" s="626"/>
      <c r="CM100" s="626"/>
      <c r="CN100" s="626"/>
      <c r="CO100" s="626"/>
      <c r="CP100" s="626"/>
      <c r="CQ100" s="626"/>
      <c r="CR100" s="626"/>
      <c r="CS100" s="626"/>
      <c r="CT100" s="626"/>
      <c r="CU100" s="626"/>
      <c r="CV100" s="626"/>
      <c r="CW100" s="626"/>
      <c r="CX100" s="626"/>
      <c r="CY100" s="626"/>
      <c r="CZ100" s="626"/>
      <c r="DA100" s="626"/>
      <c r="DB100" s="626"/>
      <c r="DC100" s="626"/>
      <c r="DD100" s="626"/>
      <c r="DE100" s="626"/>
      <c r="DF100" s="626"/>
      <c r="DG100" s="626"/>
      <c r="DH100" s="626"/>
      <c r="DI100" s="626"/>
      <c r="DJ100" s="626"/>
      <c r="DK100" s="626"/>
      <c r="DL100" s="626"/>
      <c r="DM100" s="626"/>
      <c r="DN100" s="626"/>
      <c r="DO100" s="626"/>
      <c r="DP100" s="626"/>
      <c r="DQ100" s="626"/>
      <c r="DR100" s="626"/>
      <c r="DS100" s="626"/>
      <c r="DT100" s="626"/>
      <c r="DU100" s="626"/>
      <c r="DV100" s="626"/>
      <c r="DW100" s="626"/>
      <c r="DX100" s="626"/>
      <c r="DY100" s="626"/>
      <c r="DZ100" s="626"/>
      <c r="EA100" s="626"/>
      <c r="EB100" s="626"/>
      <c r="EC100" s="626"/>
      <c r="ED100" s="626"/>
      <c r="EE100" s="626"/>
      <c r="EF100" s="626"/>
      <c r="EG100" s="626"/>
      <c r="EH100" s="626"/>
      <c r="EI100" s="626"/>
      <c r="EJ100" s="626"/>
      <c r="EK100" s="626"/>
      <c r="EL100" s="626"/>
      <c r="EM100" s="626"/>
      <c r="EN100" s="626"/>
      <c r="EO100" s="626"/>
      <c r="EP100" s="626"/>
      <c r="EQ100" s="626"/>
      <c r="ER100" s="626"/>
      <c r="ES100" s="626"/>
      <c r="ET100" s="626"/>
      <c r="EU100" s="626"/>
      <c r="EV100" s="626"/>
      <c r="EW100" s="626"/>
      <c r="EX100" s="626"/>
      <c r="EY100" s="626"/>
      <c r="EZ100" s="626"/>
      <c r="FA100" s="626"/>
      <c r="FB100" s="626"/>
      <c r="FC100" s="626"/>
      <c r="FD100" s="626"/>
      <c r="FE100" s="626"/>
      <c r="FF100" s="626"/>
      <c r="FG100" s="626"/>
      <c r="FH100" s="626"/>
      <c r="FI100" s="626"/>
      <c r="FJ100" s="626"/>
      <c r="FK100" s="626"/>
      <c r="FL100" s="626"/>
      <c r="FM100" s="626"/>
      <c r="FN100" s="626"/>
      <c r="FO100" s="626"/>
      <c r="FP100" s="626"/>
      <c r="FQ100" s="626"/>
      <c r="FR100" s="626"/>
      <c r="FS100" s="626"/>
      <c r="FT100" s="626"/>
      <c r="FU100" s="626"/>
      <c r="FV100" s="626"/>
      <c r="FW100" s="626"/>
      <c r="FX100" s="626"/>
      <c r="FY100" s="626"/>
      <c r="FZ100" s="626"/>
      <c r="GA100" s="626"/>
      <c r="GB100" s="626"/>
      <c r="GC100" s="626"/>
      <c r="GD100" s="626"/>
      <c r="GE100" s="626"/>
      <c r="GF100" s="626"/>
      <c r="GG100" s="626"/>
      <c r="GH100" s="626"/>
      <c r="GI100" s="626"/>
      <c r="GJ100" s="626"/>
      <c r="GK100" s="626"/>
      <c r="GL100" s="626"/>
      <c r="GM100" s="626"/>
      <c r="GN100" s="626"/>
      <c r="GO100" s="626"/>
      <c r="GP100" s="626"/>
      <c r="GQ100" s="626"/>
      <c r="GR100" s="626"/>
      <c r="GS100" s="626"/>
      <c r="GT100" s="626"/>
      <c r="GU100" s="626"/>
      <c r="GV100" s="626"/>
      <c r="GW100" s="626"/>
      <c r="GX100" s="626"/>
      <c r="GY100" s="626"/>
      <c r="GZ100" s="626"/>
      <c r="HA100" s="626"/>
      <c r="HB100" s="626"/>
      <c r="HC100" s="626"/>
      <c r="HD100" s="626"/>
      <c r="HE100" s="626"/>
      <c r="HF100" s="626"/>
      <c r="HG100" s="626"/>
      <c r="HH100" s="626"/>
      <c r="HI100" s="626"/>
      <c r="HJ100" s="626"/>
      <c r="HK100" s="626"/>
      <c r="HL100" s="626"/>
      <c r="HM100" s="626"/>
      <c r="HN100" s="626"/>
      <c r="HO100" s="626"/>
      <c r="HP100" s="626"/>
      <c r="HQ100" s="626"/>
      <c r="HR100" s="626"/>
      <c r="HS100" s="626"/>
      <c r="HT100" s="626"/>
      <c r="HU100" s="626"/>
      <c r="HV100" s="626"/>
      <c r="HW100" s="626"/>
      <c r="HX100" s="626"/>
      <c r="HY100" s="626"/>
      <c r="HZ100" s="626"/>
      <c r="IA100" s="626"/>
      <c r="IB100" s="626"/>
      <c r="IC100" s="626"/>
      <c r="ID100" s="626"/>
      <c r="IE100" s="626"/>
      <c r="IF100" s="626"/>
      <c r="IG100" s="626"/>
      <c r="IH100" s="626"/>
      <c r="II100" s="626"/>
      <c r="IJ100" s="626"/>
      <c r="IK100" s="626"/>
      <c r="IL100" s="626"/>
      <c r="IM100" s="626"/>
      <c r="IN100" s="626"/>
      <c r="IO100" s="626"/>
      <c r="IP100" s="626"/>
      <c r="IQ100" s="626"/>
      <c r="IR100" s="626"/>
      <c r="IS100" s="626"/>
      <c r="IT100" s="626"/>
      <c r="IU100" s="626"/>
    </row>
    <row r="101" spans="1:255" s="627" customFormat="1" ht="12.75" customHeight="1" x14ac:dyDescent="0.2">
      <c r="A101" s="461"/>
      <c r="B101" s="645"/>
      <c r="C101" s="645"/>
      <c r="D101" s="489"/>
      <c r="E101" s="489"/>
      <c r="F101" s="489"/>
      <c r="G101" s="623"/>
      <c r="H101" s="490" t="s">
        <v>20</v>
      </c>
      <c r="I101" s="490" t="s">
        <v>20</v>
      </c>
      <c r="J101" s="615"/>
      <c r="K101" s="118"/>
      <c r="L101" s="12"/>
      <c r="M101" s="12"/>
      <c r="N101" s="499"/>
      <c r="O101" s="499"/>
      <c r="P101" s="630"/>
      <c r="Q101" s="509"/>
      <c r="R101" s="509"/>
      <c r="S101" s="623"/>
      <c r="T101" s="649"/>
      <c r="U101" s="649"/>
      <c r="V101" s="123"/>
      <c r="W101" s="123"/>
      <c r="X101" s="123"/>
      <c r="Y101" s="624"/>
      <c r="Z101" s="625"/>
      <c r="AA101" s="625"/>
      <c r="AB101" s="625"/>
      <c r="AC101" s="625"/>
      <c r="AD101" s="625"/>
      <c r="AE101" s="625"/>
      <c r="AF101" s="625"/>
      <c r="AG101" s="625"/>
      <c r="AH101" s="625"/>
      <c r="AI101" s="625"/>
      <c r="AJ101" s="625"/>
      <c r="AK101" s="625"/>
      <c r="AL101" s="625"/>
      <c r="AM101" s="625"/>
      <c r="AN101" s="625"/>
      <c r="AO101" s="625"/>
      <c r="AP101" s="625"/>
      <c r="AQ101" s="625"/>
      <c r="AR101" s="625"/>
      <c r="AS101" s="625"/>
      <c r="AT101" s="625"/>
      <c r="AU101" s="625"/>
      <c r="AV101" s="625"/>
      <c r="AW101" s="625"/>
      <c r="AX101" s="625"/>
      <c r="AY101" s="625"/>
      <c r="AZ101" s="625"/>
      <c r="BA101" s="625"/>
      <c r="BB101" s="625"/>
      <c r="BC101" s="625"/>
      <c r="BD101" s="625"/>
      <c r="BE101" s="625"/>
      <c r="BF101" s="626"/>
      <c r="BG101" s="626"/>
      <c r="BH101" s="626"/>
      <c r="BI101" s="626"/>
      <c r="BJ101" s="626"/>
      <c r="BK101" s="626"/>
      <c r="BL101" s="626"/>
      <c r="BM101" s="626"/>
      <c r="BN101" s="626"/>
      <c r="BO101" s="626"/>
      <c r="BP101" s="626"/>
      <c r="BQ101" s="626"/>
      <c r="BR101" s="626"/>
      <c r="BS101" s="626"/>
      <c r="BT101" s="626"/>
      <c r="BU101" s="626"/>
      <c r="BV101" s="626"/>
      <c r="BW101" s="626"/>
      <c r="BX101" s="626"/>
      <c r="BY101" s="626"/>
      <c r="BZ101" s="626"/>
      <c r="CA101" s="626"/>
      <c r="CB101" s="626"/>
      <c r="CC101" s="626"/>
      <c r="CD101" s="626"/>
      <c r="CE101" s="626"/>
      <c r="CF101" s="626"/>
      <c r="CG101" s="626"/>
      <c r="CH101" s="626"/>
      <c r="CI101" s="626"/>
      <c r="CJ101" s="626"/>
      <c r="CK101" s="626"/>
      <c r="CL101" s="626"/>
      <c r="CM101" s="626"/>
      <c r="CN101" s="626"/>
      <c r="CO101" s="626"/>
      <c r="CP101" s="626"/>
      <c r="CQ101" s="626"/>
      <c r="CR101" s="626"/>
      <c r="CS101" s="626"/>
      <c r="CT101" s="626"/>
      <c r="CU101" s="626"/>
      <c r="CV101" s="626"/>
      <c r="CW101" s="626"/>
      <c r="CX101" s="626"/>
      <c r="CY101" s="626"/>
      <c r="CZ101" s="626"/>
      <c r="DA101" s="626"/>
      <c r="DB101" s="626"/>
      <c r="DC101" s="626"/>
      <c r="DD101" s="626"/>
      <c r="DE101" s="626"/>
      <c r="DF101" s="626"/>
      <c r="DG101" s="626"/>
      <c r="DH101" s="626"/>
      <c r="DI101" s="626"/>
      <c r="DJ101" s="626"/>
      <c r="DK101" s="626"/>
      <c r="DL101" s="626"/>
      <c r="DM101" s="626"/>
      <c r="DN101" s="626"/>
      <c r="DO101" s="626"/>
      <c r="DP101" s="626"/>
      <c r="DQ101" s="626"/>
      <c r="DR101" s="626"/>
      <c r="DS101" s="626"/>
      <c r="DT101" s="626"/>
      <c r="DU101" s="626"/>
      <c r="DV101" s="626"/>
      <c r="DW101" s="626"/>
      <c r="DX101" s="626"/>
      <c r="DY101" s="626"/>
      <c r="DZ101" s="626"/>
      <c r="EA101" s="626"/>
      <c r="EB101" s="626"/>
      <c r="EC101" s="626"/>
      <c r="ED101" s="626"/>
      <c r="EE101" s="626"/>
      <c r="EF101" s="626"/>
      <c r="EG101" s="626"/>
      <c r="EH101" s="626"/>
      <c r="EI101" s="626"/>
      <c r="EJ101" s="626"/>
      <c r="EK101" s="626"/>
      <c r="EL101" s="626"/>
      <c r="EM101" s="626"/>
      <c r="EN101" s="626"/>
      <c r="EO101" s="626"/>
      <c r="EP101" s="626"/>
      <c r="EQ101" s="626"/>
      <c r="ER101" s="626"/>
      <c r="ES101" s="626"/>
      <c r="ET101" s="626"/>
      <c r="EU101" s="626"/>
      <c r="EV101" s="626"/>
      <c r="EW101" s="626"/>
      <c r="EX101" s="626"/>
      <c r="EY101" s="626"/>
      <c r="EZ101" s="626"/>
      <c r="FA101" s="626"/>
      <c r="FB101" s="626"/>
      <c r="FC101" s="626"/>
      <c r="FD101" s="626"/>
      <c r="FE101" s="626"/>
      <c r="FF101" s="626"/>
      <c r="FG101" s="626"/>
      <c r="FH101" s="626"/>
      <c r="FI101" s="626"/>
      <c r="FJ101" s="626"/>
      <c r="FK101" s="626"/>
      <c r="FL101" s="626"/>
      <c r="FM101" s="626"/>
      <c r="FN101" s="626"/>
      <c r="FO101" s="626"/>
      <c r="FP101" s="626"/>
      <c r="FQ101" s="626"/>
      <c r="FR101" s="626"/>
      <c r="FS101" s="626"/>
      <c r="FT101" s="626"/>
      <c r="FU101" s="626"/>
      <c r="FV101" s="626"/>
      <c r="FW101" s="626"/>
      <c r="FX101" s="626"/>
      <c r="FY101" s="626"/>
      <c r="FZ101" s="626"/>
      <c r="GA101" s="626"/>
      <c r="GB101" s="626"/>
      <c r="GC101" s="626"/>
      <c r="GD101" s="626"/>
      <c r="GE101" s="626"/>
      <c r="GF101" s="626"/>
      <c r="GG101" s="626"/>
      <c r="GH101" s="626"/>
      <c r="GI101" s="626"/>
      <c r="GJ101" s="626"/>
      <c r="GK101" s="626"/>
      <c r="GL101" s="626"/>
      <c r="GM101" s="626"/>
      <c r="GN101" s="626"/>
      <c r="GO101" s="626"/>
      <c r="GP101" s="626"/>
      <c r="GQ101" s="626"/>
      <c r="GR101" s="626"/>
      <c r="GS101" s="626"/>
      <c r="GT101" s="626"/>
      <c r="GU101" s="626"/>
      <c r="GV101" s="626"/>
      <c r="GW101" s="626"/>
      <c r="GX101" s="626"/>
      <c r="GY101" s="626"/>
      <c r="GZ101" s="626"/>
      <c r="HA101" s="626"/>
      <c r="HB101" s="626"/>
      <c r="HC101" s="626"/>
      <c r="HD101" s="626"/>
      <c r="HE101" s="626"/>
      <c r="HF101" s="626"/>
      <c r="HG101" s="626"/>
      <c r="HH101" s="626"/>
      <c r="HI101" s="626"/>
      <c r="HJ101" s="626"/>
      <c r="HK101" s="626"/>
      <c r="HL101" s="626"/>
      <c r="HM101" s="626"/>
      <c r="HN101" s="626"/>
      <c r="HO101" s="626"/>
      <c r="HP101" s="626"/>
      <c r="HQ101" s="626"/>
      <c r="HR101" s="626"/>
      <c r="HS101" s="626"/>
      <c r="HT101" s="626"/>
      <c r="HU101" s="626"/>
      <c r="HV101" s="626"/>
      <c r="HW101" s="626"/>
      <c r="HX101" s="626"/>
      <c r="HY101" s="626"/>
      <c r="HZ101" s="626"/>
      <c r="IA101" s="626"/>
      <c r="IB101" s="626"/>
      <c r="IC101" s="626"/>
      <c r="ID101" s="626"/>
      <c r="IE101" s="626"/>
      <c r="IF101" s="626"/>
      <c r="IG101" s="626"/>
      <c r="IH101" s="626"/>
      <c r="II101" s="626"/>
      <c r="IJ101" s="626"/>
      <c r="IK101" s="626"/>
      <c r="IL101" s="626"/>
      <c r="IM101" s="626"/>
      <c r="IN101" s="626"/>
      <c r="IO101" s="626"/>
      <c r="IP101" s="626"/>
      <c r="IQ101" s="626"/>
      <c r="IR101" s="626"/>
      <c r="IS101" s="626"/>
      <c r="IT101" s="626"/>
      <c r="IU101" s="626"/>
    </row>
    <row r="102" spans="1:255" s="627" customFormat="1" ht="12.75" customHeight="1" x14ac:dyDescent="0.2">
      <c r="A102" s="461"/>
      <c r="B102" s="645"/>
      <c r="C102" s="489"/>
      <c r="D102" s="489"/>
      <c r="E102" s="489"/>
      <c r="F102" s="489"/>
      <c r="G102" s="623"/>
      <c r="H102" s="490" t="s">
        <v>20</v>
      </c>
      <c r="I102" s="490" t="s">
        <v>20</v>
      </c>
      <c r="J102" s="615"/>
      <c r="K102" s="118"/>
      <c r="L102" s="12"/>
      <c r="M102" s="12"/>
      <c r="N102" s="499"/>
      <c r="O102" s="499"/>
      <c r="P102" s="630"/>
      <c r="Q102" s="509"/>
      <c r="R102" s="509"/>
      <c r="S102" s="623"/>
      <c r="T102" s="649"/>
      <c r="U102" s="649"/>
      <c r="V102" s="123"/>
      <c r="W102" s="123"/>
      <c r="X102" s="123"/>
      <c r="Y102" s="624"/>
      <c r="Z102" s="625"/>
      <c r="AA102" s="625"/>
      <c r="AB102" s="625"/>
      <c r="AC102" s="625"/>
      <c r="AD102" s="625"/>
      <c r="AE102" s="625"/>
      <c r="AF102" s="625"/>
      <c r="AG102" s="625"/>
      <c r="AH102" s="625"/>
      <c r="AI102" s="625"/>
      <c r="AJ102" s="625"/>
      <c r="AK102" s="625"/>
      <c r="AL102" s="625"/>
      <c r="AM102" s="625"/>
      <c r="AN102" s="625"/>
      <c r="AO102" s="625"/>
      <c r="AP102" s="625"/>
      <c r="AQ102" s="625"/>
      <c r="AR102" s="625"/>
      <c r="AS102" s="625"/>
      <c r="AT102" s="625"/>
      <c r="AU102" s="625"/>
      <c r="AV102" s="625"/>
      <c r="AW102" s="625"/>
      <c r="AX102" s="625"/>
      <c r="AY102" s="625"/>
      <c r="AZ102" s="625"/>
      <c r="BA102" s="625"/>
      <c r="BB102" s="625"/>
      <c r="BC102" s="625"/>
      <c r="BD102" s="625"/>
      <c r="BE102" s="625"/>
      <c r="BF102" s="626"/>
      <c r="BG102" s="626"/>
      <c r="BH102" s="626"/>
      <c r="BI102" s="626"/>
      <c r="BJ102" s="626"/>
      <c r="BK102" s="626"/>
      <c r="BL102" s="626"/>
      <c r="BM102" s="626"/>
      <c r="BN102" s="626"/>
      <c r="BO102" s="626"/>
      <c r="BP102" s="626"/>
      <c r="BQ102" s="626"/>
      <c r="BR102" s="626"/>
      <c r="BS102" s="626"/>
      <c r="BT102" s="626"/>
      <c r="BU102" s="626"/>
      <c r="BV102" s="626"/>
      <c r="BW102" s="626"/>
      <c r="BX102" s="626"/>
      <c r="BY102" s="626"/>
      <c r="BZ102" s="626"/>
      <c r="CA102" s="626"/>
      <c r="CB102" s="626"/>
      <c r="CC102" s="626"/>
      <c r="CD102" s="626"/>
      <c r="CE102" s="626"/>
      <c r="CF102" s="626"/>
      <c r="CG102" s="626"/>
      <c r="CH102" s="626"/>
      <c r="CI102" s="626"/>
      <c r="CJ102" s="626"/>
      <c r="CK102" s="626"/>
      <c r="CL102" s="626"/>
      <c r="CM102" s="626"/>
      <c r="CN102" s="626"/>
      <c r="CO102" s="626"/>
      <c r="CP102" s="626"/>
      <c r="CQ102" s="626"/>
      <c r="CR102" s="626"/>
      <c r="CS102" s="626"/>
      <c r="CT102" s="626"/>
      <c r="CU102" s="626"/>
      <c r="CV102" s="626"/>
      <c r="CW102" s="626"/>
      <c r="CX102" s="626"/>
      <c r="CY102" s="626"/>
      <c r="CZ102" s="626"/>
      <c r="DA102" s="626"/>
      <c r="DB102" s="626"/>
      <c r="DC102" s="626"/>
      <c r="DD102" s="626"/>
      <c r="DE102" s="626"/>
      <c r="DF102" s="626"/>
      <c r="DG102" s="626"/>
      <c r="DH102" s="626"/>
      <c r="DI102" s="626"/>
      <c r="DJ102" s="626"/>
      <c r="DK102" s="626"/>
      <c r="DL102" s="626"/>
      <c r="DM102" s="626"/>
      <c r="DN102" s="626"/>
      <c r="DO102" s="626"/>
      <c r="DP102" s="626"/>
      <c r="DQ102" s="626"/>
      <c r="DR102" s="626"/>
      <c r="DS102" s="626"/>
      <c r="DT102" s="626"/>
      <c r="DU102" s="626"/>
      <c r="DV102" s="626"/>
      <c r="DW102" s="626"/>
      <c r="DX102" s="626"/>
      <c r="DY102" s="626"/>
      <c r="DZ102" s="626"/>
      <c r="EA102" s="626"/>
      <c r="EB102" s="626"/>
      <c r="EC102" s="626"/>
      <c r="ED102" s="626"/>
      <c r="EE102" s="626"/>
      <c r="EF102" s="626"/>
      <c r="EG102" s="626"/>
      <c r="EH102" s="626"/>
      <c r="EI102" s="626"/>
      <c r="EJ102" s="626"/>
      <c r="EK102" s="626"/>
      <c r="EL102" s="626"/>
      <c r="EM102" s="626"/>
      <c r="EN102" s="626"/>
      <c r="EO102" s="626"/>
      <c r="EP102" s="626"/>
      <c r="EQ102" s="626"/>
      <c r="ER102" s="626"/>
      <c r="ES102" s="626"/>
      <c r="ET102" s="626"/>
      <c r="EU102" s="626"/>
      <c r="EV102" s="626"/>
      <c r="EW102" s="626"/>
      <c r="EX102" s="626"/>
      <c r="EY102" s="626"/>
      <c r="EZ102" s="626"/>
      <c r="FA102" s="626"/>
      <c r="FB102" s="626"/>
      <c r="FC102" s="626"/>
      <c r="FD102" s="626"/>
      <c r="FE102" s="626"/>
      <c r="FF102" s="626"/>
      <c r="FG102" s="626"/>
      <c r="FH102" s="626"/>
      <c r="FI102" s="626"/>
      <c r="FJ102" s="626"/>
      <c r="FK102" s="626"/>
      <c r="FL102" s="626"/>
      <c r="FM102" s="626"/>
      <c r="FN102" s="626"/>
      <c r="FO102" s="626"/>
      <c r="FP102" s="626"/>
      <c r="FQ102" s="626"/>
      <c r="FR102" s="626"/>
      <c r="FS102" s="626"/>
      <c r="FT102" s="626"/>
      <c r="FU102" s="626"/>
      <c r="FV102" s="626"/>
      <c r="FW102" s="626"/>
      <c r="FX102" s="626"/>
      <c r="FY102" s="626"/>
      <c r="FZ102" s="626"/>
      <c r="GA102" s="626"/>
      <c r="GB102" s="626"/>
      <c r="GC102" s="626"/>
      <c r="GD102" s="626"/>
      <c r="GE102" s="626"/>
      <c r="GF102" s="626"/>
      <c r="GG102" s="626"/>
      <c r="GH102" s="626"/>
      <c r="GI102" s="626"/>
      <c r="GJ102" s="626"/>
      <c r="GK102" s="626"/>
      <c r="GL102" s="626"/>
      <c r="GM102" s="626"/>
      <c r="GN102" s="626"/>
      <c r="GO102" s="626"/>
      <c r="GP102" s="626"/>
      <c r="GQ102" s="626"/>
      <c r="GR102" s="626"/>
      <c r="GS102" s="626"/>
      <c r="GT102" s="626"/>
      <c r="GU102" s="626"/>
      <c r="GV102" s="626"/>
      <c r="GW102" s="626"/>
      <c r="GX102" s="626"/>
      <c r="GY102" s="626"/>
      <c r="GZ102" s="626"/>
      <c r="HA102" s="626"/>
      <c r="HB102" s="626"/>
      <c r="HC102" s="626"/>
      <c r="HD102" s="626"/>
      <c r="HE102" s="626"/>
      <c r="HF102" s="626"/>
      <c r="HG102" s="626"/>
      <c r="HH102" s="626"/>
      <c r="HI102" s="626"/>
      <c r="HJ102" s="626"/>
      <c r="HK102" s="626"/>
      <c r="HL102" s="626"/>
      <c r="HM102" s="626"/>
      <c r="HN102" s="626"/>
      <c r="HO102" s="626"/>
      <c r="HP102" s="626"/>
      <c r="HQ102" s="626"/>
      <c r="HR102" s="626"/>
      <c r="HS102" s="626"/>
      <c r="HT102" s="626"/>
      <c r="HU102" s="626"/>
      <c r="HV102" s="626"/>
      <c r="HW102" s="626"/>
      <c r="HX102" s="626"/>
      <c r="HY102" s="626"/>
      <c r="HZ102" s="626"/>
      <c r="IA102" s="626"/>
      <c r="IB102" s="626"/>
      <c r="IC102" s="626"/>
      <c r="ID102" s="626"/>
      <c r="IE102" s="626"/>
      <c r="IF102" s="626"/>
      <c r="IG102" s="626"/>
      <c r="IH102" s="626"/>
      <c r="II102" s="626"/>
      <c r="IJ102" s="626"/>
      <c r="IK102" s="626"/>
      <c r="IL102" s="626"/>
      <c r="IM102" s="626"/>
      <c r="IN102" s="626"/>
      <c r="IO102" s="626"/>
      <c r="IP102" s="626"/>
      <c r="IQ102" s="626"/>
      <c r="IR102" s="626"/>
      <c r="IS102" s="626"/>
      <c r="IT102" s="626"/>
      <c r="IU102" s="626"/>
    </row>
    <row r="103" spans="1:255" s="627" customFormat="1" ht="12.75" customHeight="1" x14ac:dyDescent="0.2">
      <c r="A103" s="461"/>
      <c r="B103" s="645"/>
      <c r="C103" s="489"/>
      <c r="D103" s="489"/>
      <c r="E103" s="489"/>
      <c r="F103" s="489"/>
      <c r="G103" s="623"/>
      <c r="H103" s="490" t="s">
        <v>20</v>
      </c>
      <c r="I103" s="490" t="s">
        <v>20</v>
      </c>
      <c r="J103" s="615"/>
      <c r="K103" s="118"/>
      <c r="L103" s="12"/>
      <c r="M103" s="12"/>
      <c r="N103" s="499"/>
      <c r="O103" s="499"/>
      <c r="P103" s="630"/>
      <c r="Q103" s="509"/>
      <c r="R103" s="509"/>
      <c r="S103" s="623"/>
      <c r="T103" s="649"/>
      <c r="U103" s="649"/>
      <c r="V103" s="123"/>
      <c r="W103" s="123"/>
      <c r="X103" s="123"/>
      <c r="Y103" s="624"/>
      <c r="Z103" s="625"/>
      <c r="AA103" s="625"/>
      <c r="AB103" s="625"/>
      <c r="AC103" s="625"/>
      <c r="AD103" s="625"/>
      <c r="AE103" s="625"/>
      <c r="AF103" s="625"/>
      <c r="AG103" s="625"/>
      <c r="AH103" s="625"/>
      <c r="AI103" s="625"/>
      <c r="AJ103" s="625"/>
      <c r="AK103" s="625"/>
      <c r="AL103" s="625"/>
      <c r="AM103" s="625"/>
      <c r="AN103" s="625"/>
      <c r="AO103" s="625"/>
      <c r="AP103" s="625"/>
      <c r="AQ103" s="625"/>
      <c r="AR103" s="625"/>
      <c r="AS103" s="625"/>
      <c r="AT103" s="625"/>
      <c r="AU103" s="625"/>
      <c r="AV103" s="625"/>
      <c r="AW103" s="625"/>
      <c r="AX103" s="625"/>
      <c r="AY103" s="625"/>
      <c r="AZ103" s="625"/>
      <c r="BA103" s="625"/>
      <c r="BB103" s="625"/>
      <c r="BC103" s="625"/>
      <c r="BD103" s="625"/>
      <c r="BE103" s="625"/>
      <c r="BF103" s="626"/>
      <c r="BG103" s="626"/>
      <c r="BH103" s="626"/>
      <c r="BI103" s="626"/>
      <c r="BJ103" s="626"/>
      <c r="BK103" s="626"/>
      <c r="BL103" s="626"/>
      <c r="BM103" s="626"/>
      <c r="BN103" s="626"/>
      <c r="BO103" s="626"/>
      <c r="BP103" s="626"/>
      <c r="BQ103" s="626"/>
      <c r="BR103" s="626"/>
      <c r="BS103" s="626"/>
      <c r="BT103" s="626"/>
      <c r="BU103" s="626"/>
      <c r="BV103" s="626"/>
      <c r="BW103" s="626"/>
      <c r="BX103" s="626"/>
      <c r="BY103" s="626"/>
      <c r="BZ103" s="626"/>
      <c r="CA103" s="626"/>
      <c r="CB103" s="626"/>
      <c r="CC103" s="626"/>
      <c r="CD103" s="626"/>
      <c r="CE103" s="626"/>
      <c r="CF103" s="626"/>
      <c r="CG103" s="626"/>
      <c r="CH103" s="626"/>
      <c r="CI103" s="626"/>
      <c r="CJ103" s="626"/>
      <c r="CK103" s="626"/>
      <c r="CL103" s="626"/>
      <c r="CM103" s="626"/>
      <c r="CN103" s="626"/>
      <c r="CO103" s="626"/>
      <c r="CP103" s="626"/>
      <c r="CQ103" s="626"/>
      <c r="CR103" s="626"/>
      <c r="CS103" s="626"/>
      <c r="CT103" s="626"/>
      <c r="CU103" s="626"/>
      <c r="CV103" s="626"/>
      <c r="CW103" s="626"/>
      <c r="CX103" s="626"/>
      <c r="CY103" s="626"/>
      <c r="CZ103" s="626"/>
      <c r="DA103" s="626"/>
      <c r="DB103" s="626"/>
      <c r="DC103" s="626"/>
      <c r="DD103" s="626"/>
      <c r="DE103" s="626"/>
      <c r="DF103" s="626"/>
      <c r="DG103" s="626"/>
      <c r="DH103" s="626"/>
      <c r="DI103" s="626"/>
      <c r="DJ103" s="626"/>
      <c r="DK103" s="626"/>
      <c r="DL103" s="626"/>
      <c r="DM103" s="626"/>
      <c r="DN103" s="626"/>
      <c r="DO103" s="626"/>
      <c r="DP103" s="626"/>
      <c r="DQ103" s="626"/>
      <c r="DR103" s="626"/>
      <c r="DS103" s="626"/>
      <c r="DT103" s="626"/>
      <c r="DU103" s="626"/>
      <c r="DV103" s="626"/>
      <c r="DW103" s="626"/>
      <c r="DX103" s="626"/>
      <c r="DY103" s="626"/>
      <c r="DZ103" s="626"/>
      <c r="EA103" s="626"/>
      <c r="EB103" s="626"/>
      <c r="EC103" s="626"/>
      <c r="ED103" s="626"/>
      <c r="EE103" s="626"/>
      <c r="EF103" s="626"/>
      <c r="EG103" s="626"/>
      <c r="EH103" s="626"/>
      <c r="EI103" s="626"/>
      <c r="EJ103" s="626"/>
      <c r="EK103" s="626"/>
      <c r="EL103" s="626"/>
      <c r="EM103" s="626"/>
      <c r="EN103" s="626"/>
      <c r="EO103" s="626"/>
      <c r="EP103" s="626"/>
      <c r="EQ103" s="626"/>
      <c r="ER103" s="626"/>
      <c r="ES103" s="626"/>
      <c r="ET103" s="626"/>
      <c r="EU103" s="626"/>
      <c r="EV103" s="626"/>
      <c r="EW103" s="626"/>
      <c r="EX103" s="626"/>
      <c r="EY103" s="626"/>
      <c r="EZ103" s="626"/>
      <c r="FA103" s="626"/>
      <c r="FB103" s="626"/>
      <c r="FC103" s="626"/>
      <c r="FD103" s="626"/>
      <c r="FE103" s="626"/>
      <c r="FF103" s="626"/>
      <c r="FG103" s="626"/>
      <c r="FH103" s="626"/>
      <c r="FI103" s="626"/>
      <c r="FJ103" s="626"/>
      <c r="FK103" s="626"/>
      <c r="FL103" s="626"/>
      <c r="FM103" s="626"/>
      <c r="FN103" s="626"/>
      <c r="FO103" s="626"/>
      <c r="FP103" s="626"/>
      <c r="FQ103" s="626"/>
      <c r="FR103" s="626"/>
      <c r="FS103" s="626"/>
      <c r="FT103" s="626"/>
      <c r="FU103" s="626"/>
      <c r="FV103" s="626"/>
      <c r="FW103" s="626"/>
      <c r="FX103" s="626"/>
      <c r="FY103" s="626"/>
      <c r="FZ103" s="626"/>
      <c r="GA103" s="626"/>
      <c r="GB103" s="626"/>
      <c r="GC103" s="626"/>
      <c r="GD103" s="626"/>
      <c r="GE103" s="626"/>
      <c r="GF103" s="626"/>
      <c r="GG103" s="626"/>
      <c r="GH103" s="626"/>
      <c r="GI103" s="626"/>
      <c r="GJ103" s="626"/>
      <c r="GK103" s="626"/>
      <c r="GL103" s="626"/>
      <c r="GM103" s="626"/>
      <c r="GN103" s="626"/>
      <c r="GO103" s="626"/>
      <c r="GP103" s="626"/>
      <c r="GQ103" s="626"/>
      <c r="GR103" s="626"/>
      <c r="GS103" s="626"/>
      <c r="GT103" s="626"/>
      <c r="GU103" s="626"/>
      <c r="GV103" s="626"/>
      <c r="GW103" s="626"/>
      <c r="GX103" s="626"/>
      <c r="GY103" s="626"/>
      <c r="GZ103" s="626"/>
      <c r="HA103" s="626"/>
      <c r="HB103" s="626"/>
      <c r="HC103" s="626"/>
      <c r="HD103" s="626"/>
      <c r="HE103" s="626"/>
      <c r="HF103" s="626"/>
      <c r="HG103" s="626"/>
      <c r="HH103" s="626"/>
      <c r="HI103" s="626"/>
      <c r="HJ103" s="626"/>
      <c r="HK103" s="626"/>
      <c r="HL103" s="626"/>
      <c r="HM103" s="626"/>
      <c r="HN103" s="626"/>
      <c r="HO103" s="626"/>
      <c r="HP103" s="626"/>
      <c r="HQ103" s="626"/>
      <c r="HR103" s="626"/>
      <c r="HS103" s="626"/>
      <c r="HT103" s="626"/>
      <c r="HU103" s="626"/>
      <c r="HV103" s="626"/>
      <c r="HW103" s="626"/>
      <c r="HX103" s="626"/>
      <c r="HY103" s="626"/>
      <c r="HZ103" s="626"/>
      <c r="IA103" s="626"/>
      <c r="IB103" s="626"/>
      <c r="IC103" s="626"/>
      <c r="ID103" s="626"/>
      <c r="IE103" s="626"/>
      <c r="IF103" s="626"/>
      <c r="IG103" s="626"/>
      <c r="IH103" s="626"/>
      <c r="II103" s="626"/>
      <c r="IJ103" s="626"/>
      <c r="IK103" s="626"/>
      <c r="IL103" s="626"/>
      <c r="IM103" s="626"/>
      <c r="IN103" s="626"/>
      <c r="IO103" s="626"/>
      <c r="IP103" s="626"/>
      <c r="IQ103" s="626"/>
      <c r="IR103" s="626"/>
      <c r="IS103" s="626"/>
      <c r="IT103" s="626"/>
      <c r="IU103" s="626"/>
    </row>
    <row r="104" spans="1:255" s="627" customFormat="1" ht="12.75" customHeight="1" x14ac:dyDescent="0.2">
      <c r="A104" s="461"/>
      <c r="B104" s="645"/>
      <c r="C104" s="645"/>
      <c r="D104" s="489"/>
      <c r="E104" s="489"/>
      <c r="F104" s="489"/>
      <c r="G104" s="623"/>
      <c r="H104" s="490" t="s">
        <v>20</v>
      </c>
      <c r="I104" s="490" t="s">
        <v>20</v>
      </c>
      <c r="J104" s="615"/>
      <c r="K104" s="118"/>
      <c r="L104" s="12"/>
      <c r="M104" s="12"/>
      <c r="N104" s="499"/>
      <c r="O104" s="499"/>
      <c r="P104" s="630"/>
      <c r="Q104" s="509"/>
      <c r="R104" s="509"/>
      <c r="S104" s="623"/>
      <c r="T104" s="649"/>
      <c r="U104" s="649"/>
      <c r="V104" s="123"/>
      <c r="W104" s="123"/>
      <c r="X104" s="123"/>
      <c r="Y104" s="624"/>
      <c r="Z104" s="625"/>
      <c r="AA104" s="625"/>
      <c r="AB104" s="625"/>
      <c r="AC104" s="625"/>
      <c r="AD104" s="625"/>
      <c r="AE104" s="625"/>
      <c r="AF104" s="625"/>
      <c r="AG104" s="625"/>
      <c r="AH104" s="625"/>
      <c r="AI104" s="625"/>
      <c r="AJ104" s="625"/>
      <c r="AK104" s="625"/>
      <c r="AL104" s="625"/>
      <c r="AM104" s="625"/>
      <c r="AN104" s="625"/>
      <c r="AO104" s="625"/>
      <c r="AP104" s="625"/>
      <c r="AQ104" s="625"/>
      <c r="AR104" s="625"/>
      <c r="AS104" s="625"/>
      <c r="AT104" s="625"/>
      <c r="AU104" s="625"/>
      <c r="AV104" s="625"/>
      <c r="AW104" s="625"/>
      <c r="AX104" s="625"/>
      <c r="AY104" s="625"/>
      <c r="AZ104" s="625"/>
      <c r="BA104" s="625"/>
      <c r="BB104" s="625"/>
      <c r="BC104" s="625"/>
      <c r="BD104" s="625"/>
      <c r="BE104" s="625"/>
      <c r="BF104" s="626"/>
      <c r="BG104" s="626"/>
      <c r="BH104" s="626"/>
      <c r="BI104" s="626"/>
      <c r="BJ104" s="626"/>
      <c r="BK104" s="626"/>
      <c r="BL104" s="626"/>
      <c r="BM104" s="626"/>
      <c r="BN104" s="626"/>
      <c r="BO104" s="626"/>
      <c r="BP104" s="626"/>
      <c r="BQ104" s="626"/>
      <c r="BR104" s="626"/>
      <c r="BS104" s="626"/>
      <c r="BT104" s="626"/>
      <c r="BU104" s="626"/>
      <c r="BV104" s="626"/>
      <c r="BW104" s="626"/>
      <c r="BX104" s="626"/>
      <c r="BY104" s="626"/>
      <c r="BZ104" s="626"/>
      <c r="CA104" s="626"/>
      <c r="CB104" s="626"/>
      <c r="CC104" s="626"/>
      <c r="CD104" s="626"/>
      <c r="CE104" s="626"/>
      <c r="CF104" s="626"/>
      <c r="CG104" s="626"/>
      <c r="CH104" s="626"/>
      <c r="CI104" s="626"/>
      <c r="CJ104" s="626"/>
      <c r="CK104" s="626"/>
      <c r="CL104" s="626"/>
      <c r="CM104" s="626"/>
      <c r="CN104" s="626"/>
      <c r="CO104" s="626"/>
      <c r="CP104" s="626"/>
      <c r="CQ104" s="626"/>
      <c r="CR104" s="626"/>
      <c r="CS104" s="626"/>
      <c r="CT104" s="626"/>
      <c r="CU104" s="626"/>
      <c r="CV104" s="626"/>
      <c r="CW104" s="626"/>
      <c r="CX104" s="626"/>
      <c r="CY104" s="626"/>
      <c r="CZ104" s="626"/>
      <c r="DA104" s="626"/>
      <c r="DB104" s="626"/>
      <c r="DC104" s="626"/>
      <c r="DD104" s="626"/>
      <c r="DE104" s="626"/>
      <c r="DF104" s="626"/>
      <c r="DG104" s="626"/>
      <c r="DH104" s="626"/>
      <c r="DI104" s="626"/>
      <c r="DJ104" s="626"/>
      <c r="DK104" s="626"/>
      <c r="DL104" s="626"/>
      <c r="DM104" s="626"/>
      <c r="DN104" s="626"/>
      <c r="DO104" s="626"/>
      <c r="DP104" s="626"/>
      <c r="DQ104" s="626"/>
      <c r="DR104" s="626"/>
      <c r="DS104" s="626"/>
      <c r="DT104" s="626"/>
      <c r="DU104" s="626"/>
      <c r="DV104" s="626"/>
      <c r="DW104" s="626"/>
      <c r="DX104" s="626"/>
      <c r="DY104" s="626"/>
      <c r="DZ104" s="626"/>
      <c r="EA104" s="626"/>
      <c r="EB104" s="626"/>
      <c r="EC104" s="626"/>
      <c r="ED104" s="626"/>
      <c r="EE104" s="626"/>
      <c r="EF104" s="626"/>
      <c r="EG104" s="626"/>
      <c r="EH104" s="626"/>
      <c r="EI104" s="626"/>
      <c r="EJ104" s="626"/>
      <c r="EK104" s="626"/>
      <c r="EL104" s="626"/>
      <c r="EM104" s="626"/>
      <c r="EN104" s="626"/>
      <c r="EO104" s="626"/>
      <c r="EP104" s="626"/>
      <c r="EQ104" s="626"/>
      <c r="ER104" s="626"/>
      <c r="ES104" s="626"/>
      <c r="ET104" s="626"/>
      <c r="EU104" s="626"/>
      <c r="EV104" s="626"/>
      <c r="EW104" s="626"/>
      <c r="EX104" s="626"/>
      <c r="EY104" s="626"/>
      <c r="EZ104" s="626"/>
      <c r="FA104" s="626"/>
      <c r="FB104" s="626"/>
      <c r="FC104" s="626"/>
      <c r="FD104" s="626"/>
      <c r="FE104" s="626"/>
      <c r="FF104" s="626"/>
      <c r="FG104" s="626"/>
      <c r="FH104" s="626"/>
      <c r="FI104" s="626"/>
      <c r="FJ104" s="626"/>
      <c r="FK104" s="626"/>
      <c r="FL104" s="626"/>
      <c r="FM104" s="626"/>
      <c r="FN104" s="626"/>
      <c r="FO104" s="626"/>
      <c r="FP104" s="626"/>
      <c r="FQ104" s="626"/>
      <c r="FR104" s="626"/>
      <c r="FS104" s="626"/>
      <c r="FT104" s="626"/>
      <c r="FU104" s="626"/>
      <c r="FV104" s="626"/>
      <c r="FW104" s="626"/>
      <c r="FX104" s="626"/>
      <c r="FY104" s="626"/>
      <c r="FZ104" s="626"/>
      <c r="GA104" s="626"/>
      <c r="GB104" s="626"/>
      <c r="GC104" s="626"/>
      <c r="GD104" s="626"/>
      <c r="GE104" s="626"/>
      <c r="GF104" s="626"/>
      <c r="GG104" s="626"/>
      <c r="GH104" s="626"/>
      <c r="GI104" s="626"/>
      <c r="GJ104" s="626"/>
      <c r="GK104" s="626"/>
      <c r="GL104" s="626"/>
      <c r="GM104" s="626"/>
      <c r="GN104" s="626"/>
      <c r="GO104" s="626"/>
      <c r="GP104" s="626"/>
      <c r="GQ104" s="626"/>
      <c r="GR104" s="626"/>
      <c r="GS104" s="626"/>
      <c r="GT104" s="626"/>
      <c r="GU104" s="626"/>
      <c r="GV104" s="626"/>
      <c r="GW104" s="626"/>
      <c r="GX104" s="626"/>
      <c r="GY104" s="626"/>
      <c r="GZ104" s="626"/>
      <c r="HA104" s="626"/>
      <c r="HB104" s="626"/>
      <c r="HC104" s="626"/>
      <c r="HD104" s="626"/>
      <c r="HE104" s="626"/>
      <c r="HF104" s="626"/>
      <c r="HG104" s="626"/>
      <c r="HH104" s="626"/>
      <c r="HI104" s="626"/>
      <c r="HJ104" s="626"/>
      <c r="HK104" s="626"/>
      <c r="HL104" s="626"/>
      <c r="HM104" s="626"/>
      <c r="HN104" s="626"/>
      <c r="HO104" s="626"/>
      <c r="HP104" s="626"/>
      <c r="HQ104" s="626"/>
      <c r="HR104" s="626"/>
      <c r="HS104" s="626"/>
      <c r="HT104" s="626"/>
      <c r="HU104" s="626"/>
      <c r="HV104" s="626"/>
      <c r="HW104" s="626"/>
      <c r="HX104" s="626"/>
      <c r="HY104" s="626"/>
      <c r="HZ104" s="626"/>
      <c r="IA104" s="626"/>
      <c r="IB104" s="626"/>
      <c r="IC104" s="626"/>
      <c r="ID104" s="626"/>
      <c r="IE104" s="626"/>
      <c r="IF104" s="626"/>
      <c r="IG104" s="626"/>
      <c r="IH104" s="626"/>
      <c r="II104" s="626"/>
      <c r="IJ104" s="626"/>
      <c r="IK104" s="626"/>
      <c r="IL104" s="626"/>
      <c r="IM104" s="626"/>
      <c r="IN104" s="626"/>
      <c r="IO104" s="626"/>
      <c r="IP104" s="626"/>
      <c r="IQ104" s="626"/>
      <c r="IR104" s="626"/>
      <c r="IS104" s="626"/>
      <c r="IT104" s="626"/>
      <c r="IU104" s="626"/>
    </row>
    <row r="105" spans="1:255" s="627" customFormat="1" ht="12.75" customHeight="1" x14ac:dyDescent="0.2">
      <c r="A105" s="461"/>
      <c r="B105" s="645"/>
      <c r="C105" s="645"/>
      <c r="D105" s="489"/>
      <c r="E105" s="489"/>
      <c r="F105" s="489"/>
      <c r="G105" s="623"/>
      <c r="H105" s="490" t="s">
        <v>20</v>
      </c>
      <c r="I105" s="490" t="s">
        <v>20</v>
      </c>
      <c r="J105" s="615"/>
      <c r="K105" s="118"/>
      <c r="L105" s="12"/>
      <c r="M105" s="12"/>
      <c r="N105" s="499"/>
      <c r="O105" s="499"/>
      <c r="P105" s="630"/>
      <c r="Q105" s="509"/>
      <c r="R105" s="509"/>
      <c r="S105" s="623"/>
      <c r="T105" s="649"/>
      <c r="U105" s="649"/>
      <c r="V105" s="123"/>
      <c r="W105" s="123"/>
      <c r="X105" s="123"/>
      <c r="Y105" s="624"/>
      <c r="Z105" s="625"/>
      <c r="AA105" s="625"/>
      <c r="AB105" s="625"/>
      <c r="AC105" s="625"/>
      <c r="AD105" s="625"/>
      <c r="AE105" s="625"/>
      <c r="AF105" s="625"/>
      <c r="AG105" s="625"/>
      <c r="AH105" s="625"/>
      <c r="AI105" s="625"/>
      <c r="AJ105" s="625"/>
      <c r="AK105" s="625"/>
      <c r="AL105" s="625"/>
      <c r="AM105" s="625"/>
      <c r="AN105" s="625"/>
      <c r="AO105" s="625"/>
      <c r="AP105" s="625"/>
      <c r="AQ105" s="625"/>
      <c r="AR105" s="625"/>
      <c r="AS105" s="625"/>
      <c r="AT105" s="625"/>
      <c r="AU105" s="625"/>
      <c r="AV105" s="625"/>
      <c r="AW105" s="625"/>
      <c r="AX105" s="625"/>
      <c r="AY105" s="625"/>
      <c r="AZ105" s="625"/>
      <c r="BA105" s="625"/>
      <c r="BB105" s="625"/>
      <c r="BC105" s="625"/>
      <c r="BD105" s="625"/>
      <c r="BE105" s="625"/>
      <c r="BF105" s="626"/>
      <c r="BG105" s="626"/>
      <c r="BH105" s="626"/>
      <c r="BI105" s="626"/>
      <c r="BJ105" s="626"/>
      <c r="BK105" s="626"/>
      <c r="BL105" s="626"/>
      <c r="BM105" s="626"/>
      <c r="BN105" s="626"/>
      <c r="BO105" s="626"/>
      <c r="BP105" s="626"/>
      <c r="BQ105" s="626"/>
      <c r="BR105" s="626"/>
      <c r="BS105" s="626"/>
      <c r="BT105" s="626"/>
      <c r="BU105" s="626"/>
      <c r="BV105" s="626"/>
      <c r="BW105" s="626"/>
      <c r="BX105" s="626"/>
      <c r="BY105" s="626"/>
      <c r="BZ105" s="626"/>
      <c r="CA105" s="626"/>
      <c r="CB105" s="626"/>
      <c r="CC105" s="626"/>
      <c r="CD105" s="626"/>
      <c r="CE105" s="626"/>
      <c r="CF105" s="626"/>
      <c r="CG105" s="626"/>
      <c r="CH105" s="626"/>
      <c r="CI105" s="626"/>
      <c r="CJ105" s="626"/>
      <c r="CK105" s="626"/>
      <c r="CL105" s="626"/>
      <c r="CM105" s="626"/>
      <c r="CN105" s="626"/>
      <c r="CO105" s="626"/>
      <c r="CP105" s="626"/>
      <c r="CQ105" s="626"/>
      <c r="CR105" s="626"/>
      <c r="CS105" s="626"/>
      <c r="CT105" s="626"/>
      <c r="CU105" s="626"/>
      <c r="CV105" s="626"/>
      <c r="CW105" s="626"/>
      <c r="CX105" s="626"/>
      <c r="CY105" s="626"/>
      <c r="CZ105" s="626"/>
      <c r="DA105" s="626"/>
      <c r="DB105" s="626"/>
      <c r="DC105" s="626"/>
      <c r="DD105" s="626"/>
      <c r="DE105" s="626"/>
      <c r="DF105" s="626"/>
      <c r="DG105" s="626"/>
      <c r="DH105" s="626"/>
      <c r="DI105" s="626"/>
      <c r="DJ105" s="626"/>
      <c r="DK105" s="626"/>
      <c r="DL105" s="626"/>
      <c r="DM105" s="626"/>
      <c r="DN105" s="626"/>
      <c r="DO105" s="626"/>
      <c r="DP105" s="626"/>
      <c r="DQ105" s="626"/>
      <c r="DR105" s="626"/>
      <c r="DS105" s="626"/>
      <c r="DT105" s="626"/>
      <c r="DU105" s="626"/>
      <c r="DV105" s="626"/>
      <c r="DW105" s="626"/>
      <c r="DX105" s="626"/>
      <c r="DY105" s="626"/>
      <c r="DZ105" s="626"/>
      <c r="EA105" s="626"/>
      <c r="EB105" s="626"/>
      <c r="EC105" s="626"/>
      <c r="ED105" s="626"/>
      <c r="EE105" s="626"/>
      <c r="EF105" s="626"/>
      <c r="EG105" s="626"/>
      <c r="EH105" s="626"/>
      <c r="EI105" s="626"/>
      <c r="EJ105" s="626"/>
      <c r="EK105" s="626"/>
      <c r="EL105" s="626"/>
      <c r="EM105" s="626"/>
      <c r="EN105" s="626"/>
      <c r="EO105" s="626"/>
      <c r="EP105" s="626"/>
      <c r="EQ105" s="626"/>
      <c r="ER105" s="626"/>
      <c r="ES105" s="626"/>
      <c r="ET105" s="626"/>
      <c r="EU105" s="626"/>
      <c r="EV105" s="626"/>
      <c r="EW105" s="626"/>
      <c r="EX105" s="626"/>
      <c r="EY105" s="626"/>
      <c r="EZ105" s="626"/>
      <c r="FA105" s="626"/>
      <c r="FB105" s="626"/>
      <c r="FC105" s="626"/>
      <c r="FD105" s="626"/>
      <c r="FE105" s="626"/>
      <c r="FF105" s="626"/>
      <c r="FG105" s="626"/>
      <c r="FH105" s="626"/>
      <c r="FI105" s="626"/>
      <c r="FJ105" s="626"/>
      <c r="FK105" s="626"/>
      <c r="FL105" s="626"/>
      <c r="FM105" s="626"/>
      <c r="FN105" s="626"/>
      <c r="FO105" s="626"/>
      <c r="FP105" s="626"/>
      <c r="FQ105" s="626"/>
      <c r="FR105" s="626"/>
      <c r="FS105" s="626"/>
      <c r="FT105" s="626"/>
      <c r="FU105" s="626"/>
      <c r="FV105" s="626"/>
      <c r="FW105" s="626"/>
      <c r="FX105" s="626"/>
      <c r="FY105" s="626"/>
      <c r="FZ105" s="626"/>
      <c r="GA105" s="626"/>
      <c r="GB105" s="626"/>
      <c r="GC105" s="626"/>
      <c r="GD105" s="626"/>
      <c r="GE105" s="626"/>
      <c r="GF105" s="626"/>
      <c r="GG105" s="626"/>
      <c r="GH105" s="626"/>
      <c r="GI105" s="626"/>
      <c r="GJ105" s="626"/>
      <c r="GK105" s="626"/>
      <c r="GL105" s="626"/>
      <c r="GM105" s="626"/>
      <c r="GN105" s="626"/>
      <c r="GO105" s="626"/>
      <c r="GP105" s="626"/>
      <c r="GQ105" s="626"/>
      <c r="GR105" s="626"/>
      <c r="GS105" s="626"/>
      <c r="GT105" s="626"/>
      <c r="GU105" s="626"/>
      <c r="GV105" s="626"/>
      <c r="GW105" s="626"/>
      <c r="GX105" s="626"/>
      <c r="GY105" s="626"/>
      <c r="GZ105" s="626"/>
      <c r="HA105" s="626"/>
      <c r="HB105" s="626"/>
      <c r="HC105" s="626"/>
      <c r="HD105" s="626"/>
      <c r="HE105" s="626"/>
      <c r="HF105" s="626"/>
      <c r="HG105" s="626"/>
      <c r="HH105" s="626"/>
      <c r="HI105" s="626"/>
      <c r="HJ105" s="626"/>
      <c r="HK105" s="626"/>
      <c r="HL105" s="626"/>
      <c r="HM105" s="626"/>
      <c r="HN105" s="626"/>
      <c r="HO105" s="626"/>
      <c r="HP105" s="626"/>
      <c r="HQ105" s="626"/>
      <c r="HR105" s="626"/>
      <c r="HS105" s="626"/>
      <c r="HT105" s="626"/>
      <c r="HU105" s="626"/>
      <c r="HV105" s="626"/>
      <c r="HW105" s="626"/>
      <c r="HX105" s="626"/>
      <c r="HY105" s="626"/>
      <c r="HZ105" s="626"/>
      <c r="IA105" s="626"/>
      <c r="IB105" s="626"/>
      <c r="IC105" s="626"/>
      <c r="ID105" s="626"/>
      <c r="IE105" s="626"/>
      <c r="IF105" s="626"/>
      <c r="IG105" s="626"/>
      <c r="IH105" s="626"/>
      <c r="II105" s="626"/>
      <c r="IJ105" s="626"/>
      <c r="IK105" s="626"/>
      <c r="IL105" s="626"/>
      <c r="IM105" s="626"/>
      <c r="IN105" s="626"/>
      <c r="IO105" s="626"/>
      <c r="IP105" s="626"/>
      <c r="IQ105" s="626"/>
      <c r="IR105" s="626"/>
      <c r="IS105" s="626"/>
      <c r="IT105" s="626"/>
      <c r="IU105" s="626"/>
    </row>
    <row r="106" spans="1:255" s="627" customFormat="1" ht="12.75" customHeight="1" x14ac:dyDescent="0.2">
      <c r="A106" s="461"/>
      <c r="B106" s="645"/>
      <c r="C106" s="645"/>
      <c r="D106" s="489"/>
      <c r="E106" s="489"/>
      <c r="F106" s="489"/>
      <c r="G106" s="623"/>
      <c r="H106" s="490" t="s">
        <v>20</v>
      </c>
      <c r="I106" s="490" t="s">
        <v>20</v>
      </c>
      <c r="J106" s="615"/>
      <c r="K106" s="118"/>
      <c r="L106" s="12"/>
      <c r="M106" s="12"/>
      <c r="N106" s="499"/>
      <c r="O106" s="499"/>
      <c r="P106" s="630"/>
      <c r="Q106" s="509"/>
      <c r="R106" s="509"/>
      <c r="S106" s="623"/>
      <c r="T106" s="649"/>
      <c r="U106" s="649"/>
      <c r="V106" s="123"/>
      <c r="W106" s="123"/>
      <c r="X106" s="123"/>
      <c r="Y106" s="624"/>
      <c r="Z106" s="625"/>
      <c r="AA106" s="625"/>
      <c r="AB106" s="625"/>
      <c r="AC106" s="625"/>
      <c r="AD106" s="625"/>
      <c r="AE106" s="625"/>
      <c r="AF106" s="625"/>
      <c r="AG106" s="625"/>
      <c r="AH106" s="625"/>
      <c r="AI106" s="625"/>
      <c r="AJ106" s="625"/>
      <c r="AK106" s="625"/>
      <c r="AL106" s="625"/>
      <c r="AM106" s="625"/>
      <c r="AN106" s="625"/>
      <c r="AO106" s="625"/>
      <c r="AP106" s="625"/>
      <c r="AQ106" s="625"/>
      <c r="AR106" s="625"/>
      <c r="AS106" s="625"/>
      <c r="AT106" s="625"/>
      <c r="AU106" s="625"/>
      <c r="AV106" s="625"/>
      <c r="AW106" s="625"/>
      <c r="AX106" s="625"/>
      <c r="AY106" s="625"/>
      <c r="AZ106" s="625"/>
      <c r="BA106" s="625"/>
      <c r="BB106" s="625"/>
      <c r="BC106" s="625"/>
      <c r="BD106" s="625"/>
      <c r="BE106" s="625"/>
      <c r="BF106" s="626"/>
      <c r="BG106" s="626"/>
      <c r="BH106" s="626"/>
      <c r="BI106" s="626"/>
      <c r="BJ106" s="626"/>
      <c r="BK106" s="626"/>
      <c r="BL106" s="626"/>
      <c r="BM106" s="626"/>
      <c r="BN106" s="626"/>
      <c r="BO106" s="626"/>
      <c r="BP106" s="626"/>
      <c r="BQ106" s="626"/>
      <c r="BR106" s="626"/>
      <c r="BS106" s="626"/>
      <c r="BT106" s="626"/>
      <c r="BU106" s="626"/>
      <c r="BV106" s="626"/>
      <c r="BW106" s="626"/>
      <c r="BX106" s="626"/>
      <c r="BY106" s="626"/>
      <c r="BZ106" s="626"/>
      <c r="CA106" s="626"/>
      <c r="CB106" s="626"/>
      <c r="CC106" s="626"/>
      <c r="CD106" s="626"/>
      <c r="CE106" s="626"/>
      <c r="CF106" s="626"/>
      <c r="CG106" s="626"/>
      <c r="CH106" s="626"/>
      <c r="CI106" s="626"/>
      <c r="CJ106" s="626"/>
      <c r="CK106" s="626"/>
      <c r="CL106" s="626"/>
      <c r="CM106" s="626"/>
      <c r="CN106" s="626"/>
      <c r="CO106" s="626"/>
      <c r="CP106" s="626"/>
      <c r="CQ106" s="626"/>
      <c r="CR106" s="626"/>
      <c r="CS106" s="626"/>
      <c r="CT106" s="626"/>
      <c r="CU106" s="626"/>
      <c r="CV106" s="626"/>
      <c r="CW106" s="626"/>
      <c r="CX106" s="626"/>
      <c r="CY106" s="626"/>
      <c r="CZ106" s="626"/>
      <c r="DA106" s="626"/>
      <c r="DB106" s="626"/>
      <c r="DC106" s="626"/>
      <c r="DD106" s="626"/>
      <c r="DE106" s="626"/>
      <c r="DF106" s="626"/>
      <c r="DG106" s="626"/>
      <c r="DH106" s="626"/>
      <c r="DI106" s="626"/>
      <c r="DJ106" s="626"/>
      <c r="DK106" s="626"/>
      <c r="DL106" s="626"/>
      <c r="DM106" s="626"/>
      <c r="DN106" s="626"/>
      <c r="DO106" s="626"/>
      <c r="DP106" s="626"/>
      <c r="DQ106" s="626"/>
      <c r="DR106" s="626"/>
      <c r="DS106" s="626"/>
      <c r="DT106" s="626"/>
      <c r="DU106" s="626"/>
      <c r="DV106" s="626"/>
      <c r="DW106" s="626"/>
      <c r="DX106" s="626"/>
      <c r="DY106" s="626"/>
      <c r="DZ106" s="626"/>
      <c r="EA106" s="626"/>
      <c r="EB106" s="626"/>
      <c r="EC106" s="626"/>
      <c r="ED106" s="626"/>
      <c r="EE106" s="626"/>
      <c r="EF106" s="626"/>
      <c r="EG106" s="626"/>
      <c r="EH106" s="626"/>
      <c r="EI106" s="626"/>
      <c r="EJ106" s="626"/>
      <c r="EK106" s="626"/>
      <c r="EL106" s="626"/>
      <c r="EM106" s="626"/>
      <c r="EN106" s="626"/>
      <c r="EO106" s="626"/>
      <c r="EP106" s="626"/>
      <c r="EQ106" s="626"/>
      <c r="ER106" s="626"/>
      <c r="ES106" s="626"/>
      <c r="ET106" s="626"/>
      <c r="EU106" s="626"/>
      <c r="EV106" s="626"/>
      <c r="EW106" s="626"/>
      <c r="EX106" s="626"/>
      <c r="EY106" s="626"/>
      <c r="EZ106" s="626"/>
      <c r="FA106" s="626"/>
      <c r="FB106" s="626"/>
      <c r="FC106" s="626"/>
      <c r="FD106" s="626"/>
      <c r="FE106" s="626"/>
      <c r="FF106" s="626"/>
      <c r="FG106" s="626"/>
      <c r="FH106" s="626"/>
      <c r="FI106" s="626"/>
      <c r="FJ106" s="626"/>
      <c r="FK106" s="626"/>
      <c r="FL106" s="626"/>
      <c r="FM106" s="626"/>
      <c r="FN106" s="626"/>
      <c r="FO106" s="626"/>
      <c r="FP106" s="626"/>
      <c r="FQ106" s="626"/>
      <c r="FR106" s="626"/>
      <c r="FS106" s="626"/>
      <c r="FT106" s="626"/>
      <c r="FU106" s="626"/>
      <c r="FV106" s="626"/>
      <c r="FW106" s="626"/>
      <c r="FX106" s="626"/>
      <c r="FY106" s="626"/>
      <c r="FZ106" s="626"/>
      <c r="GA106" s="626"/>
      <c r="GB106" s="626"/>
      <c r="GC106" s="626"/>
      <c r="GD106" s="626"/>
      <c r="GE106" s="626"/>
      <c r="GF106" s="626"/>
      <c r="GG106" s="626"/>
      <c r="GH106" s="626"/>
      <c r="GI106" s="626"/>
      <c r="GJ106" s="626"/>
      <c r="GK106" s="626"/>
      <c r="GL106" s="626"/>
      <c r="GM106" s="626"/>
      <c r="GN106" s="626"/>
      <c r="GO106" s="626"/>
      <c r="GP106" s="626"/>
      <c r="GQ106" s="626"/>
      <c r="GR106" s="626"/>
      <c r="GS106" s="626"/>
      <c r="GT106" s="626"/>
      <c r="GU106" s="626"/>
      <c r="GV106" s="626"/>
      <c r="GW106" s="626"/>
      <c r="GX106" s="626"/>
      <c r="GY106" s="626"/>
      <c r="GZ106" s="626"/>
      <c r="HA106" s="626"/>
      <c r="HB106" s="626"/>
      <c r="HC106" s="626"/>
      <c r="HD106" s="626"/>
      <c r="HE106" s="626"/>
      <c r="HF106" s="626"/>
      <c r="HG106" s="626"/>
      <c r="HH106" s="626"/>
      <c r="HI106" s="626"/>
      <c r="HJ106" s="626"/>
      <c r="HK106" s="626"/>
      <c r="HL106" s="626"/>
      <c r="HM106" s="626"/>
      <c r="HN106" s="626"/>
      <c r="HO106" s="626"/>
      <c r="HP106" s="626"/>
      <c r="HQ106" s="626"/>
      <c r="HR106" s="626"/>
      <c r="HS106" s="626"/>
      <c r="HT106" s="626"/>
      <c r="HU106" s="626"/>
      <c r="HV106" s="626"/>
      <c r="HW106" s="626"/>
      <c r="HX106" s="626"/>
      <c r="HY106" s="626"/>
      <c r="HZ106" s="626"/>
      <c r="IA106" s="626"/>
      <c r="IB106" s="626"/>
      <c r="IC106" s="626"/>
      <c r="ID106" s="626"/>
      <c r="IE106" s="626"/>
      <c r="IF106" s="626"/>
      <c r="IG106" s="626"/>
      <c r="IH106" s="626"/>
      <c r="II106" s="626"/>
      <c r="IJ106" s="626"/>
      <c r="IK106" s="626"/>
      <c r="IL106" s="626"/>
      <c r="IM106" s="626"/>
      <c r="IN106" s="626"/>
      <c r="IO106" s="626"/>
      <c r="IP106" s="626"/>
      <c r="IQ106" s="626"/>
      <c r="IR106" s="626"/>
      <c r="IS106" s="626"/>
      <c r="IT106" s="626"/>
      <c r="IU106" s="626"/>
    </row>
    <row r="107" spans="1:255" s="627" customFormat="1" ht="12.75" customHeight="1" x14ac:dyDescent="0.2">
      <c r="A107" s="461"/>
      <c r="B107" s="645"/>
      <c r="C107" s="489"/>
      <c r="D107" s="489"/>
      <c r="E107" s="489"/>
      <c r="F107" s="489"/>
      <c r="G107" s="623"/>
      <c r="H107" s="490" t="s">
        <v>20</v>
      </c>
      <c r="I107" s="490" t="s">
        <v>20</v>
      </c>
      <c r="J107" s="615"/>
      <c r="K107" s="118"/>
      <c r="L107" s="12"/>
      <c r="M107" s="12"/>
      <c r="N107" s="499"/>
      <c r="O107" s="499"/>
      <c r="P107" s="630"/>
      <c r="Q107" s="509"/>
      <c r="R107" s="509"/>
      <c r="S107" s="623"/>
      <c r="T107" s="649"/>
      <c r="U107" s="649"/>
      <c r="V107" s="123"/>
      <c r="W107" s="123"/>
      <c r="X107" s="123"/>
      <c r="Y107" s="624"/>
      <c r="Z107" s="625"/>
      <c r="AA107" s="625"/>
      <c r="AB107" s="625"/>
      <c r="AC107" s="625"/>
      <c r="AD107" s="625"/>
      <c r="AE107" s="625"/>
      <c r="AF107" s="625"/>
      <c r="AG107" s="625"/>
      <c r="AH107" s="625"/>
      <c r="AI107" s="625"/>
      <c r="AJ107" s="625"/>
      <c r="AK107" s="625"/>
      <c r="AL107" s="625"/>
      <c r="AM107" s="625"/>
      <c r="AN107" s="625"/>
      <c r="AO107" s="625"/>
      <c r="AP107" s="625"/>
      <c r="AQ107" s="625"/>
      <c r="AR107" s="625"/>
      <c r="AS107" s="625"/>
      <c r="AT107" s="625"/>
      <c r="AU107" s="625"/>
      <c r="AV107" s="625"/>
      <c r="AW107" s="625"/>
      <c r="AX107" s="625"/>
      <c r="AY107" s="625"/>
      <c r="AZ107" s="625"/>
      <c r="BA107" s="625"/>
      <c r="BB107" s="625"/>
      <c r="BC107" s="625"/>
      <c r="BD107" s="625"/>
      <c r="BE107" s="625"/>
      <c r="BF107" s="626"/>
      <c r="BG107" s="626"/>
      <c r="BH107" s="626"/>
      <c r="BI107" s="626"/>
      <c r="BJ107" s="626"/>
      <c r="BK107" s="626"/>
      <c r="BL107" s="626"/>
      <c r="BM107" s="626"/>
      <c r="BN107" s="626"/>
      <c r="BO107" s="626"/>
      <c r="BP107" s="626"/>
      <c r="BQ107" s="626"/>
      <c r="BR107" s="626"/>
      <c r="BS107" s="626"/>
      <c r="BT107" s="626"/>
      <c r="BU107" s="626"/>
      <c r="BV107" s="626"/>
      <c r="BW107" s="626"/>
      <c r="BX107" s="626"/>
      <c r="BY107" s="626"/>
      <c r="BZ107" s="626"/>
      <c r="CA107" s="626"/>
      <c r="CB107" s="626"/>
      <c r="CC107" s="626"/>
      <c r="CD107" s="626"/>
      <c r="CE107" s="626"/>
      <c r="CF107" s="626"/>
      <c r="CG107" s="626"/>
      <c r="CH107" s="626"/>
      <c r="CI107" s="626"/>
      <c r="CJ107" s="626"/>
      <c r="CK107" s="626"/>
      <c r="CL107" s="626"/>
      <c r="CM107" s="626"/>
      <c r="CN107" s="626"/>
      <c r="CO107" s="626"/>
      <c r="CP107" s="626"/>
      <c r="CQ107" s="626"/>
      <c r="CR107" s="626"/>
      <c r="CS107" s="626"/>
      <c r="CT107" s="626"/>
      <c r="CU107" s="626"/>
      <c r="CV107" s="626"/>
      <c r="CW107" s="626"/>
      <c r="CX107" s="626"/>
      <c r="CY107" s="626"/>
      <c r="CZ107" s="626"/>
      <c r="DA107" s="626"/>
      <c r="DB107" s="626"/>
      <c r="DC107" s="626"/>
      <c r="DD107" s="626"/>
      <c r="DE107" s="626"/>
      <c r="DF107" s="626"/>
      <c r="DG107" s="626"/>
      <c r="DH107" s="626"/>
      <c r="DI107" s="626"/>
      <c r="DJ107" s="626"/>
      <c r="DK107" s="626"/>
      <c r="DL107" s="626"/>
      <c r="DM107" s="626"/>
      <c r="DN107" s="626"/>
      <c r="DO107" s="626"/>
      <c r="DP107" s="626"/>
      <c r="DQ107" s="626"/>
      <c r="DR107" s="626"/>
      <c r="DS107" s="626"/>
      <c r="DT107" s="626"/>
      <c r="DU107" s="626"/>
      <c r="DV107" s="626"/>
      <c r="DW107" s="626"/>
      <c r="DX107" s="626"/>
      <c r="DY107" s="626"/>
      <c r="DZ107" s="626"/>
      <c r="EA107" s="626"/>
      <c r="EB107" s="626"/>
      <c r="EC107" s="626"/>
      <c r="ED107" s="626"/>
      <c r="EE107" s="626"/>
      <c r="EF107" s="626"/>
      <c r="EG107" s="626"/>
      <c r="EH107" s="626"/>
      <c r="EI107" s="626"/>
      <c r="EJ107" s="626"/>
      <c r="EK107" s="626"/>
      <c r="EL107" s="626"/>
      <c r="EM107" s="626"/>
      <c r="EN107" s="626"/>
      <c r="EO107" s="626"/>
      <c r="EP107" s="626"/>
      <c r="EQ107" s="626"/>
      <c r="ER107" s="626"/>
      <c r="ES107" s="626"/>
      <c r="ET107" s="626"/>
      <c r="EU107" s="626"/>
      <c r="EV107" s="626"/>
      <c r="EW107" s="626"/>
      <c r="EX107" s="626"/>
      <c r="EY107" s="626"/>
      <c r="EZ107" s="626"/>
      <c r="FA107" s="626"/>
      <c r="FB107" s="626"/>
      <c r="FC107" s="626"/>
      <c r="FD107" s="626"/>
      <c r="FE107" s="626"/>
      <c r="FF107" s="626"/>
      <c r="FG107" s="626"/>
      <c r="FH107" s="626"/>
      <c r="FI107" s="626"/>
      <c r="FJ107" s="626"/>
      <c r="FK107" s="626"/>
      <c r="FL107" s="626"/>
      <c r="FM107" s="626"/>
      <c r="FN107" s="626"/>
      <c r="FO107" s="626"/>
      <c r="FP107" s="626"/>
      <c r="FQ107" s="626"/>
      <c r="FR107" s="626"/>
      <c r="FS107" s="626"/>
      <c r="FT107" s="626"/>
      <c r="FU107" s="626"/>
      <c r="FV107" s="626"/>
      <c r="FW107" s="626"/>
      <c r="FX107" s="626"/>
      <c r="FY107" s="626"/>
      <c r="FZ107" s="626"/>
      <c r="GA107" s="626"/>
      <c r="GB107" s="626"/>
      <c r="GC107" s="626"/>
      <c r="GD107" s="626"/>
      <c r="GE107" s="626"/>
      <c r="GF107" s="626"/>
      <c r="GG107" s="626"/>
      <c r="GH107" s="626"/>
      <c r="GI107" s="626"/>
      <c r="GJ107" s="626"/>
      <c r="GK107" s="626"/>
      <c r="GL107" s="626"/>
      <c r="GM107" s="626"/>
      <c r="GN107" s="626"/>
      <c r="GO107" s="626"/>
      <c r="GP107" s="626"/>
      <c r="GQ107" s="626"/>
      <c r="GR107" s="626"/>
      <c r="GS107" s="626"/>
      <c r="GT107" s="626"/>
      <c r="GU107" s="626"/>
      <c r="GV107" s="626"/>
      <c r="GW107" s="626"/>
      <c r="GX107" s="626"/>
      <c r="GY107" s="626"/>
      <c r="GZ107" s="626"/>
      <c r="HA107" s="626"/>
      <c r="HB107" s="626"/>
      <c r="HC107" s="626"/>
      <c r="HD107" s="626"/>
      <c r="HE107" s="626"/>
      <c r="HF107" s="626"/>
      <c r="HG107" s="626"/>
      <c r="HH107" s="626"/>
      <c r="HI107" s="626"/>
      <c r="HJ107" s="626"/>
      <c r="HK107" s="626"/>
      <c r="HL107" s="626"/>
      <c r="HM107" s="626"/>
      <c r="HN107" s="626"/>
      <c r="HO107" s="626"/>
      <c r="HP107" s="626"/>
      <c r="HQ107" s="626"/>
      <c r="HR107" s="626"/>
      <c r="HS107" s="626"/>
      <c r="HT107" s="626"/>
      <c r="HU107" s="626"/>
      <c r="HV107" s="626"/>
      <c r="HW107" s="626"/>
      <c r="HX107" s="626"/>
      <c r="HY107" s="626"/>
      <c r="HZ107" s="626"/>
      <c r="IA107" s="626"/>
      <c r="IB107" s="626"/>
      <c r="IC107" s="626"/>
      <c r="ID107" s="626"/>
      <c r="IE107" s="626"/>
      <c r="IF107" s="626"/>
      <c r="IG107" s="626"/>
      <c r="IH107" s="626"/>
      <c r="II107" s="626"/>
      <c r="IJ107" s="626"/>
      <c r="IK107" s="626"/>
      <c r="IL107" s="626"/>
      <c r="IM107" s="626"/>
      <c r="IN107" s="626"/>
      <c r="IO107" s="626"/>
      <c r="IP107" s="626"/>
      <c r="IQ107" s="626"/>
      <c r="IR107" s="626"/>
      <c r="IS107" s="626"/>
      <c r="IT107" s="626"/>
      <c r="IU107" s="626"/>
    </row>
    <row r="108" spans="1:255" s="627" customFormat="1" ht="12.75" customHeight="1" x14ac:dyDescent="0.2">
      <c r="A108" s="461"/>
      <c r="B108" s="645"/>
      <c r="C108" s="489"/>
      <c r="D108" s="489"/>
      <c r="E108" s="489"/>
      <c r="F108" s="489"/>
      <c r="G108" s="623"/>
      <c r="H108" s="490" t="s">
        <v>20</v>
      </c>
      <c r="I108" s="490" t="s">
        <v>20</v>
      </c>
      <c r="J108" s="615"/>
      <c r="K108" s="118"/>
      <c r="L108" s="12"/>
      <c r="M108" s="12"/>
      <c r="N108" s="499"/>
      <c r="O108" s="499"/>
      <c r="P108" s="630"/>
      <c r="Q108" s="509"/>
      <c r="R108" s="509"/>
      <c r="S108" s="623"/>
      <c r="T108" s="649"/>
      <c r="U108" s="649"/>
      <c r="V108" s="123"/>
      <c r="W108" s="123"/>
      <c r="X108" s="123"/>
      <c r="Y108" s="624"/>
      <c r="Z108" s="625"/>
      <c r="AA108" s="625"/>
      <c r="AB108" s="625"/>
      <c r="AC108" s="625"/>
      <c r="AD108" s="625"/>
      <c r="AE108" s="625"/>
      <c r="AF108" s="625"/>
      <c r="AG108" s="625"/>
      <c r="AH108" s="625"/>
      <c r="AI108" s="625"/>
      <c r="AJ108" s="625"/>
      <c r="AK108" s="625"/>
      <c r="AL108" s="625"/>
      <c r="AM108" s="625"/>
      <c r="AN108" s="625"/>
      <c r="AO108" s="625"/>
      <c r="AP108" s="625"/>
      <c r="AQ108" s="625"/>
      <c r="AR108" s="625"/>
      <c r="AS108" s="625"/>
      <c r="AT108" s="625"/>
      <c r="AU108" s="625"/>
      <c r="AV108" s="625"/>
      <c r="AW108" s="625"/>
      <c r="AX108" s="625"/>
      <c r="AY108" s="625"/>
      <c r="AZ108" s="625"/>
      <c r="BA108" s="625"/>
      <c r="BB108" s="625"/>
      <c r="BC108" s="625"/>
      <c r="BD108" s="625"/>
      <c r="BE108" s="625"/>
      <c r="BF108" s="626"/>
      <c r="BG108" s="626"/>
      <c r="BH108" s="626"/>
      <c r="BI108" s="626"/>
      <c r="BJ108" s="626"/>
      <c r="BK108" s="626"/>
      <c r="BL108" s="626"/>
      <c r="BM108" s="626"/>
      <c r="BN108" s="626"/>
      <c r="BO108" s="626"/>
      <c r="BP108" s="626"/>
      <c r="BQ108" s="626"/>
      <c r="BR108" s="626"/>
      <c r="BS108" s="626"/>
      <c r="BT108" s="626"/>
      <c r="BU108" s="626"/>
      <c r="BV108" s="626"/>
      <c r="BW108" s="626"/>
      <c r="BX108" s="626"/>
      <c r="BY108" s="626"/>
      <c r="BZ108" s="626"/>
      <c r="CA108" s="626"/>
      <c r="CB108" s="626"/>
      <c r="CC108" s="626"/>
      <c r="CD108" s="626"/>
      <c r="CE108" s="626"/>
      <c r="CF108" s="626"/>
      <c r="CG108" s="626"/>
      <c r="CH108" s="626"/>
      <c r="CI108" s="626"/>
      <c r="CJ108" s="626"/>
      <c r="CK108" s="626"/>
      <c r="CL108" s="626"/>
      <c r="CM108" s="626"/>
      <c r="CN108" s="626"/>
      <c r="CO108" s="626"/>
      <c r="CP108" s="626"/>
      <c r="CQ108" s="626"/>
      <c r="CR108" s="626"/>
      <c r="CS108" s="626"/>
      <c r="CT108" s="626"/>
      <c r="CU108" s="626"/>
      <c r="CV108" s="626"/>
      <c r="CW108" s="626"/>
      <c r="CX108" s="626"/>
      <c r="CY108" s="626"/>
      <c r="CZ108" s="626"/>
      <c r="DA108" s="626"/>
      <c r="DB108" s="626"/>
      <c r="DC108" s="626"/>
      <c r="DD108" s="626"/>
      <c r="DE108" s="626"/>
      <c r="DF108" s="626"/>
      <c r="DG108" s="626"/>
      <c r="DH108" s="626"/>
      <c r="DI108" s="626"/>
      <c r="DJ108" s="626"/>
      <c r="DK108" s="626"/>
      <c r="DL108" s="626"/>
      <c r="DM108" s="626"/>
      <c r="DN108" s="626"/>
      <c r="DO108" s="626"/>
      <c r="DP108" s="626"/>
      <c r="DQ108" s="626"/>
      <c r="DR108" s="626"/>
      <c r="DS108" s="626"/>
      <c r="DT108" s="626"/>
      <c r="DU108" s="626"/>
      <c r="DV108" s="626"/>
      <c r="DW108" s="626"/>
      <c r="DX108" s="626"/>
      <c r="DY108" s="626"/>
      <c r="DZ108" s="626"/>
      <c r="EA108" s="626"/>
      <c r="EB108" s="626"/>
      <c r="EC108" s="626"/>
      <c r="ED108" s="626"/>
      <c r="EE108" s="626"/>
      <c r="EF108" s="626"/>
      <c r="EG108" s="626"/>
      <c r="EH108" s="626"/>
      <c r="EI108" s="626"/>
      <c r="EJ108" s="626"/>
      <c r="EK108" s="626"/>
      <c r="EL108" s="626"/>
      <c r="EM108" s="626"/>
      <c r="EN108" s="626"/>
      <c r="EO108" s="626"/>
      <c r="EP108" s="626"/>
      <c r="EQ108" s="626"/>
      <c r="ER108" s="626"/>
      <c r="ES108" s="626"/>
      <c r="ET108" s="626"/>
      <c r="EU108" s="626"/>
      <c r="EV108" s="626"/>
      <c r="EW108" s="626"/>
      <c r="EX108" s="626"/>
      <c r="EY108" s="626"/>
      <c r="EZ108" s="626"/>
      <c r="FA108" s="626"/>
      <c r="FB108" s="626"/>
      <c r="FC108" s="626"/>
      <c r="FD108" s="626"/>
      <c r="FE108" s="626"/>
      <c r="FF108" s="626"/>
      <c r="FG108" s="626"/>
      <c r="FH108" s="626"/>
      <c r="FI108" s="626"/>
      <c r="FJ108" s="626"/>
      <c r="FK108" s="626"/>
      <c r="FL108" s="626"/>
      <c r="FM108" s="626"/>
      <c r="FN108" s="626"/>
      <c r="FO108" s="626"/>
      <c r="FP108" s="626"/>
      <c r="FQ108" s="626"/>
      <c r="FR108" s="626"/>
      <c r="FS108" s="626"/>
      <c r="FT108" s="626"/>
      <c r="FU108" s="626"/>
      <c r="FV108" s="626"/>
      <c r="FW108" s="626"/>
      <c r="FX108" s="626"/>
      <c r="FY108" s="626"/>
      <c r="FZ108" s="626"/>
      <c r="GA108" s="626"/>
      <c r="GB108" s="626"/>
      <c r="GC108" s="626"/>
      <c r="GD108" s="626"/>
      <c r="GE108" s="626"/>
      <c r="GF108" s="626"/>
      <c r="GG108" s="626"/>
      <c r="GH108" s="626"/>
      <c r="GI108" s="626"/>
      <c r="GJ108" s="626"/>
      <c r="GK108" s="626"/>
      <c r="GL108" s="626"/>
      <c r="GM108" s="626"/>
      <c r="GN108" s="626"/>
      <c r="GO108" s="626"/>
      <c r="GP108" s="626"/>
      <c r="GQ108" s="626"/>
      <c r="GR108" s="626"/>
      <c r="GS108" s="626"/>
      <c r="GT108" s="626"/>
      <c r="GU108" s="626"/>
      <c r="GV108" s="626"/>
      <c r="GW108" s="626"/>
      <c r="GX108" s="626"/>
      <c r="GY108" s="626"/>
      <c r="GZ108" s="626"/>
      <c r="HA108" s="626"/>
      <c r="HB108" s="626"/>
      <c r="HC108" s="626"/>
      <c r="HD108" s="626"/>
      <c r="HE108" s="626"/>
      <c r="HF108" s="626"/>
      <c r="HG108" s="626"/>
      <c r="HH108" s="626"/>
      <c r="HI108" s="626"/>
      <c r="HJ108" s="626"/>
      <c r="HK108" s="626"/>
      <c r="HL108" s="626"/>
      <c r="HM108" s="626"/>
      <c r="HN108" s="626"/>
      <c r="HO108" s="626"/>
      <c r="HP108" s="626"/>
      <c r="HQ108" s="626"/>
      <c r="HR108" s="626"/>
      <c r="HS108" s="626"/>
      <c r="HT108" s="626"/>
      <c r="HU108" s="626"/>
      <c r="HV108" s="626"/>
      <c r="HW108" s="626"/>
      <c r="HX108" s="626"/>
      <c r="HY108" s="626"/>
      <c r="HZ108" s="626"/>
      <c r="IA108" s="626"/>
      <c r="IB108" s="626"/>
      <c r="IC108" s="626"/>
      <c r="ID108" s="626"/>
      <c r="IE108" s="626"/>
      <c r="IF108" s="626"/>
      <c r="IG108" s="626"/>
      <c r="IH108" s="626"/>
      <c r="II108" s="626"/>
      <c r="IJ108" s="626"/>
      <c r="IK108" s="626"/>
      <c r="IL108" s="626"/>
      <c r="IM108" s="626"/>
      <c r="IN108" s="626"/>
      <c r="IO108" s="626"/>
      <c r="IP108" s="626"/>
      <c r="IQ108" s="626"/>
      <c r="IR108" s="626"/>
      <c r="IS108" s="626"/>
      <c r="IT108" s="626"/>
      <c r="IU108" s="626"/>
    </row>
    <row r="109" spans="1:255" s="627" customFormat="1" ht="12.75" customHeight="1" x14ac:dyDescent="0.2">
      <c r="A109" s="461"/>
      <c r="B109" s="645"/>
      <c r="C109" s="489"/>
      <c r="D109" s="489"/>
      <c r="E109" s="489"/>
      <c r="F109" s="489"/>
      <c r="G109" s="623"/>
      <c r="H109" s="490" t="s">
        <v>20</v>
      </c>
      <c r="I109" s="490" t="s">
        <v>20</v>
      </c>
      <c r="J109" s="615"/>
      <c r="K109" s="118"/>
      <c r="L109" s="12"/>
      <c r="M109" s="12"/>
      <c r="N109" s="499"/>
      <c r="O109" s="499"/>
      <c r="P109" s="630"/>
      <c r="Q109" s="509"/>
      <c r="R109" s="509"/>
      <c r="S109" s="623"/>
      <c r="T109" s="649"/>
      <c r="U109" s="649"/>
      <c r="V109" s="123"/>
      <c r="W109" s="123"/>
      <c r="X109" s="123"/>
      <c r="Y109" s="624"/>
      <c r="Z109" s="625"/>
      <c r="AA109" s="625"/>
      <c r="AB109" s="625"/>
      <c r="AC109" s="625"/>
      <c r="AD109" s="625"/>
      <c r="AE109" s="625"/>
      <c r="AF109" s="625"/>
      <c r="AG109" s="625"/>
      <c r="AH109" s="625"/>
      <c r="AI109" s="625"/>
      <c r="AJ109" s="625"/>
      <c r="AK109" s="625"/>
      <c r="AL109" s="625"/>
      <c r="AM109" s="625"/>
      <c r="AN109" s="625"/>
      <c r="AO109" s="625"/>
      <c r="AP109" s="625"/>
      <c r="AQ109" s="625"/>
      <c r="AR109" s="625"/>
      <c r="AS109" s="625"/>
      <c r="AT109" s="625"/>
      <c r="AU109" s="625"/>
      <c r="AV109" s="625"/>
      <c r="AW109" s="625"/>
      <c r="AX109" s="625"/>
      <c r="AY109" s="625"/>
      <c r="AZ109" s="625"/>
      <c r="BA109" s="625"/>
      <c r="BB109" s="625"/>
      <c r="BC109" s="625"/>
      <c r="BD109" s="625"/>
      <c r="BE109" s="625"/>
      <c r="BF109" s="626"/>
      <c r="BG109" s="626"/>
      <c r="BH109" s="626"/>
      <c r="BI109" s="626"/>
      <c r="BJ109" s="626"/>
      <c r="BK109" s="626"/>
      <c r="BL109" s="626"/>
      <c r="BM109" s="626"/>
      <c r="BN109" s="626"/>
      <c r="BO109" s="626"/>
      <c r="BP109" s="626"/>
      <c r="BQ109" s="626"/>
      <c r="BR109" s="626"/>
      <c r="BS109" s="626"/>
      <c r="BT109" s="626"/>
      <c r="BU109" s="626"/>
      <c r="BV109" s="626"/>
      <c r="BW109" s="626"/>
      <c r="BX109" s="626"/>
      <c r="BY109" s="626"/>
      <c r="BZ109" s="626"/>
      <c r="CA109" s="626"/>
      <c r="CB109" s="626"/>
      <c r="CC109" s="626"/>
      <c r="CD109" s="626"/>
      <c r="CE109" s="626"/>
      <c r="CF109" s="626"/>
      <c r="CG109" s="626"/>
      <c r="CH109" s="626"/>
      <c r="CI109" s="626"/>
      <c r="CJ109" s="626"/>
      <c r="CK109" s="626"/>
      <c r="CL109" s="626"/>
      <c r="CM109" s="626"/>
      <c r="CN109" s="626"/>
      <c r="CO109" s="626"/>
      <c r="CP109" s="626"/>
      <c r="CQ109" s="626"/>
      <c r="CR109" s="626"/>
      <c r="CS109" s="626"/>
      <c r="CT109" s="626"/>
      <c r="CU109" s="626"/>
      <c r="CV109" s="626"/>
      <c r="CW109" s="626"/>
      <c r="CX109" s="626"/>
      <c r="CY109" s="626"/>
      <c r="CZ109" s="626"/>
      <c r="DA109" s="626"/>
      <c r="DB109" s="626"/>
      <c r="DC109" s="626"/>
      <c r="DD109" s="626"/>
      <c r="DE109" s="626"/>
      <c r="DF109" s="626"/>
      <c r="DG109" s="626"/>
      <c r="DH109" s="626"/>
      <c r="DI109" s="626"/>
      <c r="DJ109" s="626"/>
      <c r="DK109" s="626"/>
      <c r="DL109" s="626"/>
      <c r="DM109" s="626"/>
      <c r="DN109" s="626"/>
      <c r="DO109" s="626"/>
      <c r="DP109" s="626"/>
      <c r="DQ109" s="626"/>
      <c r="DR109" s="626"/>
      <c r="DS109" s="626"/>
      <c r="DT109" s="626"/>
      <c r="DU109" s="626"/>
      <c r="DV109" s="626"/>
      <c r="DW109" s="626"/>
      <c r="DX109" s="626"/>
      <c r="DY109" s="626"/>
      <c r="DZ109" s="626"/>
      <c r="EA109" s="626"/>
      <c r="EB109" s="626"/>
      <c r="EC109" s="626"/>
      <c r="ED109" s="626"/>
      <c r="EE109" s="626"/>
      <c r="EF109" s="626"/>
      <c r="EG109" s="626"/>
      <c r="EH109" s="626"/>
      <c r="EI109" s="626"/>
      <c r="EJ109" s="626"/>
      <c r="EK109" s="626"/>
      <c r="EL109" s="626"/>
      <c r="EM109" s="626"/>
      <c r="EN109" s="626"/>
      <c r="EO109" s="626"/>
      <c r="EP109" s="626"/>
      <c r="EQ109" s="626"/>
      <c r="ER109" s="626"/>
      <c r="ES109" s="626"/>
      <c r="ET109" s="626"/>
      <c r="EU109" s="626"/>
      <c r="EV109" s="626"/>
      <c r="EW109" s="626"/>
      <c r="EX109" s="626"/>
      <c r="EY109" s="626"/>
      <c r="EZ109" s="626"/>
      <c r="FA109" s="626"/>
      <c r="FB109" s="626"/>
      <c r="FC109" s="626"/>
      <c r="FD109" s="626"/>
      <c r="FE109" s="626"/>
      <c r="FF109" s="626"/>
      <c r="FG109" s="626"/>
      <c r="FH109" s="626"/>
      <c r="FI109" s="626"/>
      <c r="FJ109" s="626"/>
      <c r="FK109" s="626"/>
      <c r="FL109" s="626"/>
      <c r="FM109" s="626"/>
      <c r="FN109" s="626"/>
      <c r="FO109" s="626"/>
      <c r="FP109" s="626"/>
      <c r="FQ109" s="626"/>
      <c r="FR109" s="626"/>
      <c r="FS109" s="626"/>
      <c r="FT109" s="626"/>
      <c r="FU109" s="626"/>
      <c r="FV109" s="626"/>
      <c r="FW109" s="626"/>
      <c r="FX109" s="626"/>
      <c r="FY109" s="626"/>
      <c r="FZ109" s="626"/>
      <c r="GA109" s="626"/>
      <c r="GB109" s="626"/>
      <c r="GC109" s="626"/>
      <c r="GD109" s="626"/>
      <c r="GE109" s="626"/>
      <c r="GF109" s="626"/>
      <c r="GG109" s="626"/>
      <c r="GH109" s="626"/>
      <c r="GI109" s="626"/>
      <c r="GJ109" s="626"/>
      <c r="GK109" s="626"/>
      <c r="GL109" s="626"/>
      <c r="GM109" s="626"/>
      <c r="GN109" s="626"/>
      <c r="GO109" s="626"/>
      <c r="GP109" s="626"/>
      <c r="GQ109" s="626"/>
      <c r="GR109" s="626"/>
      <c r="GS109" s="626"/>
      <c r="GT109" s="626"/>
      <c r="GU109" s="626"/>
      <c r="GV109" s="626"/>
      <c r="GW109" s="626"/>
      <c r="GX109" s="626"/>
      <c r="GY109" s="626"/>
      <c r="GZ109" s="626"/>
      <c r="HA109" s="626"/>
      <c r="HB109" s="626"/>
      <c r="HC109" s="626"/>
      <c r="HD109" s="626"/>
      <c r="HE109" s="626"/>
      <c r="HF109" s="626"/>
      <c r="HG109" s="626"/>
      <c r="HH109" s="626"/>
      <c r="HI109" s="626"/>
      <c r="HJ109" s="626"/>
      <c r="HK109" s="626"/>
      <c r="HL109" s="626"/>
      <c r="HM109" s="626"/>
      <c r="HN109" s="626"/>
      <c r="HO109" s="626"/>
      <c r="HP109" s="626"/>
      <c r="HQ109" s="626"/>
      <c r="HR109" s="626"/>
      <c r="HS109" s="626"/>
      <c r="HT109" s="626"/>
      <c r="HU109" s="626"/>
      <c r="HV109" s="626"/>
      <c r="HW109" s="626"/>
      <c r="HX109" s="626"/>
      <c r="HY109" s="626"/>
      <c r="HZ109" s="626"/>
      <c r="IA109" s="626"/>
      <c r="IB109" s="626"/>
      <c r="IC109" s="626"/>
      <c r="ID109" s="626"/>
      <c r="IE109" s="626"/>
      <c r="IF109" s="626"/>
      <c r="IG109" s="626"/>
      <c r="IH109" s="626"/>
      <c r="II109" s="626"/>
      <c r="IJ109" s="626"/>
      <c r="IK109" s="626"/>
      <c r="IL109" s="626"/>
      <c r="IM109" s="626"/>
      <c r="IN109" s="626"/>
      <c r="IO109" s="626"/>
      <c r="IP109" s="626"/>
      <c r="IQ109" s="626"/>
      <c r="IR109" s="626"/>
      <c r="IS109" s="626"/>
      <c r="IT109" s="626"/>
      <c r="IU109" s="626"/>
    </row>
    <row r="110" spans="1:255" s="627" customFormat="1" ht="12.75" customHeight="1" x14ac:dyDescent="0.2">
      <c r="A110" s="461"/>
      <c r="B110" s="645"/>
      <c r="C110" s="489"/>
      <c r="D110" s="489"/>
      <c r="E110" s="489"/>
      <c r="F110" s="489"/>
      <c r="G110" s="623"/>
      <c r="H110" s="490" t="s">
        <v>20</v>
      </c>
      <c r="I110" s="490" t="s">
        <v>20</v>
      </c>
      <c r="J110" s="615"/>
      <c r="K110" s="118"/>
      <c r="L110" s="12"/>
      <c r="M110" s="12"/>
      <c r="N110" s="499"/>
      <c r="O110" s="499"/>
      <c r="P110" s="630"/>
      <c r="Q110" s="509"/>
      <c r="R110" s="509"/>
      <c r="S110" s="623"/>
      <c r="T110" s="649"/>
      <c r="U110" s="649"/>
      <c r="V110" s="123"/>
      <c r="W110" s="123"/>
      <c r="X110" s="123"/>
      <c r="Y110" s="624"/>
      <c r="Z110" s="625"/>
      <c r="AA110" s="625"/>
      <c r="AB110" s="625"/>
      <c r="AC110" s="625"/>
      <c r="AD110" s="625"/>
      <c r="AE110" s="625"/>
      <c r="AF110" s="625"/>
      <c r="AG110" s="625"/>
      <c r="AH110" s="625"/>
      <c r="AI110" s="625"/>
      <c r="AJ110" s="625"/>
      <c r="AK110" s="625"/>
      <c r="AL110" s="625"/>
      <c r="AM110" s="625"/>
      <c r="AN110" s="625"/>
      <c r="AO110" s="625"/>
      <c r="AP110" s="625"/>
      <c r="AQ110" s="625"/>
      <c r="AR110" s="625"/>
      <c r="AS110" s="625"/>
      <c r="AT110" s="625"/>
      <c r="AU110" s="625"/>
      <c r="AV110" s="625"/>
      <c r="AW110" s="625"/>
      <c r="AX110" s="625"/>
      <c r="AY110" s="625"/>
      <c r="AZ110" s="625"/>
      <c r="BA110" s="625"/>
      <c r="BB110" s="625"/>
      <c r="BC110" s="625"/>
      <c r="BD110" s="625"/>
      <c r="BE110" s="625"/>
      <c r="BF110" s="626"/>
      <c r="BG110" s="626"/>
      <c r="BH110" s="626"/>
      <c r="BI110" s="626"/>
      <c r="BJ110" s="626"/>
      <c r="BK110" s="626"/>
      <c r="BL110" s="626"/>
      <c r="BM110" s="626"/>
      <c r="BN110" s="626"/>
      <c r="BO110" s="626"/>
      <c r="BP110" s="626"/>
      <c r="BQ110" s="626"/>
      <c r="BR110" s="626"/>
      <c r="BS110" s="626"/>
      <c r="BT110" s="626"/>
      <c r="BU110" s="626"/>
      <c r="BV110" s="626"/>
      <c r="BW110" s="626"/>
      <c r="BX110" s="626"/>
      <c r="BY110" s="626"/>
      <c r="BZ110" s="626"/>
      <c r="CA110" s="626"/>
      <c r="CB110" s="626"/>
      <c r="CC110" s="626"/>
      <c r="CD110" s="626"/>
      <c r="CE110" s="626"/>
      <c r="CF110" s="626"/>
      <c r="CG110" s="626"/>
      <c r="CH110" s="626"/>
      <c r="CI110" s="626"/>
      <c r="CJ110" s="626"/>
      <c r="CK110" s="626"/>
      <c r="CL110" s="626"/>
      <c r="CM110" s="626"/>
      <c r="CN110" s="626"/>
      <c r="CO110" s="626"/>
      <c r="CP110" s="626"/>
      <c r="CQ110" s="626"/>
      <c r="CR110" s="626"/>
      <c r="CS110" s="626"/>
      <c r="CT110" s="626"/>
      <c r="CU110" s="626"/>
      <c r="CV110" s="626"/>
      <c r="CW110" s="626"/>
      <c r="CX110" s="626"/>
      <c r="CY110" s="626"/>
      <c r="CZ110" s="626"/>
      <c r="DA110" s="626"/>
      <c r="DB110" s="626"/>
      <c r="DC110" s="626"/>
      <c r="DD110" s="626"/>
      <c r="DE110" s="626"/>
      <c r="DF110" s="626"/>
      <c r="DG110" s="626"/>
      <c r="DH110" s="626"/>
      <c r="DI110" s="626"/>
      <c r="DJ110" s="626"/>
      <c r="DK110" s="626"/>
      <c r="DL110" s="626"/>
      <c r="DM110" s="626"/>
      <c r="DN110" s="626"/>
      <c r="DO110" s="626"/>
      <c r="DP110" s="626"/>
      <c r="DQ110" s="626"/>
      <c r="DR110" s="626"/>
      <c r="DS110" s="626"/>
      <c r="DT110" s="626"/>
      <c r="DU110" s="626"/>
      <c r="DV110" s="626"/>
      <c r="DW110" s="626"/>
      <c r="DX110" s="626"/>
      <c r="DY110" s="626"/>
      <c r="DZ110" s="626"/>
      <c r="EA110" s="626"/>
      <c r="EB110" s="626"/>
      <c r="EC110" s="626"/>
      <c r="ED110" s="626"/>
      <c r="EE110" s="626"/>
      <c r="EF110" s="626"/>
      <c r="EG110" s="626"/>
      <c r="EH110" s="626"/>
      <c r="EI110" s="626"/>
      <c r="EJ110" s="626"/>
      <c r="EK110" s="626"/>
      <c r="EL110" s="626"/>
      <c r="EM110" s="626"/>
      <c r="EN110" s="626"/>
      <c r="EO110" s="626"/>
      <c r="EP110" s="626"/>
      <c r="EQ110" s="626"/>
      <c r="ER110" s="626"/>
      <c r="ES110" s="626"/>
      <c r="ET110" s="626"/>
      <c r="EU110" s="626"/>
      <c r="EV110" s="626"/>
      <c r="EW110" s="626"/>
      <c r="EX110" s="626"/>
      <c r="EY110" s="626"/>
      <c r="EZ110" s="626"/>
      <c r="FA110" s="626"/>
      <c r="FB110" s="626"/>
      <c r="FC110" s="626"/>
      <c r="FD110" s="626"/>
      <c r="FE110" s="626"/>
      <c r="FF110" s="626"/>
      <c r="FG110" s="626"/>
      <c r="FH110" s="626"/>
      <c r="FI110" s="626"/>
      <c r="FJ110" s="626"/>
      <c r="FK110" s="626"/>
      <c r="FL110" s="626"/>
      <c r="FM110" s="626"/>
      <c r="FN110" s="626"/>
      <c r="FO110" s="626"/>
      <c r="FP110" s="626"/>
      <c r="FQ110" s="626"/>
      <c r="FR110" s="626"/>
      <c r="FS110" s="626"/>
      <c r="FT110" s="626"/>
      <c r="FU110" s="626"/>
      <c r="FV110" s="626"/>
      <c r="FW110" s="626"/>
      <c r="FX110" s="626"/>
      <c r="FY110" s="626"/>
      <c r="FZ110" s="626"/>
      <c r="GA110" s="626"/>
      <c r="GB110" s="626"/>
      <c r="GC110" s="626"/>
      <c r="GD110" s="626"/>
      <c r="GE110" s="626"/>
      <c r="GF110" s="626"/>
      <c r="GG110" s="626"/>
      <c r="GH110" s="626"/>
      <c r="GI110" s="626"/>
      <c r="GJ110" s="626"/>
      <c r="GK110" s="626"/>
      <c r="GL110" s="626"/>
      <c r="GM110" s="626"/>
      <c r="GN110" s="626"/>
      <c r="GO110" s="626"/>
      <c r="GP110" s="626"/>
      <c r="GQ110" s="626"/>
      <c r="GR110" s="626"/>
      <c r="GS110" s="626"/>
      <c r="GT110" s="626"/>
      <c r="GU110" s="626"/>
      <c r="GV110" s="626"/>
      <c r="GW110" s="626"/>
      <c r="GX110" s="626"/>
      <c r="GY110" s="626"/>
      <c r="GZ110" s="626"/>
      <c r="HA110" s="626"/>
      <c r="HB110" s="626"/>
      <c r="HC110" s="626"/>
      <c r="HD110" s="626"/>
      <c r="HE110" s="626"/>
      <c r="HF110" s="626"/>
      <c r="HG110" s="626"/>
      <c r="HH110" s="626"/>
      <c r="HI110" s="626"/>
      <c r="HJ110" s="626"/>
      <c r="HK110" s="626"/>
      <c r="HL110" s="626"/>
      <c r="HM110" s="626"/>
      <c r="HN110" s="626"/>
      <c r="HO110" s="626"/>
      <c r="HP110" s="626"/>
      <c r="HQ110" s="626"/>
      <c r="HR110" s="626"/>
      <c r="HS110" s="626"/>
      <c r="HT110" s="626"/>
      <c r="HU110" s="626"/>
      <c r="HV110" s="626"/>
      <c r="HW110" s="626"/>
      <c r="HX110" s="626"/>
      <c r="HY110" s="626"/>
      <c r="HZ110" s="626"/>
      <c r="IA110" s="626"/>
      <c r="IB110" s="626"/>
      <c r="IC110" s="626"/>
      <c r="ID110" s="626"/>
      <c r="IE110" s="626"/>
      <c r="IF110" s="626"/>
      <c r="IG110" s="626"/>
      <c r="IH110" s="626"/>
      <c r="II110" s="626"/>
      <c r="IJ110" s="626"/>
      <c r="IK110" s="626"/>
      <c r="IL110" s="626"/>
      <c r="IM110" s="626"/>
      <c r="IN110" s="626"/>
      <c r="IO110" s="626"/>
      <c r="IP110" s="626"/>
      <c r="IQ110" s="626"/>
      <c r="IR110" s="626"/>
      <c r="IS110" s="626"/>
      <c r="IT110" s="626"/>
      <c r="IU110" s="626"/>
    </row>
    <row r="111" spans="1:255" s="627" customFormat="1" ht="12.75" customHeight="1" x14ac:dyDescent="0.2">
      <c r="A111" s="461"/>
      <c r="B111" s="645"/>
      <c r="C111" s="489"/>
      <c r="D111" s="489"/>
      <c r="E111" s="489"/>
      <c r="F111" s="489"/>
      <c r="G111" s="623"/>
      <c r="H111" s="490" t="s">
        <v>20</v>
      </c>
      <c r="I111" s="490" t="s">
        <v>20</v>
      </c>
      <c r="J111" s="615"/>
      <c r="K111" s="118"/>
      <c r="L111" s="12"/>
      <c r="M111" s="12"/>
      <c r="N111" s="499"/>
      <c r="O111" s="499"/>
      <c r="P111" s="630"/>
      <c r="Q111" s="509"/>
      <c r="R111" s="509"/>
      <c r="S111" s="623"/>
      <c r="T111" s="649"/>
      <c r="U111" s="649"/>
      <c r="V111" s="123"/>
      <c r="W111" s="123"/>
      <c r="X111" s="123"/>
      <c r="Y111" s="624"/>
      <c r="Z111" s="625"/>
      <c r="AA111" s="625"/>
      <c r="AB111" s="625"/>
      <c r="AC111" s="625"/>
      <c r="AD111" s="625"/>
      <c r="AE111" s="625"/>
      <c r="AF111" s="625"/>
      <c r="AG111" s="625"/>
      <c r="AH111" s="625"/>
      <c r="AI111" s="625"/>
      <c r="AJ111" s="625"/>
      <c r="AK111" s="625"/>
      <c r="AL111" s="625"/>
      <c r="AM111" s="625"/>
      <c r="AN111" s="625"/>
      <c r="AO111" s="625"/>
      <c r="AP111" s="625"/>
      <c r="AQ111" s="625"/>
      <c r="AR111" s="625"/>
      <c r="AS111" s="625"/>
      <c r="AT111" s="625"/>
      <c r="AU111" s="625"/>
      <c r="AV111" s="625"/>
      <c r="AW111" s="625"/>
      <c r="AX111" s="625"/>
      <c r="AY111" s="625"/>
      <c r="AZ111" s="625"/>
      <c r="BA111" s="625"/>
      <c r="BB111" s="625"/>
      <c r="BC111" s="625"/>
      <c r="BD111" s="625"/>
      <c r="BE111" s="625"/>
      <c r="BF111" s="626"/>
      <c r="BG111" s="626"/>
      <c r="BH111" s="626"/>
      <c r="BI111" s="626"/>
      <c r="BJ111" s="626"/>
      <c r="BK111" s="626"/>
      <c r="BL111" s="626"/>
      <c r="BM111" s="626"/>
      <c r="BN111" s="626"/>
      <c r="BO111" s="626"/>
      <c r="BP111" s="626"/>
      <c r="BQ111" s="626"/>
      <c r="BR111" s="626"/>
      <c r="BS111" s="626"/>
      <c r="BT111" s="626"/>
      <c r="BU111" s="626"/>
      <c r="BV111" s="626"/>
      <c r="BW111" s="626"/>
      <c r="BX111" s="626"/>
      <c r="BY111" s="626"/>
      <c r="BZ111" s="626"/>
      <c r="CA111" s="626"/>
      <c r="CB111" s="626"/>
      <c r="CC111" s="626"/>
      <c r="CD111" s="626"/>
      <c r="CE111" s="626"/>
      <c r="CF111" s="626"/>
      <c r="CG111" s="626"/>
      <c r="CH111" s="626"/>
      <c r="CI111" s="626"/>
      <c r="CJ111" s="626"/>
      <c r="CK111" s="626"/>
      <c r="CL111" s="626"/>
      <c r="CM111" s="626"/>
      <c r="CN111" s="626"/>
      <c r="CO111" s="626"/>
      <c r="CP111" s="626"/>
      <c r="CQ111" s="626"/>
      <c r="CR111" s="626"/>
      <c r="CS111" s="626"/>
      <c r="CT111" s="626"/>
      <c r="CU111" s="626"/>
      <c r="CV111" s="626"/>
      <c r="CW111" s="626"/>
      <c r="CX111" s="626"/>
      <c r="CY111" s="626"/>
      <c r="CZ111" s="626"/>
      <c r="DA111" s="626"/>
      <c r="DB111" s="626"/>
      <c r="DC111" s="626"/>
      <c r="DD111" s="626"/>
      <c r="DE111" s="626"/>
      <c r="DF111" s="626"/>
      <c r="DG111" s="626"/>
      <c r="DH111" s="626"/>
      <c r="DI111" s="626"/>
      <c r="DJ111" s="626"/>
      <c r="DK111" s="626"/>
      <c r="DL111" s="626"/>
      <c r="DM111" s="626"/>
      <c r="DN111" s="626"/>
      <c r="DO111" s="626"/>
      <c r="DP111" s="626"/>
      <c r="DQ111" s="626"/>
      <c r="DR111" s="626"/>
      <c r="DS111" s="626"/>
      <c r="DT111" s="626"/>
      <c r="DU111" s="626"/>
      <c r="DV111" s="626"/>
      <c r="DW111" s="626"/>
      <c r="DX111" s="626"/>
      <c r="DY111" s="626"/>
      <c r="DZ111" s="626"/>
      <c r="EA111" s="626"/>
      <c r="EB111" s="626"/>
      <c r="EC111" s="626"/>
      <c r="ED111" s="626"/>
      <c r="EE111" s="626"/>
      <c r="EF111" s="626"/>
      <c r="EG111" s="626"/>
      <c r="EH111" s="626"/>
      <c r="EI111" s="626"/>
      <c r="EJ111" s="626"/>
      <c r="EK111" s="626"/>
      <c r="EL111" s="626"/>
      <c r="EM111" s="626"/>
      <c r="EN111" s="626"/>
      <c r="EO111" s="626"/>
      <c r="EP111" s="626"/>
      <c r="EQ111" s="626"/>
      <c r="ER111" s="626"/>
      <c r="ES111" s="626"/>
      <c r="ET111" s="626"/>
      <c r="EU111" s="626"/>
      <c r="EV111" s="626"/>
      <c r="EW111" s="626"/>
      <c r="EX111" s="626"/>
      <c r="EY111" s="626"/>
      <c r="EZ111" s="626"/>
      <c r="FA111" s="626"/>
      <c r="FB111" s="626"/>
      <c r="FC111" s="626"/>
      <c r="FD111" s="626"/>
      <c r="FE111" s="626"/>
      <c r="FF111" s="626"/>
      <c r="FG111" s="626"/>
      <c r="FH111" s="626"/>
      <c r="FI111" s="626"/>
      <c r="FJ111" s="626"/>
      <c r="FK111" s="626"/>
      <c r="FL111" s="626"/>
      <c r="FM111" s="626"/>
      <c r="FN111" s="626"/>
      <c r="FO111" s="626"/>
      <c r="FP111" s="626"/>
      <c r="FQ111" s="626"/>
      <c r="FR111" s="626"/>
      <c r="FS111" s="626"/>
      <c r="FT111" s="626"/>
      <c r="FU111" s="626"/>
      <c r="FV111" s="626"/>
      <c r="FW111" s="626"/>
      <c r="FX111" s="626"/>
      <c r="FY111" s="626"/>
      <c r="FZ111" s="626"/>
      <c r="GA111" s="626"/>
      <c r="GB111" s="626"/>
      <c r="GC111" s="626"/>
      <c r="GD111" s="626"/>
      <c r="GE111" s="626"/>
      <c r="GF111" s="626"/>
      <c r="GG111" s="626"/>
      <c r="GH111" s="626"/>
      <c r="GI111" s="626"/>
      <c r="GJ111" s="626"/>
      <c r="GK111" s="626"/>
      <c r="GL111" s="626"/>
      <c r="GM111" s="626"/>
      <c r="GN111" s="626"/>
      <c r="GO111" s="626"/>
      <c r="GP111" s="626"/>
      <c r="GQ111" s="626"/>
      <c r="GR111" s="626"/>
      <c r="GS111" s="626"/>
      <c r="GT111" s="626"/>
      <c r="GU111" s="626"/>
      <c r="GV111" s="626"/>
      <c r="GW111" s="626"/>
      <c r="GX111" s="626"/>
      <c r="GY111" s="626"/>
      <c r="GZ111" s="626"/>
      <c r="HA111" s="626"/>
      <c r="HB111" s="626"/>
      <c r="HC111" s="626"/>
      <c r="HD111" s="626"/>
      <c r="HE111" s="626"/>
      <c r="HF111" s="626"/>
      <c r="HG111" s="626"/>
      <c r="HH111" s="626"/>
      <c r="HI111" s="626"/>
      <c r="HJ111" s="626"/>
      <c r="HK111" s="626"/>
      <c r="HL111" s="626"/>
      <c r="HM111" s="626"/>
      <c r="HN111" s="626"/>
      <c r="HO111" s="626"/>
      <c r="HP111" s="626"/>
      <c r="HQ111" s="626"/>
      <c r="HR111" s="626"/>
      <c r="HS111" s="626"/>
      <c r="HT111" s="626"/>
      <c r="HU111" s="626"/>
      <c r="HV111" s="626"/>
      <c r="HW111" s="626"/>
      <c r="HX111" s="626"/>
      <c r="HY111" s="626"/>
      <c r="HZ111" s="626"/>
      <c r="IA111" s="626"/>
      <c r="IB111" s="626"/>
      <c r="IC111" s="626"/>
      <c r="ID111" s="626"/>
      <c r="IE111" s="626"/>
      <c r="IF111" s="626"/>
      <c r="IG111" s="626"/>
      <c r="IH111" s="626"/>
      <c r="II111" s="626"/>
      <c r="IJ111" s="626"/>
      <c r="IK111" s="626"/>
      <c r="IL111" s="626"/>
      <c r="IM111" s="626"/>
      <c r="IN111" s="626"/>
      <c r="IO111" s="626"/>
      <c r="IP111" s="626"/>
      <c r="IQ111" s="626"/>
      <c r="IR111" s="626"/>
      <c r="IS111" s="626"/>
      <c r="IT111" s="626"/>
      <c r="IU111" s="626"/>
    </row>
    <row r="112" spans="1:255" x14ac:dyDescent="0.2">
      <c r="A112" s="110"/>
      <c r="B112" s="636"/>
      <c r="C112" s="4"/>
      <c r="D112" s="4"/>
      <c r="E112" s="637"/>
      <c r="F112" s="4"/>
      <c r="G112" s="4"/>
      <c r="H112" s="638"/>
      <c r="I112" s="638"/>
      <c r="J112" s="110"/>
      <c r="K112" s="13"/>
      <c r="L112" s="4"/>
      <c r="M112" s="4"/>
      <c r="N112" s="4"/>
      <c r="O112" s="4"/>
      <c r="P112" s="630"/>
      <c r="Q112" s="4"/>
      <c r="R112" s="4"/>
      <c r="S112" s="4"/>
      <c r="T112" s="639"/>
      <c r="U112" s="639"/>
      <c r="V112" s="4"/>
      <c r="W112" s="4"/>
      <c r="X112" s="4"/>
    </row>
    <row r="113" spans="1:24" x14ac:dyDescent="0.2">
      <c r="A113" s="110"/>
      <c r="B113" s="636"/>
      <c r="C113" s="4"/>
      <c r="D113" s="4"/>
      <c r="E113" s="637"/>
      <c r="F113" s="4"/>
      <c r="G113" s="4"/>
      <c r="H113" s="638"/>
      <c r="I113" s="638"/>
      <c r="J113" s="110"/>
      <c r="K113" s="13"/>
      <c r="L113" s="4"/>
      <c r="M113" s="4"/>
      <c r="N113" s="4"/>
      <c r="O113" s="4"/>
      <c r="P113" s="641"/>
      <c r="Q113" s="4"/>
      <c r="R113" s="4"/>
      <c r="S113" s="4"/>
      <c r="T113" s="639"/>
      <c r="U113" s="639"/>
      <c r="V113" s="4"/>
      <c r="W113" s="4"/>
      <c r="X113" s="4"/>
    </row>
    <row r="114" spans="1:24" x14ac:dyDescent="0.2">
      <c r="A114" s="110"/>
      <c r="B114" s="636"/>
      <c r="C114" s="4"/>
      <c r="D114" s="4"/>
      <c r="E114" s="637"/>
      <c r="F114" s="4"/>
      <c r="G114" s="4"/>
      <c r="H114" s="638"/>
      <c r="I114" s="638"/>
      <c r="J114" s="110"/>
      <c r="K114" s="13"/>
      <c r="L114" s="4"/>
      <c r="M114" s="4"/>
      <c r="N114" s="4"/>
      <c r="O114" s="4"/>
      <c r="P114" s="641"/>
      <c r="Q114" s="4"/>
      <c r="R114" s="4"/>
      <c r="S114" s="4"/>
      <c r="T114" s="639"/>
      <c r="U114" s="639"/>
      <c r="V114" s="4"/>
      <c r="W114" s="4"/>
      <c r="X114" s="4"/>
    </row>
    <row r="115" spans="1:24" x14ac:dyDescent="0.2">
      <c r="A115" s="110"/>
      <c r="B115" s="636"/>
      <c r="C115" s="4"/>
      <c r="D115" s="4"/>
      <c r="E115" s="637"/>
      <c r="F115" s="4"/>
      <c r="G115" s="4"/>
      <c r="H115" s="638"/>
      <c r="I115" s="638"/>
      <c r="J115" s="110"/>
      <c r="K115" s="13"/>
      <c r="L115" s="4"/>
      <c r="M115" s="4"/>
      <c r="N115" s="4"/>
      <c r="O115" s="4"/>
      <c r="P115" s="641"/>
      <c r="Q115" s="4"/>
      <c r="R115" s="4"/>
      <c r="S115" s="4"/>
      <c r="T115" s="639"/>
      <c r="U115" s="639"/>
      <c r="V115" s="4"/>
      <c r="W115" s="4"/>
      <c r="X115" s="4"/>
    </row>
    <row r="116" spans="1:24" x14ac:dyDescent="0.2">
      <c r="A116" s="110"/>
      <c r="B116" s="636"/>
      <c r="C116" s="4"/>
      <c r="D116" s="4"/>
      <c r="E116" s="637"/>
      <c r="F116" s="4"/>
      <c r="G116" s="4"/>
      <c r="H116" s="638"/>
      <c r="I116" s="638"/>
      <c r="J116" s="110"/>
      <c r="K116" s="13"/>
      <c r="L116" s="4"/>
      <c r="M116" s="4"/>
      <c r="N116" s="4"/>
      <c r="O116" s="4"/>
      <c r="P116" s="641"/>
      <c r="Q116" s="4"/>
      <c r="R116" s="4"/>
      <c r="S116" s="4"/>
      <c r="T116" s="639"/>
      <c r="U116" s="639"/>
      <c r="V116" s="4"/>
      <c r="W116" s="4"/>
      <c r="X116" s="4"/>
    </row>
    <row r="117" spans="1:24" x14ac:dyDescent="0.2">
      <c r="A117" s="110"/>
      <c r="B117" s="636"/>
      <c r="C117" s="4"/>
      <c r="D117" s="4"/>
      <c r="E117" s="637"/>
      <c r="F117" s="4"/>
      <c r="G117" s="4"/>
      <c r="H117" s="638"/>
      <c r="I117" s="638"/>
      <c r="J117" s="110"/>
      <c r="K117" s="13"/>
      <c r="L117" s="4"/>
      <c r="M117" s="4"/>
      <c r="N117" s="4"/>
      <c r="O117" s="4"/>
      <c r="P117" s="641"/>
      <c r="Q117" s="4"/>
      <c r="R117" s="4"/>
      <c r="S117" s="4"/>
      <c r="T117" s="639"/>
      <c r="U117" s="639"/>
      <c r="V117" s="4"/>
      <c r="W117" s="4"/>
      <c r="X117" s="4"/>
    </row>
    <row r="118" spans="1:24" x14ac:dyDescent="0.2">
      <c r="A118" s="110"/>
      <c r="B118" s="636"/>
      <c r="C118" s="4"/>
      <c r="D118" s="4"/>
      <c r="E118" s="637"/>
      <c r="F118" s="4"/>
      <c r="G118" s="4"/>
      <c r="H118" s="638"/>
      <c r="I118" s="637"/>
      <c r="J118" s="110"/>
      <c r="K118" s="13"/>
      <c r="L118" s="4"/>
      <c r="M118" s="4"/>
      <c r="N118" s="4"/>
      <c r="O118" s="4"/>
      <c r="P118" s="641"/>
      <c r="Q118" s="4"/>
      <c r="R118" s="4"/>
      <c r="S118" s="4"/>
      <c r="T118" s="639"/>
      <c r="U118" s="639"/>
      <c r="V118" s="4"/>
      <c r="W118" s="4"/>
      <c r="X118" s="4"/>
    </row>
    <row r="119" spans="1:24" x14ac:dyDescent="0.2">
      <c r="A119" s="110"/>
      <c r="B119" s="636"/>
      <c r="C119" s="4"/>
      <c r="D119" s="4"/>
      <c r="E119" s="637"/>
      <c r="F119" s="4"/>
      <c r="G119" s="4"/>
      <c r="H119" s="638"/>
      <c r="I119" s="637"/>
      <c r="J119" s="110"/>
      <c r="K119" s="13"/>
      <c r="L119" s="4"/>
      <c r="M119" s="4"/>
      <c r="N119" s="4"/>
      <c r="O119" s="4"/>
      <c r="P119" s="641"/>
      <c r="Q119" s="4"/>
      <c r="R119" s="4"/>
      <c r="S119" s="4"/>
      <c r="T119" s="639"/>
      <c r="U119" s="639"/>
      <c r="V119" s="4"/>
      <c r="W119" s="4"/>
      <c r="X119" s="4"/>
    </row>
    <row r="120" spans="1:24" x14ac:dyDescent="0.2">
      <c r="A120" s="110"/>
      <c r="B120" s="636"/>
      <c r="C120" s="4"/>
      <c r="D120" s="4"/>
      <c r="E120" s="637"/>
      <c r="F120" s="4"/>
      <c r="G120" s="4"/>
      <c r="H120" s="638"/>
      <c r="I120" s="637"/>
      <c r="J120" s="110"/>
      <c r="K120" s="13"/>
      <c r="L120" s="4"/>
      <c r="M120" s="4"/>
      <c r="N120" s="4"/>
      <c r="O120" s="4"/>
      <c r="P120" s="641"/>
      <c r="Q120" s="4"/>
      <c r="R120" s="4"/>
      <c r="S120" s="4"/>
      <c r="T120" s="639"/>
      <c r="U120" s="639"/>
      <c r="V120" s="4"/>
      <c r="W120" s="4"/>
      <c r="X120" s="4"/>
    </row>
    <row r="121" spans="1:24" x14ac:dyDescent="0.2">
      <c r="A121" s="110"/>
      <c r="B121" s="636"/>
      <c r="C121" s="4"/>
      <c r="D121" s="4"/>
      <c r="E121" s="637"/>
      <c r="F121" s="4"/>
      <c r="G121" s="4"/>
      <c r="H121" s="638"/>
      <c r="I121" s="637"/>
      <c r="J121" s="110"/>
      <c r="K121" s="13"/>
      <c r="L121" s="4"/>
      <c r="M121" s="4"/>
      <c r="N121" s="4"/>
      <c r="O121" s="4"/>
      <c r="P121" s="641"/>
      <c r="Q121" s="4"/>
      <c r="R121" s="4"/>
      <c r="S121" s="4"/>
      <c r="T121" s="639"/>
      <c r="U121" s="639"/>
      <c r="V121" s="4"/>
      <c r="W121" s="4"/>
      <c r="X121" s="4"/>
    </row>
    <row r="122" spans="1:24" x14ac:dyDescent="0.2">
      <c r="A122" s="110"/>
      <c r="B122" s="636"/>
      <c r="C122" s="4"/>
      <c r="D122" s="4"/>
      <c r="E122" s="637"/>
      <c r="F122" s="4"/>
      <c r="G122" s="4"/>
      <c r="H122" s="638"/>
      <c r="I122" s="637"/>
      <c r="J122" s="110"/>
      <c r="K122" s="13"/>
      <c r="L122" s="4"/>
      <c r="M122" s="4"/>
      <c r="N122" s="4"/>
      <c r="O122" s="4"/>
      <c r="P122" s="641"/>
      <c r="Q122" s="4"/>
      <c r="R122" s="4"/>
      <c r="S122" s="4"/>
      <c r="T122" s="639"/>
      <c r="U122" s="639"/>
      <c r="V122" s="4"/>
      <c r="W122" s="4"/>
      <c r="X122" s="4"/>
    </row>
    <row r="123" spans="1:24" x14ac:dyDescent="0.2">
      <c r="A123" s="110"/>
      <c r="B123" s="636"/>
      <c r="C123" s="4"/>
      <c r="D123" s="4"/>
      <c r="E123" s="637"/>
      <c r="F123" s="4"/>
      <c r="G123" s="4"/>
      <c r="H123" s="640"/>
      <c r="I123" s="637"/>
      <c r="J123" s="110"/>
      <c r="K123" s="13"/>
      <c r="L123" s="4"/>
      <c r="M123" s="4"/>
      <c r="N123" s="4"/>
      <c r="O123" s="4"/>
      <c r="P123" s="641"/>
      <c r="Q123" s="4"/>
      <c r="R123" s="4"/>
      <c r="S123" s="4"/>
      <c r="T123" s="639"/>
      <c r="U123" s="639"/>
      <c r="V123" s="4"/>
      <c r="W123" s="4"/>
      <c r="X123" s="4"/>
    </row>
    <row r="124" spans="1:24" x14ac:dyDescent="0.2">
      <c r="A124" s="110"/>
      <c r="B124" s="636"/>
      <c r="C124" s="4"/>
      <c r="D124" s="4"/>
      <c r="E124" s="637"/>
      <c r="F124" s="4"/>
      <c r="G124" s="4"/>
      <c r="H124" s="638"/>
      <c r="I124" s="637"/>
      <c r="J124" s="110"/>
      <c r="K124" s="13"/>
      <c r="L124" s="4"/>
      <c r="M124" s="4"/>
      <c r="N124" s="4"/>
      <c r="O124" s="4"/>
      <c r="P124" s="641"/>
      <c r="Q124" s="4"/>
      <c r="R124" s="4"/>
      <c r="S124" s="4"/>
      <c r="T124" s="639"/>
      <c r="U124" s="639"/>
      <c r="V124" s="4"/>
      <c r="W124" s="4"/>
      <c r="X124" s="4"/>
    </row>
    <row r="125" spans="1:24" x14ac:dyDescent="0.2">
      <c r="A125" s="110"/>
      <c r="B125" s="636"/>
      <c r="C125" s="4"/>
      <c r="D125" s="4"/>
      <c r="E125" s="637"/>
      <c r="F125" s="4"/>
      <c r="G125" s="4"/>
      <c r="H125" s="638"/>
      <c r="I125" s="637"/>
      <c r="J125" s="110"/>
      <c r="K125" s="13"/>
      <c r="L125" s="4"/>
      <c r="M125" s="4"/>
      <c r="N125" s="4"/>
      <c r="O125" s="4"/>
      <c r="P125" s="641"/>
      <c r="Q125" s="4"/>
      <c r="R125" s="4"/>
      <c r="S125" s="4"/>
      <c r="T125" s="639"/>
      <c r="U125" s="639"/>
      <c r="V125" s="4"/>
      <c r="W125" s="4"/>
      <c r="X125" s="4"/>
    </row>
    <row r="126" spans="1:24" x14ac:dyDescent="0.2">
      <c r="A126" s="110"/>
      <c r="B126" s="636"/>
      <c r="C126" s="4"/>
      <c r="D126" s="4"/>
      <c r="E126" s="637"/>
      <c r="F126" s="4"/>
      <c r="G126" s="4"/>
      <c r="H126" s="638"/>
      <c r="I126" s="637"/>
      <c r="J126" s="110"/>
      <c r="K126" s="13"/>
      <c r="L126" s="4"/>
      <c r="M126" s="4"/>
      <c r="N126" s="4"/>
      <c r="O126" s="4"/>
      <c r="P126" s="641"/>
      <c r="Q126" s="4"/>
      <c r="R126" s="4"/>
      <c r="S126" s="4"/>
      <c r="T126" s="639"/>
      <c r="U126" s="639"/>
      <c r="V126" s="4"/>
      <c r="W126" s="4"/>
      <c r="X126" s="4"/>
    </row>
    <row r="127" spans="1:24" x14ac:dyDescent="0.2">
      <c r="A127" s="110"/>
      <c r="B127" s="636"/>
      <c r="C127" s="4"/>
      <c r="D127" s="4"/>
      <c r="E127" s="637"/>
      <c r="F127" s="4"/>
      <c r="G127" s="4"/>
      <c r="H127" s="638"/>
      <c r="I127" s="637"/>
      <c r="J127" s="110"/>
      <c r="K127" s="13"/>
      <c r="L127" s="4"/>
      <c r="M127" s="4"/>
      <c r="N127" s="4"/>
      <c r="O127" s="4"/>
      <c r="P127" s="641"/>
      <c r="Q127" s="4"/>
      <c r="R127" s="4"/>
      <c r="S127" s="4"/>
      <c r="T127" s="639"/>
      <c r="U127" s="639"/>
      <c r="V127" s="4"/>
      <c r="W127" s="4"/>
      <c r="X127" s="4"/>
    </row>
    <row r="128" spans="1:24" x14ac:dyDescent="0.2">
      <c r="A128" s="110"/>
      <c r="B128" s="636"/>
      <c r="C128" s="4"/>
      <c r="D128" s="4"/>
      <c r="E128" s="637"/>
      <c r="F128" s="4"/>
      <c r="G128" s="4"/>
      <c r="H128" s="638"/>
      <c r="I128" s="637"/>
      <c r="J128" s="110"/>
      <c r="K128" s="13"/>
      <c r="L128" s="4"/>
      <c r="M128" s="4"/>
      <c r="N128" s="4"/>
      <c r="O128" s="4"/>
      <c r="P128" s="641"/>
      <c r="Q128" s="4"/>
      <c r="R128" s="4"/>
      <c r="S128" s="4"/>
      <c r="T128" s="639"/>
      <c r="U128" s="639"/>
      <c r="V128" s="4"/>
      <c r="W128" s="4"/>
      <c r="X128" s="4"/>
    </row>
    <row r="129" spans="1:24" x14ac:dyDescent="0.2">
      <c r="A129" s="110"/>
      <c r="B129" s="636"/>
      <c r="C129" s="4"/>
      <c r="D129" s="4"/>
      <c r="E129" s="637"/>
      <c r="F129" s="4"/>
      <c r="G129" s="4"/>
      <c r="H129" s="638"/>
      <c r="I129" s="637"/>
      <c r="J129" s="110"/>
      <c r="K129" s="13"/>
      <c r="L129" s="4"/>
      <c r="M129" s="4"/>
      <c r="N129" s="4"/>
      <c r="O129" s="4"/>
      <c r="P129" s="641"/>
      <c r="Q129" s="4"/>
      <c r="R129" s="4"/>
      <c r="S129" s="4"/>
      <c r="T129" s="639"/>
      <c r="U129" s="639"/>
      <c r="V129" s="4"/>
      <c r="W129" s="4"/>
      <c r="X129" s="4"/>
    </row>
    <row r="130" spans="1:24" x14ac:dyDescent="0.2">
      <c r="A130" s="110"/>
      <c r="B130" s="114"/>
      <c r="C130" s="4"/>
      <c r="D130" s="4"/>
      <c r="E130" s="4"/>
      <c r="F130" s="4"/>
      <c r="G130" s="4"/>
      <c r="H130" s="635" t="s">
        <v>20</v>
      </c>
      <c r="I130" s="110"/>
      <c r="J130" s="110"/>
      <c r="K130" s="13"/>
      <c r="L130" s="4"/>
      <c r="M130" s="4"/>
      <c r="N130" s="4"/>
      <c r="O130" s="4"/>
      <c r="P130" s="641"/>
      <c r="Q130" s="4"/>
      <c r="R130" s="4"/>
      <c r="S130" s="4"/>
      <c r="T130" s="642"/>
      <c r="U130" s="643"/>
      <c r="V130" s="4"/>
      <c r="W130" s="4"/>
      <c r="X130" s="4"/>
    </row>
    <row r="131" spans="1:24" x14ac:dyDescent="0.2">
      <c r="A131" s="110"/>
      <c r="B131" s="114"/>
      <c r="C131" s="4"/>
      <c r="D131" s="4"/>
      <c r="E131" s="4"/>
      <c r="F131" s="4"/>
      <c r="G131" s="4"/>
      <c r="H131" s="635" t="s">
        <v>20</v>
      </c>
      <c r="I131" s="110"/>
      <c r="J131" s="110"/>
      <c r="K131" s="13"/>
      <c r="L131" s="4"/>
      <c r="M131" s="4"/>
      <c r="N131" s="4"/>
      <c r="O131" s="4"/>
      <c r="P131" s="641"/>
      <c r="Q131" s="4"/>
      <c r="R131" s="4"/>
      <c r="S131" s="4"/>
      <c r="T131" s="642"/>
      <c r="U131" s="643"/>
      <c r="V131" s="4"/>
      <c r="W131" s="4"/>
      <c r="X131" s="4"/>
    </row>
    <row r="132" spans="1:24" x14ac:dyDescent="0.2">
      <c r="A132" s="110"/>
      <c r="B132" s="114"/>
      <c r="C132" s="4"/>
      <c r="D132" s="4"/>
      <c r="E132" s="4"/>
      <c r="F132" s="4"/>
      <c r="G132" s="4"/>
      <c r="H132" s="635" t="s">
        <v>20</v>
      </c>
      <c r="I132" s="110"/>
      <c r="J132" s="110"/>
      <c r="K132" s="13"/>
      <c r="L132" s="4"/>
      <c r="M132" s="4"/>
      <c r="N132" s="4"/>
      <c r="O132" s="4"/>
      <c r="P132" s="641"/>
      <c r="Q132" s="4"/>
      <c r="R132" s="4"/>
      <c r="S132" s="4"/>
      <c r="T132" s="642"/>
      <c r="U132" s="643"/>
      <c r="V132" s="4"/>
      <c r="W132" s="4"/>
      <c r="X132" s="4"/>
    </row>
    <row r="133" spans="1:24" x14ac:dyDescent="0.2">
      <c r="A133" s="110"/>
      <c r="B133" s="114"/>
      <c r="C133" s="4"/>
      <c r="D133" s="4"/>
      <c r="E133" s="4"/>
      <c r="F133" s="4"/>
      <c r="G133" s="4"/>
      <c r="H133" s="635" t="s">
        <v>20</v>
      </c>
      <c r="I133" s="110"/>
      <c r="J133" s="110"/>
      <c r="K133" s="13"/>
      <c r="L133" s="4"/>
      <c r="M133" s="4"/>
      <c r="N133" s="4"/>
      <c r="O133" s="4"/>
      <c r="P133" s="641"/>
      <c r="Q133" s="4"/>
      <c r="R133" s="4"/>
      <c r="S133" s="4"/>
      <c r="T133" s="642"/>
      <c r="U133" s="643"/>
      <c r="V133" s="4"/>
      <c r="W133" s="4"/>
      <c r="X133" s="4"/>
    </row>
    <row r="134" spans="1:24" x14ac:dyDescent="0.2">
      <c r="A134" s="110"/>
      <c r="B134" s="114"/>
      <c r="C134" s="4"/>
      <c r="D134" s="4"/>
      <c r="E134" s="4"/>
      <c r="F134" s="4"/>
      <c r="G134" s="4"/>
      <c r="H134" s="635" t="s">
        <v>20</v>
      </c>
      <c r="I134" s="110"/>
      <c r="J134" s="110"/>
      <c r="K134" s="13"/>
      <c r="L134" s="4"/>
      <c r="M134" s="4"/>
      <c r="N134" s="4"/>
      <c r="O134" s="4"/>
      <c r="P134" s="641"/>
      <c r="Q134" s="4"/>
      <c r="R134" s="4"/>
      <c r="S134" s="4"/>
      <c r="T134" s="642"/>
      <c r="U134" s="643"/>
      <c r="V134" s="4"/>
      <c r="W134" s="4"/>
      <c r="X134" s="4"/>
    </row>
    <row r="135" spans="1:24" x14ac:dyDescent="0.2">
      <c r="A135" s="110"/>
      <c r="B135" s="114"/>
      <c r="C135" s="4"/>
      <c r="D135" s="4"/>
      <c r="E135" s="4"/>
      <c r="F135" s="4"/>
      <c r="G135" s="4"/>
      <c r="H135" s="635" t="s">
        <v>20</v>
      </c>
      <c r="I135" s="110"/>
      <c r="J135" s="110"/>
      <c r="K135" s="13"/>
      <c r="L135" s="4"/>
      <c r="M135" s="4"/>
      <c r="N135" s="4"/>
      <c r="O135" s="4"/>
      <c r="P135" s="641"/>
      <c r="Q135" s="4"/>
      <c r="R135" s="4"/>
      <c r="S135" s="4"/>
      <c r="T135" s="642"/>
      <c r="U135" s="643"/>
      <c r="V135" s="4"/>
      <c r="W135" s="4"/>
      <c r="X135" s="4"/>
    </row>
    <row r="136" spans="1:24" x14ac:dyDescent="0.2">
      <c r="A136" s="110"/>
      <c r="B136" s="114"/>
      <c r="C136" s="4"/>
      <c r="D136" s="4"/>
      <c r="E136" s="4"/>
      <c r="F136" s="4"/>
      <c r="G136" s="4"/>
      <c r="H136" s="635" t="s">
        <v>20</v>
      </c>
      <c r="I136" s="110"/>
      <c r="J136" s="110"/>
      <c r="K136" s="13"/>
      <c r="L136" s="4"/>
      <c r="M136" s="4"/>
      <c r="N136" s="4"/>
      <c r="O136" s="4"/>
      <c r="P136" s="641"/>
      <c r="Q136" s="4"/>
      <c r="R136" s="4"/>
      <c r="S136" s="4"/>
      <c r="T136" s="642"/>
      <c r="U136" s="643"/>
      <c r="V136" s="4"/>
      <c r="W136" s="4"/>
      <c r="X136" s="4"/>
    </row>
    <row r="137" spans="1:24" x14ac:dyDescent="0.2">
      <c r="A137" s="110"/>
      <c r="B137" s="114"/>
      <c r="C137" s="4"/>
      <c r="D137" s="4"/>
      <c r="E137" s="4"/>
      <c r="F137" s="4"/>
      <c r="G137" s="4"/>
      <c r="H137" s="635" t="s">
        <v>20</v>
      </c>
      <c r="I137" s="110"/>
      <c r="J137" s="110"/>
      <c r="K137" s="13"/>
      <c r="L137" s="4"/>
      <c r="M137" s="4"/>
      <c r="N137" s="4"/>
      <c r="O137" s="4"/>
      <c r="P137" s="641"/>
      <c r="Q137" s="4"/>
      <c r="R137" s="4"/>
      <c r="S137" s="4"/>
      <c r="T137" s="642"/>
      <c r="U137" s="643"/>
      <c r="V137" s="4"/>
      <c r="W137" s="4"/>
      <c r="X137" s="4"/>
    </row>
    <row r="138" spans="1:24" x14ac:dyDescent="0.2">
      <c r="A138" s="110"/>
      <c r="B138" s="114"/>
      <c r="C138" s="4"/>
      <c r="D138" s="4"/>
      <c r="E138" s="4"/>
      <c r="F138" s="4"/>
      <c r="G138" s="4"/>
      <c r="H138" s="635" t="s">
        <v>20</v>
      </c>
      <c r="I138" s="110"/>
      <c r="J138" s="110"/>
      <c r="K138" s="13"/>
      <c r="L138" s="4"/>
      <c r="M138" s="4"/>
      <c r="N138" s="4"/>
      <c r="O138" s="4"/>
      <c r="P138" s="641"/>
      <c r="Q138" s="4"/>
      <c r="R138" s="4"/>
      <c r="S138" s="4"/>
      <c r="T138" s="642"/>
      <c r="U138" s="643"/>
      <c r="V138" s="4"/>
      <c r="W138" s="4"/>
      <c r="X138" s="4"/>
    </row>
    <row r="139" spans="1:24" x14ac:dyDescent="0.2">
      <c r="A139" s="110"/>
      <c r="B139" s="114"/>
      <c r="C139" s="4"/>
      <c r="D139" s="4"/>
      <c r="E139" s="4"/>
      <c r="F139" s="4"/>
      <c r="G139" s="4"/>
      <c r="H139" s="635" t="s">
        <v>20</v>
      </c>
      <c r="I139" s="110"/>
      <c r="J139" s="110"/>
      <c r="K139" s="13"/>
      <c r="L139" s="4"/>
      <c r="M139" s="4"/>
      <c r="N139" s="4"/>
      <c r="O139" s="4"/>
      <c r="P139" s="641"/>
      <c r="Q139" s="4"/>
      <c r="R139" s="4"/>
      <c r="S139" s="4"/>
      <c r="T139" s="642"/>
      <c r="U139" s="643"/>
      <c r="V139" s="4"/>
      <c r="W139" s="4"/>
      <c r="X139" s="4"/>
    </row>
    <row r="140" spans="1:24" x14ac:dyDescent="0.2">
      <c r="A140" s="110"/>
      <c r="B140" s="114"/>
      <c r="C140" s="4"/>
      <c r="D140" s="4"/>
      <c r="E140" s="4"/>
      <c r="F140" s="4"/>
      <c r="G140" s="4"/>
      <c r="H140" s="635" t="s">
        <v>20</v>
      </c>
      <c r="I140" s="110"/>
      <c r="J140" s="110"/>
      <c r="K140" s="13"/>
      <c r="L140" s="4"/>
      <c r="M140" s="4"/>
      <c r="N140" s="4"/>
      <c r="O140" s="4"/>
      <c r="P140" s="641"/>
      <c r="Q140" s="4"/>
      <c r="R140" s="4"/>
      <c r="S140" s="4"/>
      <c r="T140" s="642"/>
      <c r="U140" s="643"/>
      <c r="V140" s="4"/>
      <c r="W140" s="4"/>
      <c r="X140" s="4"/>
    </row>
    <row r="141" spans="1:24" x14ac:dyDescent="0.2">
      <c r="A141" s="110"/>
      <c r="B141" s="114"/>
      <c r="C141" s="4"/>
      <c r="D141" s="4"/>
      <c r="E141" s="4"/>
      <c r="F141" s="4"/>
      <c r="G141" s="4"/>
      <c r="H141" s="635" t="s">
        <v>20</v>
      </c>
      <c r="I141" s="110"/>
      <c r="J141" s="110"/>
      <c r="K141" s="13"/>
      <c r="L141" s="4"/>
      <c r="M141" s="4"/>
      <c r="N141" s="4"/>
      <c r="O141" s="4"/>
      <c r="P141" s="641"/>
      <c r="Q141" s="4"/>
      <c r="R141" s="4"/>
      <c r="S141" s="4"/>
      <c r="T141" s="642"/>
      <c r="U141" s="643"/>
      <c r="V141" s="4"/>
      <c r="W141" s="4"/>
      <c r="X141" s="4"/>
    </row>
    <row r="142" spans="1:24" x14ac:dyDescent="0.2">
      <c r="A142" s="110"/>
      <c r="B142" s="114"/>
      <c r="C142" s="4"/>
      <c r="D142" s="4"/>
      <c r="E142" s="4"/>
      <c r="F142" s="4"/>
      <c r="G142" s="4"/>
      <c r="H142" s="635" t="s">
        <v>20</v>
      </c>
      <c r="I142" s="110"/>
      <c r="J142" s="110"/>
      <c r="K142" s="13"/>
      <c r="L142" s="4"/>
      <c r="M142" s="4"/>
      <c r="N142" s="4"/>
      <c r="O142" s="4"/>
      <c r="P142" s="641"/>
      <c r="Q142" s="4"/>
      <c r="R142" s="4"/>
      <c r="S142" s="4"/>
      <c r="T142" s="642"/>
      <c r="U142" s="643"/>
      <c r="V142" s="4"/>
      <c r="W142" s="4"/>
      <c r="X142" s="4"/>
    </row>
    <row r="143" spans="1:24" x14ac:dyDescent="0.2">
      <c r="A143" s="110"/>
      <c r="B143" s="114"/>
      <c r="C143" s="4"/>
      <c r="D143" s="4"/>
      <c r="E143" s="4"/>
      <c r="F143" s="4"/>
      <c r="G143" s="4"/>
      <c r="H143" s="635" t="s">
        <v>20</v>
      </c>
      <c r="I143" s="110"/>
      <c r="J143" s="110"/>
      <c r="K143" s="13"/>
      <c r="L143" s="4"/>
      <c r="M143" s="4"/>
      <c r="N143" s="4"/>
      <c r="O143" s="4"/>
      <c r="P143" s="641"/>
      <c r="Q143" s="4"/>
      <c r="R143" s="4"/>
      <c r="S143" s="4"/>
      <c r="T143" s="642"/>
      <c r="U143" s="643"/>
      <c r="V143" s="4"/>
      <c r="W143" s="4"/>
      <c r="X143" s="4"/>
    </row>
    <row r="144" spans="1:24" x14ac:dyDescent="0.2">
      <c r="A144" s="110"/>
      <c r="B144" s="114"/>
      <c r="C144" s="4"/>
      <c r="D144" s="4"/>
      <c r="E144" s="4"/>
      <c r="F144" s="4"/>
      <c r="G144" s="4"/>
      <c r="H144" s="635" t="s">
        <v>20</v>
      </c>
      <c r="I144" s="110"/>
      <c r="J144" s="110"/>
      <c r="K144" s="13"/>
      <c r="L144" s="4"/>
      <c r="M144" s="4"/>
      <c r="N144" s="4"/>
      <c r="O144" s="4"/>
      <c r="P144" s="641"/>
      <c r="Q144" s="4"/>
      <c r="R144" s="4"/>
      <c r="S144" s="4"/>
      <c r="T144" s="642"/>
      <c r="U144" s="643"/>
      <c r="V144" s="4"/>
      <c r="W144" s="4"/>
      <c r="X144" s="4"/>
    </row>
    <row r="145" spans="1:24" x14ac:dyDescent="0.2">
      <c r="A145" s="110"/>
      <c r="B145" s="114"/>
      <c r="C145" s="4"/>
      <c r="D145" s="4"/>
      <c r="E145" s="4"/>
      <c r="F145" s="4"/>
      <c r="G145" s="4"/>
      <c r="H145" s="635" t="s">
        <v>20</v>
      </c>
      <c r="I145" s="110"/>
      <c r="J145" s="110"/>
      <c r="K145" s="13"/>
      <c r="L145" s="4"/>
      <c r="M145" s="4"/>
      <c r="N145" s="4"/>
      <c r="O145" s="4"/>
      <c r="P145" s="641"/>
      <c r="Q145" s="4"/>
      <c r="R145" s="4"/>
      <c r="S145" s="4"/>
      <c r="T145" s="642"/>
      <c r="U145" s="643"/>
      <c r="V145" s="4"/>
      <c r="W145" s="4"/>
      <c r="X145" s="4"/>
    </row>
    <row r="146" spans="1:24" x14ac:dyDescent="0.2">
      <c r="A146" s="110"/>
      <c r="B146" s="114"/>
      <c r="C146" s="4"/>
      <c r="D146" s="4"/>
      <c r="E146" s="4"/>
      <c r="F146" s="4"/>
      <c r="G146" s="4"/>
      <c r="H146" s="635" t="s">
        <v>20</v>
      </c>
      <c r="I146" s="110"/>
      <c r="J146" s="110"/>
      <c r="K146" s="13"/>
      <c r="L146" s="4"/>
      <c r="M146" s="4"/>
      <c r="N146" s="4"/>
      <c r="O146" s="4"/>
      <c r="P146" s="641"/>
      <c r="Q146" s="4"/>
      <c r="R146" s="4"/>
      <c r="S146" s="4"/>
      <c r="T146" s="642"/>
      <c r="U146" s="643"/>
      <c r="V146" s="4"/>
      <c r="W146" s="4"/>
      <c r="X146" s="4"/>
    </row>
    <row r="147" spans="1:24" x14ac:dyDescent="0.2">
      <c r="A147" s="110"/>
      <c r="B147" s="114"/>
      <c r="C147" s="4"/>
      <c r="D147" s="4"/>
      <c r="E147" s="4"/>
      <c r="F147" s="4"/>
      <c r="G147" s="4"/>
      <c r="H147" s="635" t="s">
        <v>20</v>
      </c>
      <c r="I147" s="110"/>
      <c r="J147" s="110"/>
      <c r="K147" s="13"/>
      <c r="L147" s="4"/>
      <c r="M147" s="4"/>
      <c r="N147" s="4"/>
      <c r="O147" s="4"/>
      <c r="P147" s="641"/>
      <c r="Q147" s="4"/>
      <c r="R147" s="4"/>
      <c r="S147" s="4"/>
      <c r="T147" s="642"/>
      <c r="U147" s="643"/>
      <c r="V147" s="4"/>
      <c r="W147" s="4"/>
      <c r="X147" s="4"/>
    </row>
    <row r="148" spans="1:24" x14ac:dyDescent="0.2">
      <c r="A148" s="110"/>
      <c r="B148" s="114"/>
      <c r="C148" s="4"/>
      <c r="D148" s="4"/>
      <c r="E148" s="4"/>
      <c r="F148" s="4"/>
      <c r="G148" s="4"/>
      <c r="H148" s="635" t="s">
        <v>20</v>
      </c>
      <c r="I148" s="110"/>
      <c r="J148" s="110"/>
      <c r="K148" s="13"/>
      <c r="L148" s="4"/>
      <c r="M148" s="4"/>
      <c r="N148" s="4"/>
      <c r="O148" s="4"/>
      <c r="P148" s="641"/>
      <c r="Q148" s="4"/>
      <c r="R148" s="4"/>
      <c r="S148" s="4"/>
      <c r="T148" s="642"/>
      <c r="U148" s="643"/>
      <c r="V148" s="4"/>
      <c r="W148" s="4"/>
      <c r="X148" s="4"/>
    </row>
    <row r="149" spans="1:24" x14ac:dyDescent="0.2">
      <c r="A149" s="110"/>
      <c r="B149" s="114"/>
      <c r="C149" s="4"/>
      <c r="D149" s="4"/>
      <c r="E149" s="4"/>
      <c r="F149" s="4"/>
      <c r="G149" s="4"/>
      <c r="H149" s="635" t="s">
        <v>20</v>
      </c>
      <c r="I149" s="110"/>
      <c r="J149" s="110"/>
      <c r="K149" s="13"/>
      <c r="L149" s="4"/>
      <c r="M149" s="4"/>
      <c r="N149" s="4"/>
      <c r="O149" s="4"/>
      <c r="P149" s="641"/>
      <c r="Q149" s="4"/>
      <c r="R149" s="4"/>
      <c r="S149" s="4"/>
      <c r="T149" s="642"/>
      <c r="U149" s="643"/>
      <c r="V149" s="4"/>
      <c r="W149" s="4"/>
      <c r="X149" s="4"/>
    </row>
    <row r="150" spans="1:24" x14ac:dyDescent="0.2">
      <c r="A150" s="110"/>
      <c r="B150" s="114"/>
      <c r="C150" s="4"/>
      <c r="D150" s="4"/>
      <c r="E150" s="4"/>
      <c r="F150" s="4"/>
      <c r="G150" s="4"/>
      <c r="H150" s="635" t="s">
        <v>20</v>
      </c>
      <c r="I150" s="110"/>
      <c r="J150" s="110"/>
      <c r="K150" s="13"/>
      <c r="L150" s="4"/>
      <c r="M150" s="4"/>
      <c r="N150" s="4"/>
      <c r="O150" s="4"/>
      <c r="P150" s="641"/>
      <c r="Q150" s="4"/>
      <c r="R150" s="4"/>
      <c r="S150" s="4"/>
      <c r="T150" s="642"/>
      <c r="U150" s="643"/>
      <c r="V150" s="4"/>
      <c r="W150" s="4"/>
      <c r="X150" s="4"/>
    </row>
    <row r="151" spans="1:24" x14ac:dyDescent="0.2">
      <c r="A151" s="110"/>
      <c r="B151" s="114"/>
      <c r="C151" s="4"/>
      <c r="D151" s="4"/>
      <c r="E151" s="4"/>
      <c r="F151" s="4"/>
      <c r="G151" s="4"/>
      <c r="H151" s="635" t="s">
        <v>20</v>
      </c>
      <c r="I151" s="110"/>
      <c r="J151" s="110"/>
      <c r="K151" s="13"/>
      <c r="L151" s="4"/>
      <c r="M151" s="4"/>
      <c r="N151" s="4"/>
      <c r="O151" s="4"/>
      <c r="P151" s="641"/>
      <c r="Q151" s="4"/>
      <c r="R151" s="4"/>
      <c r="S151" s="4"/>
      <c r="T151" s="642"/>
      <c r="U151" s="643"/>
      <c r="V151" s="4"/>
      <c r="W151" s="4"/>
      <c r="X151" s="4"/>
    </row>
    <row r="152" spans="1:24" x14ac:dyDescent="0.2">
      <c r="A152" s="110"/>
      <c r="B152" s="114"/>
      <c r="C152" s="4"/>
      <c r="D152" s="4"/>
      <c r="E152" s="4"/>
      <c r="F152" s="4"/>
      <c r="G152" s="4"/>
      <c r="H152" s="635" t="s">
        <v>20</v>
      </c>
      <c r="I152" s="110"/>
      <c r="J152" s="110"/>
      <c r="K152" s="13"/>
      <c r="L152" s="4"/>
      <c r="M152" s="4"/>
      <c r="N152" s="4"/>
      <c r="O152" s="4"/>
      <c r="P152" s="641"/>
      <c r="Q152" s="4"/>
      <c r="R152" s="4"/>
      <c r="S152" s="4"/>
      <c r="T152" s="642"/>
      <c r="U152" s="643"/>
      <c r="V152" s="4"/>
      <c r="W152" s="4"/>
      <c r="X152" s="4"/>
    </row>
    <row r="153" spans="1:24" x14ac:dyDescent="0.2">
      <c r="A153" s="110"/>
      <c r="B153" s="114"/>
      <c r="C153" s="4"/>
      <c r="D153" s="4"/>
      <c r="E153" s="4"/>
      <c r="F153" s="4"/>
      <c r="G153" s="4"/>
      <c r="H153" s="635" t="s">
        <v>20</v>
      </c>
      <c r="I153" s="110"/>
      <c r="J153" s="110"/>
      <c r="K153" s="13"/>
      <c r="L153" s="4"/>
      <c r="M153" s="4"/>
      <c r="N153" s="4"/>
      <c r="O153" s="4"/>
      <c r="P153" s="641"/>
      <c r="Q153" s="4"/>
      <c r="R153" s="4"/>
      <c r="S153" s="4"/>
      <c r="T153" s="642"/>
      <c r="U153" s="643"/>
      <c r="V153" s="4"/>
      <c r="W153" s="4"/>
      <c r="X153" s="4"/>
    </row>
    <row r="154" spans="1:24" x14ac:dyDescent="0.2">
      <c r="A154" s="110"/>
      <c r="B154" s="114"/>
      <c r="C154" s="4"/>
      <c r="D154" s="4"/>
      <c r="E154" s="4"/>
      <c r="F154" s="4"/>
      <c r="G154" s="4"/>
      <c r="H154" s="635" t="s">
        <v>20</v>
      </c>
      <c r="I154" s="110"/>
      <c r="J154" s="110"/>
      <c r="K154" s="13"/>
      <c r="L154" s="4"/>
      <c r="M154" s="4"/>
      <c r="N154" s="4"/>
      <c r="O154" s="4"/>
      <c r="P154" s="641"/>
      <c r="Q154" s="4"/>
      <c r="R154" s="4"/>
      <c r="S154" s="4"/>
      <c r="T154" s="642"/>
      <c r="U154" s="643"/>
      <c r="V154" s="4"/>
      <c r="W154" s="4"/>
      <c r="X154" s="4"/>
    </row>
    <row r="155" spans="1:24" x14ac:dyDescent="0.2">
      <c r="A155" s="110"/>
      <c r="B155" s="114"/>
      <c r="C155" s="4"/>
      <c r="D155" s="4"/>
      <c r="E155" s="4"/>
      <c r="F155" s="4"/>
      <c r="G155" s="4"/>
      <c r="H155" s="635" t="s">
        <v>20</v>
      </c>
      <c r="I155" s="110"/>
      <c r="J155" s="110"/>
      <c r="K155" s="13"/>
      <c r="L155" s="4"/>
      <c r="M155" s="4"/>
      <c r="N155" s="4"/>
      <c r="O155" s="4"/>
      <c r="P155" s="641"/>
      <c r="Q155" s="4"/>
      <c r="R155" s="4"/>
      <c r="S155" s="4"/>
      <c r="T155" s="642"/>
      <c r="U155" s="643"/>
      <c r="V155" s="4"/>
      <c r="W155" s="4"/>
      <c r="X155" s="4"/>
    </row>
    <row r="156" spans="1:24" x14ac:dyDescent="0.2">
      <c r="A156" s="110"/>
      <c r="B156" s="114"/>
      <c r="C156" s="4"/>
      <c r="D156" s="4"/>
      <c r="E156" s="4"/>
      <c r="F156" s="4"/>
      <c r="G156" s="4"/>
      <c r="H156" s="635" t="s">
        <v>20</v>
      </c>
      <c r="I156" s="110"/>
      <c r="J156" s="110"/>
      <c r="K156" s="13"/>
      <c r="L156" s="4"/>
      <c r="M156" s="4"/>
      <c r="N156" s="4"/>
      <c r="O156" s="4"/>
      <c r="P156" s="641"/>
      <c r="Q156" s="4"/>
      <c r="R156" s="4"/>
      <c r="S156" s="4"/>
      <c r="T156" s="642"/>
      <c r="U156" s="643"/>
      <c r="V156" s="4"/>
      <c r="W156" s="4"/>
      <c r="X156" s="4"/>
    </row>
    <row r="157" spans="1:24" x14ac:dyDescent="0.2">
      <c r="A157" s="110"/>
      <c r="B157" s="114"/>
      <c r="C157" s="4"/>
      <c r="D157" s="4"/>
      <c r="E157" s="4"/>
      <c r="F157" s="4"/>
      <c r="G157" s="4"/>
      <c r="H157" s="635" t="s">
        <v>20</v>
      </c>
      <c r="I157" s="110"/>
      <c r="J157" s="110"/>
      <c r="K157" s="13"/>
      <c r="L157" s="4"/>
      <c r="M157" s="4"/>
      <c r="N157" s="4"/>
      <c r="O157" s="4"/>
      <c r="P157" s="641"/>
      <c r="Q157" s="4"/>
      <c r="R157" s="4"/>
      <c r="S157" s="4"/>
      <c r="T157" s="642"/>
      <c r="U157" s="643"/>
      <c r="V157" s="4"/>
      <c r="W157" s="4"/>
      <c r="X157" s="4"/>
    </row>
    <row r="158" spans="1:24" x14ac:dyDescent="0.2">
      <c r="A158" s="110"/>
      <c r="B158" s="114"/>
      <c r="C158" s="4"/>
      <c r="D158" s="4"/>
      <c r="E158" s="4"/>
      <c r="F158" s="4"/>
      <c r="G158" s="4"/>
      <c r="H158" s="635" t="s">
        <v>20</v>
      </c>
      <c r="I158" s="110"/>
      <c r="J158" s="110"/>
      <c r="K158" s="13"/>
      <c r="L158" s="4"/>
      <c r="M158" s="4"/>
      <c r="N158" s="4"/>
      <c r="O158" s="4"/>
      <c r="P158" s="641"/>
      <c r="Q158" s="4"/>
      <c r="R158" s="4"/>
      <c r="S158" s="4"/>
      <c r="T158" s="642"/>
      <c r="U158" s="643"/>
      <c r="V158" s="4"/>
      <c r="W158" s="4"/>
      <c r="X158" s="4"/>
    </row>
    <row r="159" spans="1:24" x14ac:dyDescent="0.2">
      <c r="A159" s="110"/>
      <c r="B159" s="114"/>
      <c r="C159" s="4"/>
      <c r="D159" s="4"/>
      <c r="E159" s="4"/>
      <c r="F159" s="4"/>
      <c r="G159" s="4"/>
      <c r="H159" s="635" t="s">
        <v>20</v>
      </c>
      <c r="I159" s="110"/>
      <c r="J159" s="110"/>
      <c r="K159" s="13"/>
      <c r="L159" s="4"/>
      <c r="M159" s="4"/>
      <c r="N159" s="4"/>
      <c r="O159" s="4"/>
      <c r="P159" s="641"/>
      <c r="Q159" s="4"/>
      <c r="R159" s="4"/>
      <c r="S159" s="4"/>
      <c r="T159" s="642"/>
      <c r="U159" s="643"/>
      <c r="V159" s="4"/>
      <c r="W159" s="4"/>
      <c r="X159" s="4"/>
    </row>
  </sheetData>
  <autoFilter ref="A9:X159">
    <filterColumn colId="10" showButton="0"/>
    <filterColumn colId="11" showButton="0"/>
    <filterColumn colId="13" showButton="0"/>
    <filterColumn colId="14" showButton="0"/>
    <filterColumn colId="19" showButton="0"/>
    <filterColumn colId="20" showButton="0"/>
    <filterColumn colId="21" showButton="0"/>
  </autoFilter>
  <customSheetViews>
    <customSheetView guid="{2527107E-9D0B-4093-B4A8-CF38BFB15F1C}" showAutoFilter="1">
      <pane ySplit="10" topLeftCell="A11" activePane="bottomLeft" state="frozen"/>
      <selection pane="bottomLeft" activeCell="D6" sqref="D6"/>
      <pageMargins left="0.75" right="0.75" top="1" bottom="1" header="0.5" footer="0.5"/>
      <pageSetup orientation="portrait" r:id="rId1"/>
      <headerFooter alignWithMargins="0"/>
      <autoFilter ref="A9:W31">
        <filterColumn colId="9" showButton="0"/>
        <filterColumn colId="10" showButton="0"/>
        <filterColumn colId="12" showButton="0"/>
        <filterColumn colId="13" showButton="0"/>
        <filterColumn colId="18" showButton="0"/>
        <filterColumn colId="19" showButton="0"/>
        <filterColumn colId="20" showButton="0"/>
      </autoFilter>
    </customSheetView>
    <customSheetView guid="{7D07A65A-63F9-4A71-9039-2DCC2F4ABF4C}" showAutoFilter="1">
      <pane ySplit="10" topLeftCell="A11" activePane="bottomLeft" state="frozen"/>
      <selection pane="bottomLeft" activeCell="I24" sqref="I24"/>
      <pageMargins left="0.75" right="0.75" top="1" bottom="1" header="0.5" footer="0.5"/>
      <pageSetup orientation="portrait" r:id="rId2"/>
      <headerFooter alignWithMargins="0"/>
      <autoFilter ref="A9:W32">
        <filterColumn colId="9" showButton="0"/>
        <filterColumn colId="10" showButton="0"/>
        <filterColumn colId="12" showButton="0"/>
        <filterColumn colId="13" showButton="0"/>
        <filterColumn colId="18" showButton="0"/>
        <filterColumn colId="19" showButton="0"/>
        <filterColumn colId="20" showButton="0"/>
      </autoFilter>
    </customSheetView>
    <customSheetView guid="{ADE400F8-D95C-46BC-A44D-BCC9A4530169}" showAutoFilter="1">
      <pane ySplit="10" topLeftCell="A11" activePane="bottomLeft" state="frozen"/>
      <selection pane="bottomLeft" activeCell="I24" sqref="I24"/>
      <pageMargins left="0.75" right="0.75" top="1" bottom="1" header="0.5" footer="0.5"/>
      <pageSetup orientation="portrait" r:id="rId3"/>
      <headerFooter alignWithMargins="0"/>
      <autoFilter ref="A9:W32">
        <filterColumn colId="9" showButton="0"/>
        <filterColumn colId="10" showButton="0"/>
        <filterColumn colId="12" showButton="0"/>
        <filterColumn colId="13" showButton="0"/>
        <filterColumn colId="18" showButton="0"/>
        <filterColumn colId="19" showButton="0"/>
        <filterColumn colId="20" showButton="0"/>
      </autoFilter>
    </customSheetView>
    <customSheetView guid="{8D8F9819-0E72-417A-908C-B5A8F0F23F34}" showAutoFilter="1">
      <pane ySplit="10" topLeftCell="A11" activePane="bottomLeft" state="frozen"/>
      <selection pane="bottomLeft" activeCell="D6" sqref="D6"/>
      <pageMargins left="0.75" right="0.75" top="1" bottom="1" header="0.5" footer="0.5"/>
      <pageSetup orientation="portrait" r:id="rId4"/>
      <headerFooter alignWithMargins="0"/>
      <autoFilter ref="A9:W40">
        <filterColumn colId="9" showButton="0"/>
        <filterColumn colId="10" showButton="0"/>
        <filterColumn colId="12" showButton="0"/>
        <filterColumn colId="13" showButton="0"/>
        <filterColumn colId="18" showButton="0"/>
        <filterColumn colId="19" showButton="0"/>
        <filterColumn colId="20" showButton="0"/>
      </autoFilter>
    </customSheetView>
  </customSheetViews>
  <mergeCells count="7">
    <mergeCell ref="T9:W9"/>
    <mergeCell ref="X9:X10"/>
    <mergeCell ref="E9:E10"/>
    <mergeCell ref="K9:M9"/>
    <mergeCell ref="N9:P9"/>
    <mergeCell ref="R9:R10"/>
    <mergeCell ref="S9:S10"/>
  </mergeCells>
  <printOptions horizontalCentered="1"/>
  <pageMargins left="0.15748031496062992" right="0" top="0.15748031496062992" bottom="0" header="0" footer="0"/>
  <pageSetup scale="65" pageOrder="overThenDown" orientation="landscape" horizontalDpi="300" verticalDpi="300" r:id="rId5"/>
  <headerFooter alignWithMargins="0"/>
  <drawing r:id="rId6"/>
  <legacyDrawing r:id="rId7"/>
  <controls>
    <mc:AlternateContent xmlns:mc="http://schemas.openxmlformats.org/markup-compatibility/2006">
      <mc:Choice Requires="x14">
        <control shapeId="24579" r:id="rId8" name="CommandButton1402">
          <controlPr defaultSize="0" autoLine="0" autoPict="0" r:id="rId9">
            <anchor moveWithCells="1">
              <from>
                <xdr:col>7</xdr:col>
                <xdr:colOff>19050</xdr:colOff>
                <xdr:row>1</xdr:row>
                <xdr:rowOff>19050</xdr:rowOff>
              </from>
              <to>
                <xdr:col>8</xdr:col>
                <xdr:colOff>1114425</xdr:colOff>
                <xdr:row>3</xdr:row>
                <xdr:rowOff>161925</xdr:rowOff>
              </to>
            </anchor>
          </controlPr>
        </control>
      </mc:Choice>
      <mc:Fallback>
        <control shapeId="24579" r:id="rId8" name="CommandButton1402"/>
      </mc:Fallback>
    </mc:AlternateContent>
    <mc:AlternateContent xmlns:mc="http://schemas.openxmlformats.org/markup-compatibility/2006">
      <mc:Choice Requires="x14">
        <control shapeId="24578" r:id="rId10" name="CommandButton1403">
          <controlPr defaultSize="0" autoLine="0" r:id="rId11">
            <anchor moveWithCells="1">
              <from>
                <xdr:col>12</xdr:col>
                <xdr:colOff>9525</xdr:colOff>
                <xdr:row>1</xdr:row>
                <xdr:rowOff>0</xdr:rowOff>
              </from>
              <to>
                <xdr:col>14</xdr:col>
                <xdr:colOff>28575</xdr:colOff>
                <xdr:row>3</xdr:row>
                <xdr:rowOff>152400</xdr:rowOff>
              </to>
            </anchor>
          </controlPr>
        </control>
      </mc:Choice>
      <mc:Fallback>
        <control shapeId="24578" r:id="rId10" name="CommandButton1403"/>
      </mc:Fallback>
    </mc:AlternateContent>
    <mc:AlternateContent xmlns:mc="http://schemas.openxmlformats.org/markup-compatibility/2006">
      <mc:Choice Requires="x14">
        <control shapeId="24577" r:id="rId12" name="CommandButton1401">
          <controlPr defaultSize="0" autoLine="0" autoPict="0" r:id="rId13">
            <anchor moveWithCells="1">
              <from>
                <xdr:col>0</xdr:col>
                <xdr:colOff>0</xdr:colOff>
                <xdr:row>1</xdr:row>
                <xdr:rowOff>19050</xdr:rowOff>
              </from>
              <to>
                <xdr:col>2</xdr:col>
                <xdr:colOff>552450</xdr:colOff>
                <xdr:row>3</xdr:row>
                <xdr:rowOff>161925</xdr:rowOff>
              </to>
            </anchor>
          </controlPr>
        </control>
      </mc:Choice>
      <mc:Fallback>
        <control shapeId="24577" r:id="rId12" name="CommandButton140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82"/>
  <sheetViews>
    <sheetView workbookViewId="0">
      <pane ySplit="10" topLeftCell="A11" activePane="bottomLeft" state="frozen"/>
      <selection pane="bottomLeft" activeCell="B40" sqref="B40"/>
    </sheetView>
  </sheetViews>
  <sheetFormatPr defaultRowHeight="12.75" x14ac:dyDescent="0.2"/>
  <cols>
    <col min="1" max="1" width="6.28515625" customWidth="1"/>
    <col min="2" max="2" width="17.28515625" customWidth="1"/>
    <col min="3" max="3" width="19.5703125" customWidth="1"/>
    <col min="4" max="4" width="15.5703125" customWidth="1"/>
    <col min="5" max="10" width="10.7109375" customWidth="1"/>
    <col min="11" max="11" width="9.28515625" customWidth="1"/>
    <col min="12" max="14" width="7.7109375" customWidth="1"/>
    <col min="15" max="15" width="12.5703125" customWidth="1"/>
    <col min="16" max="16" width="8.7109375" customWidth="1"/>
    <col min="17" max="17" width="7.7109375" customWidth="1"/>
    <col min="18" max="18" width="9.5703125" customWidth="1"/>
  </cols>
  <sheetData>
    <row r="1" spans="1:24" x14ac:dyDescent="0.2">
      <c r="A1" s="1">
        <v>1</v>
      </c>
      <c r="B1" s="1">
        <v>2</v>
      </c>
      <c r="C1" s="1">
        <v>3</v>
      </c>
      <c r="D1" s="1">
        <v>4</v>
      </c>
      <c r="E1" s="1">
        <v>5</v>
      </c>
      <c r="F1" s="1">
        <v>6</v>
      </c>
      <c r="G1" s="1">
        <v>7</v>
      </c>
      <c r="H1" s="1">
        <v>8</v>
      </c>
      <c r="I1" s="1">
        <v>9</v>
      </c>
      <c r="J1" s="1">
        <v>10</v>
      </c>
      <c r="K1" s="1">
        <v>11</v>
      </c>
      <c r="L1" s="1">
        <v>12</v>
      </c>
      <c r="M1" s="1">
        <v>13</v>
      </c>
      <c r="N1" s="1">
        <v>14</v>
      </c>
      <c r="O1" s="1">
        <v>15</v>
      </c>
      <c r="P1" s="1">
        <v>16</v>
      </c>
      <c r="Q1" s="1">
        <v>17</v>
      </c>
      <c r="R1" s="1">
        <v>18</v>
      </c>
    </row>
    <row r="2" spans="1:24" x14ac:dyDescent="0.2">
      <c r="O2" s="118" t="s">
        <v>142</v>
      </c>
      <c r="P2" s="12"/>
    </row>
    <row r="3" spans="1:24" x14ac:dyDescent="0.2">
      <c r="O3" s="118" t="s">
        <v>143</v>
      </c>
      <c r="P3" s="12"/>
    </row>
    <row r="4" spans="1:24" ht="11.25" customHeight="1" thickBot="1" x14ac:dyDescent="0.25">
      <c r="O4" s="118" t="s">
        <v>145</v>
      </c>
      <c r="P4" s="12" t="s">
        <v>147</v>
      </c>
    </row>
    <row r="5" spans="1:24" ht="13.5" thickBot="1" x14ac:dyDescent="0.25">
      <c r="C5" s="48" t="s">
        <v>136</v>
      </c>
      <c r="D5" s="113" t="s">
        <v>157</v>
      </c>
      <c r="G5" s="109" t="s">
        <v>155</v>
      </c>
      <c r="O5" s="118" t="s">
        <v>145</v>
      </c>
      <c r="P5" s="12" t="s">
        <v>148</v>
      </c>
    </row>
    <row r="6" spans="1:24" ht="10.5" customHeight="1" x14ac:dyDescent="0.2">
      <c r="C6" s="46"/>
      <c r="O6" s="118" t="s">
        <v>145</v>
      </c>
      <c r="P6" s="12" t="s">
        <v>149</v>
      </c>
    </row>
    <row r="7" spans="1:24" x14ac:dyDescent="0.2">
      <c r="C7" s="46"/>
      <c r="O7" s="118" t="s">
        <v>67</v>
      </c>
      <c r="P7" s="12" t="s">
        <v>154</v>
      </c>
    </row>
    <row r="8" spans="1:24" ht="13.5" thickBot="1" x14ac:dyDescent="0.25">
      <c r="C8" s="46"/>
      <c r="J8" s="5"/>
      <c r="K8" s="6"/>
    </row>
    <row r="9" spans="1:24" ht="13.5" thickBot="1" x14ac:dyDescent="0.25">
      <c r="A9" s="14" t="s">
        <v>21</v>
      </c>
      <c r="B9" s="101" t="s">
        <v>0</v>
      </c>
      <c r="C9" s="879" t="s">
        <v>16</v>
      </c>
      <c r="D9" s="15" t="s">
        <v>55</v>
      </c>
      <c r="E9" s="103" t="s">
        <v>24</v>
      </c>
      <c r="F9" s="104" t="s">
        <v>25</v>
      </c>
      <c r="G9" s="16" t="s">
        <v>26</v>
      </c>
      <c r="H9" s="56" t="s">
        <v>134</v>
      </c>
      <c r="I9" s="54" t="s">
        <v>135</v>
      </c>
      <c r="J9" s="107" t="s">
        <v>56</v>
      </c>
      <c r="K9" s="886" t="s">
        <v>29</v>
      </c>
      <c r="L9" s="877" t="s">
        <v>57</v>
      </c>
      <c r="M9" s="888" t="s">
        <v>30</v>
      </c>
      <c r="N9" s="889"/>
      <c r="O9" s="889"/>
      <c r="P9" s="889"/>
      <c r="Q9" s="890"/>
      <c r="R9" s="877" t="s">
        <v>58</v>
      </c>
    </row>
    <row r="10" spans="1:24" ht="24.75" thickBot="1" x14ac:dyDescent="0.25">
      <c r="A10" s="18" t="s">
        <v>31</v>
      </c>
      <c r="B10" s="102" t="s">
        <v>32</v>
      </c>
      <c r="C10" s="880"/>
      <c r="D10" s="19" t="s">
        <v>59</v>
      </c>
      <c r="E10" s="105" t="s">
        <v>21</v>
      </c>
      <c r="F10" s="106" t="s">
        <v>21</v>
      </c>
      <c r="G10" s="20" t="s">
        <v>21</v>
      </c>
      <c r="H10" s="23" t="s">
        <v>37</v>
      </c>
      <c r="I10" s="119" t="s">
        <v>37</v>
      </c>
      <c r="J10" s="111" t="s">
        <v>38</v>
      </c>
      <c r="K10" s="887"/>
      <c r="L10" s="887"/>
      <c r="M10" s="115" t="s">
        <v>39</v>
      </c>
      <c r="N10" s="116" t="s">
        <v>40</v>
      </c>
      <c r="O10" s="108" t="s">
        <v>73</v>
      </c>
      <c r="P10" s="175" t="s">
        <v>182</v>
      </c>
      <c r="Q10" s="55" t="s">
        <v>60</v>
      </c>
      <c r="R10" s="878"/>
    </row>
    <row r="11" spans="1:24" s="186" customFormat="1" ht="15.75" x14ac:dyDescent="0.25">
      <c r="A11" s="164"/>
      <c r="B11" s="189"/>
      <c r="C11" s="169"/>
      <c r="D11" s="165"/>
      <c r="E11" s="170" t="s">
        <v>20</v>
      </c>
      <c r="F11" s="170" t="s">
        <v>20</v>
      </c>
      <c r="G11" s="168"/>
      <c r="H11" s="166"/>
      <c r="I11" s="168"/>
      <c r="J11" s="190"/>
      <c r="K11" s="190"/>
      <c r="L11" s="185"/>
      <c r="M11" s="167"/>
      <c r="N11" s="172"/>
      <c r="O11" s="118"/>
      <c r="P11" s="12"/>
      <c r="Q11" s="171"/>
      <c r="R11" s="185"/>
      <c r="S11" s="167"/>
      <c r="T11" s="173"/>
      <c r="U11" s="172"/>
      <c r="V11" s="172"/>
      <c r="W11" s="172"/>
      <c r="X11" s="174"/>
    </row>
    <row r="12" spans="1:24" s="186" customFormat="1" ht="15.75" x14ac:dyDescent="0.25">
      <c r="A12" s="164"/>
      <c r="B12" s="189"/>
      <c r="C12" s="169"/>
      <c r="D12" s="165"/>
      <c r="E12" s="170" t="s">
        <v>20</v>
      </c>
      <c r="F12" s="170" t="s">
        <v>20</v>
      </c>
      <c r="G12" s="168"/>
      <c r="H12" s="166"/>
      <c r="I12" s="168"/>
      <c r="J12" s="190"/>
      <c r="K12" s="190"/>
      <c r="L12" s="185"/>
      <c r="M12" s="167"/>
      <c r="N12" s="172"/>
      <c r="O12" s="118"/>
      <c r="P12" s="12"/>
      <c r="Q12" s="171"/>
      <c r="R12" s="185"/>
      <c r="S12" s="167"/>
      <c r="T12" s="173"/>
      <c r="U12" s="172"/>
      <c r="V12" s="172"/>
      <c r="W12" s="172"/>
      <c r="X12" s="174"/>
    </row>
    <row r="13" spans="1:24" s="186" customFormat="1" ht="15.75" x14ac:dyDescent="0.25">
      <c r="A13" s="164"/>
      <c r="B13" s="189"/>
      <c r="C13" s="169"/>
      <c r="D13" s="165"/>
      <c r="E13" s="170" t="s">
        <v>20</v>
      </c>
      <c r="F13" s="170" t="s">
        <v>20</v>
      </c>
      <c r="G13" s="168"/>
      <c r="H13" s="166"/>
      <c r="I13" s="168"/>
      <c r="J13" s="190"/>
      <c r="K13" s="190"/>
      <c r="L13" s="185"/>
      <c r="M13" s="167"/>
      <c r="N13" s="172"/>
      <c r="O13" s="118"/>
      <c r="P13" s="12"/>
      <c r="Q13" s="171"/>
      <c r="R13" s="185"/>
      <c r="S13" s="167"/>
      <c r="T13" s="173"/>
      <c r="U13" s="172"/>
      <c r="V13" s="172"/>
      <c r="W13" s="172"/>
      <c r="X13" s="174"/>
    </row>
    <row r="14" spans="1:24" s="186" customFormat="1" ht="14.25" x14ac:dyDescent="0.2">
      <c r="A14" s="184"/>
      <c r="B14" s="178"/>
      <c r="C14" s="176"/>
      <c r="D14" s="176"/>
      <c r="E14" s="179" t="s">
        <v>20</v>
      </c>
      <c r="F14" s="179" t="s">
        <v>20</v>
      </c>
      <c r="G14" s="177"/>
      <c r="H14" s="177"/>
      <c r="I14" s="181"/>
      <c r="J14" s="180"/>
      <c r="K14" s="180"/>
      <c r="L14" s="176"/>
      <c r="M14" s="182"/>
      <c r="N14" s="183"/>
      <c r="O14" s="118"/>
      <c r="P14" s="12"/>
      <c r="Q14" s="177"/>
      <c r="R14" s="177"/>
      <c r="S14" s="183"/>
      <c r="T14" s="177"/>
      <c r="U14" s="188"/>
      <c r="V14" s="188"/>
      <c r="W14" s="187"/>
      <c r="X14" s="187"/>
    </row>
    <row r="15" spans="1:24" s="186" customFormat="1" ht="14.25" x14ac:dyDescent="0.2">
      <c r="A15" s="184"/>
      <c r="B15" s="178"/>
      <c r="C15" s="176"/>
      <c r="D15" s="176"/>
      <c r="E15" s="179" t="s">
        <v>20</v>
      </c>
      <c r="F15" s="179" t="s">
        <v>20</v>
      </c>
      <c r="G15" s="177"/>
      <c r="H15" s="177"/>
      <c r="I15" s="181"/>
      <c r="J15" s="180"/>
      <c r="K15" s="180"/>
      <c r="L15" s="176"/>
      <c r="M15" s="182"/>
      <c r="N15" s="183"/>
      <c r="O15" s="118"/>
      <c r="P15" s="12"/>
      <c r="Q15" s="177"/>
      <c r="R15" s="177"/>
      <c r="S15" s="183"/>
      <c r="T15" s="177"/>
      <c r="U15" s="188"/>
      <c r="V15" s="188"/>
      <c r="W15" s="187"/>
      <c r="X15" s="187"/>
    </row>
    <row r="16" spans="1:24" s="186" customFormat="1" ht="14.25" x14ac:dyDescent="0.2">
      <c r="A16" s="184"/>
      <c r="B16" s="178"/>
      <c r="C16" s="176"/>
      <c r="D16" s="176"/>
      <c r="E16" s="179" t="s">
        <v>20</v>
      </c>
      <c r="F16" s="177"/>
      <c r="G16" s="177"/>
      <c r="H16" s="177"/>
      <c r="I16" s="181"/>
      <c r="J16" s="180"/>
      <c r="K16" s="180"/>
      <c r="L16" s="176"/>
      <c r="M16" s="182"/>
      <c r="N16" s="183"/>
      <c r="O16" s="118"/>
      <c r="P16" s="12"/>
      <c r="Q16" s="177"/>
      <c r="R16" s="177"/>
      <c r="S16" s="183"/>
      <c r="T16" s="177"/>
      <c r="U16" s="188"/>
      <c r="V16" s="188"/>
      <c r="W16" s="187"/>
      <c r="X16" s="187"/>
    </row>
    <row r="17" spans="1:24" s="186" customFormat="1" ht="14.25" x14ac:dyDescent="0.2">
      <c r="A17" s="184"/>
      <c r="B17" s="178"/>
      <c r="C17" s="176"/>
      <c r="D17" s="176"/>
      <c r="E17" s="179" t="s">
        <v>20</v>
      </c>
      <c r="F17" s="177"/>
      <c r="G17" s="177"/>
      <c r="H17" s="177"/>
      <c r="I17" s="181"/>
      <c r="J17" s="180"/>
      <c r="K17" s="180"/>
      <c r="L17" s="176"/>
      <c r="M17" s="182"/>
      <c r="N17" s="183"/>
      <c r="O17" s="118"/>
      <c r="P17" s="12"/>
      <c r="Q17" s="177"/>
      <c r="R17" s="177"/>
      <c r="S17" s="183"/>
      <c r="T17" s="177"/>
      <c r="U17" s="188"/>
      <c r="V17" s="188"/>
      <c r="W17" s="187"/>
      <c r="X17" s="187"/>
    </row>
    <row r="18" spans="1:24" s="186" customFormat="1" ht="14.25" x14ac:dyDescent="0.2">
      <c r="A18" s="184"/>
      <c r="B18" s="178"/>
      <c r="C18" s="176"/>
      <c r="D18" s="176"/>
      <c r="E18" s="179" t="s">
        <v>20</v>
      </c>
      <c r="F18" s="177"/>
      <c r="G18" s="177"/>
      <c r="H18" s="177"/>
      <c r="I18" s="181"/>
      <c r="J18" s="180"/>
      <c r="K18" s="180"/>
      <c r="L18" s="176"/>
      <c r="M18" s="182"/>
      <c r="N18" s="183"/>
      <c r="O18" s="118"/>
      <c r="P18" s="12"/>
      <c r="Q18" s="177"/>
      <c r="R18" s="177"/>
      <c r="S18" s="183"/>
      <c r="T18" s="177"/>
      <c r="U18" s="188"/>
      <c r="V18" s="188"/>
      <c r="W18" s="187"/>
      <c r="X18" s="187"/>
    </row>
    <row r="19" spans="1:24" s="186" customFormat="1" ht="14.25" x14ac:dyDescent="0.2">
      <c r="A19" s="184"/>
      <c r="B19" s="178"/>
      <c r="C19" s="176"/>
      <c r="D19" s="176"/>
      <c r="E19" s="179" t="s">
        <v>20</v>
      </c>
      <c r="F19" s="177"/>
      <c r="G19" s="177"/>
      <c r="H19" s="177"/>
      <c r="I19" s="181"/>
      <c r="J19" s="180"/>
      <c r="K19" s="180"/>
      <c r="L19" s="176"/>
      <c r="M19" s="182"/>
      <c r="N19" s="183"/>
      <c r="O19" s="118"/>
      <c r="P19" s="12"/>
      <c r="Q19" s="177"/>
      <c r="R19" s="177"/>
      <c r="S19" s="183"/>
      <c r="T19" s="177"/>
      <c r="U19" s="188"/>
      <c r="V19" s="188"/>
      <c r="W19" s="187"/>
      <c r="X19" s="187"/>
    </row>
    <row r="20" spans="1:24" s="154" customFormat="1" ht="14.25" x14ac:dyDescent="0.2">
      <c r="A20" s="184"/>
      <c r="B20" s="178"/>
      <c r="C20" s="176"/>
      <c r="D20" s="176"/>
      <c r="E20" s="179" t="s">
        <v>20</v>
      </c>
      <c r="F20" s="177"/>
      <c r="G20" s="177"/>
      <c r="H20" s="177"/>
      <c r="I20" s="181"/>
      <c r="J20" s="180"/>
      <c r="K20" s="180"/>
      <c r="L20" s="176"/>
      <c r="M20" s="182"/>
      <c r="N20" s="183"/>
      <c r="O20" s="118"/>
      <c r="P20" s="12"/>
      <c r="Q20" s="177"/>
      <c r="R20" s="177"/>
      <c r="S20" s="183"/>
      <c r="T20" s="177"/>
      <c r="U20" s="4"/>
      <c r="V20" s="4"/>
      <c r="W20" s="4"/>
      <c r="X20" s="4"/>
    </row>
    <row r="21" spans="1:24" ht="14.25" x14ac:dyDescent="0.2">
      <c r="A21" s="176"/>
      <c r="B21" s="178"/>
      <c r="C21" s="176"/>
      <c r="D21" s="176"/>
      <c r="E21" s="179" t="s">
        <v>20</v>
      </c>
      <c r="F21" s="177"/>
      <c r="G21" s="177"/>
      <c r="H21" s="180"/>
      <c r="I21" s="181"/>
      <c r="J21" s="180"/>
      <c r="K21" s="181"/>
      <c r="L21" s="176"/>
      <c r="M21" s="182"/>
      <c r="N21" s="183"/>
      <c r="O21" s="118"/>
      <c r="P21" s="12"/>
      <c r="Q21" s="177"/>
      <c r="R21" s="183"/>
      <c r="S21" s="177"/>
      <c r="T21" s="4"/>
      <c r="U21" s="4"/>
      <c r="V21" s="4"/>
      <c r="W21" s="4"/>
      <c r="X21" s="4"/>
    </row>
    <row r="22" spans="1:24" ht="14.25" x14ac:dyDescent="0.2">
      <c r="A22" s="176"/>
      <c r="B22" s="178"/>
      <c r="C22" s="176"/>
      <c r="D22" s="176"/>
      <c r="E22" s="179" t="s">
        <v>20</v>
      </c>
      <c r="F22" s="177"/>
      <c r="G22" s="177"/>
      <c r="H22" s="180"/>
      <c r="I22" s="181"/>
      <c r="J22" s="180"/>
      <c r="K22" s="181"/>
      <c r="L22" s="176"/>
      <c r="M22" s="182"/>
      <c r="N22" s="183"/>
      <c r="O22" s="118"/>
      <c r="P22" s="12"/>
      <c r="Q22" s="177"/>
      <c r="R22" s="183"/>
      <c r="S22" s="177"/>
      <c r="T22" s="4"/>
      <c r="U22" s="4"/>
      <c r="V22" s="4"/>
      <c r="W22" s="4"/>
      <c r="X22" s="4"/>
    </row>
    <row r="23" spans="1:24" ht="14.25" x14ac:dyDescent="0.2">
      <c r="A23" s="176"/>
      <c r="B23" s="178"/>
      <c r="C23" s="176"/>
      <c r="D23" s="176"/>
      <c r="E23" s="179" t="s">
        <v>20</v>
      </c>
      <c r="F23" s="177"/>
      <c r="G23" s="177"/>
      <c r="H23" s="180"/>
      <c r="I23" s="181"/>
      <c r="J23" s="180"/>
      <c r="K23" s="181"/>
      <c r="L23" s="176"/>
      <c r="M23" s="182"/>
      <c r="N23" s="183"/>
      <c r="O23" s="118"/>
      <c r="P23" s="12"/>
      <c r="Q23" s="177"/>
      <c r="R23" s="183"/>
      <c r="S23" s="177"/>
      <c r="T23" s="4"/>
      <c r="U23" s="4"/>
      <c r="V23" s="4"/>
      <c r="W23" s="4"/>
      <c r="X23" s="4"/>
    </row>
    <row r="24" spans="1:24" s="154" customFormat="1" ht="14.25" x14ac:dyDescent="0.2">
      <c r="A24" s="176"/>
      <c r="B24" s="178"/>
      <c r="C24" s="176"/>
      <c r="D24" s="176"/>
      <c r="E24" s="179" t="s">
        <v>20</v>
      </c>
      <c r="F24" s="177"/>
      <c r="G24" s="177"/>
      <c r="H24" s="180"/>
      <c r="I24" s="181"/>
      <c r="J24" s="180"/>
      <c r="K24" s="181"/>
      <c r="L24" s="176"/>
      <c r="M24" s="182"/>
      <c r="N24" s="183"/>
      <c r="O24" s="118"/>
      <c r="P24" s="12"/>
      <c r="Q24" s="177"/>
      <c r="R24" s="183"/>
      <c r="S24" s="177"/>
      <c r="T24" s="4"/>
      <c r="U24" s="4"/>
      <c r="V24" s="4"/>
      <c r="W24" s="4"/>
      <c r="X24" s="4"/>
    </row>
    <row r="25" spans="1:24" s="154" customFormat="1" ht="14.25" x14ac:dyDescent="0.2">
      <c r="A25" s="176"/>
      <c r="B25" s="178"/>
      <c r="C25" s="176"/>
      <c r="D25" s="176"/>
      <c r="E25" s="179" t="s">
        <v>20</v>
      </c>
      <c r="F25" s="177"/>
      <c r="G25" s="177"/>
      <c r="H25" s="180"/>
      <c r="I25" s="181"/>
      <c r="J25" s="180"/>
      <c r="K25" s="181"/>
      <c r="L25" s="176"/>
      <c r="M25" s="182"/>
      <c r="N25" s="183"/>
      <c r="O25" s="118"/>
      <c r="P25" s="12"/>
      <c r="Q25" s="177"/>
      <c r="R25" s="183"/>
      <c r="S25" s="177"/>
      <c r="T25" s="4"/>
      <c r="U25" s="4"/>
      <c r="V25" s="4"/>
      <c r="W25" s="4"/>
      <c r="X25" s="4"/>
    </row>
    <row r="26" spans="1:24" s="154" customFormat="1" ht="14.25" x14ac:dyDescent="0.2">
      <c r="A26" s="176"/>
      <c r="B26" s="178"/>
      <c r="C26" s="176"/>
      <c r="D26" s="176"/>
      <c r="E26" s="179" t="s">
        <v>20</v>
      </c>
      <c r="F26" s="177"/>
      <c r="G26" s="177"/>
      <c r="H26" s="180"/>
      <c r="I26" s="181"/>
      <c r="J26" s="180"/>
      <c r="K26" s="181"/>
      <c r="L26" s="176"/>
      <c r="M26" s="182"/>
      <c r="N26" s="183"/>
      <c r="O26" s="118"/>
      <c r="P26" s="12"/>
      <c r="Q26" s="177"/>
      <c r="R26" s="183"/>
      <c r="S26" s="177"/>
      <c r="T26" s="4"/>
      <c r="U26" s="4"/>
      <c r="V26" s="4"/>
      <c r="W26" s="4"/>
      <c r="X26" s="4"/>
    </row>
    <row r="27" spans="1:24" ht="14.25" x14ac:dyDescent="0.2">
      <c r="A27" s="176"/>
      <c r="B27" s="178"/>
      <c r="C27" s="176"/>
      <c r="D27" s="176"/>
      <c r="E27" s="179" t="s">
        <v>20</v>
      </c>
      <c r="F27" s="177"/>
      <c r="G27" s="177"/>
      <c r="H27" s="180"/>
      <c r="I27" s="181"/>
      <c r="J27" s="180"/>
      <c r="K27" s="181"/>
      <c r="L27" s="176"/>
      <c r="M27" s="182"/>
      <c r="N27" s="183"/>
      <c r="O27" s="118"/>
      <c r="P27" s="12"/>
      <c r="Q27" s="177"/>
      <c r="R27" s="183"/>
      <c r="S27" s="177"/>
      <c r="T27" s="4"/>
      <c r="U27" s="4"/>
      <c r="V27" s="4"/>
      <c r="W27" s="4"/>
      <c r="X27" s="4"/>
    </row>
    <row r="28" spans="1:24" ht="14.25" x14ac:dyDescent="0.2">
      <c r="A28" s="176"/>
      <c r="B28" s="178"/>
      <c r="C28" s="176"/>
      <c r="D28" s="176"/>
      <c r="E28" s="179" t="s">
        <v>20</v>
      </c>
      <c r="F28" s="177"/>
      <c r="G28" s="177"/>
      <c r="H28" s="180"/>
      <c r="I28" s="181"/>
      <c r="J28" s="180"/>
      <c r="K28" s="181"/>
      <c r="L28" s="176"/>
      <c r="M28" s="182"/>
      <c r="N28" s="183"/>
      <c r="O28" s="118"/>
      <c r="P28" s="12"/>
      <c r="Q28" s="177"/>
      <c r="R28" s="183"/>
      <c r="S28" s="177"/>
      <c r="T28" s="4"/>
      <c r="U28" s="4"/>
      <c r="V28" s="4"/>
      <c r="W28" s="4"/>
      <c r="X28" s="4"/>
    </row>
    <row r="29" spans="1:24" ht="14.25" x14ac:dyDescent="0.2">
      <c r="A29" s="157"/>
      <c r="B29" s="159"/>
      <c r="C29" s="156"/>
      <c r="D29" s="160"/>
      <c r="E29" s="156"/>
      <c r="F29" s="156"/>
      <c r="G29" s="156"/>
      <c r="H29" s="158"/>
      <c r="I29" s="158"/>
      <c r="J29" s="158"/>
      <c r="K29" s="161"/>
      <c r="L29" s="162"/>
      <c r="M29" s="163"/>
      <c r="N29" s="156"/>
      <c r="O29" s="118"/>
      <c r="P29" s="12"/>
      <c r="Q29" s="155"/>
      <c r="R29" s="4"/>
      <c r="S29" s="4"/>
      <c r="T29" s="4"/>
      <c r="U29" s="4"/>
      <c r="V29" s="4"/>
      <c r="W29" s="4"/>
      <c r="X29" s="4"/>
    </row>
    <row r="30" spans="1:24" ht="14.25" x14ac:dyDescent="0.2">
      <c r="A30" s="157"/>
      <c r="B30" s="159"/>
      <c r="C30" s="156"/>
      <c r="D30" s="160"/>
      <c r="E30" s="156"/>
      <c r="F30" s="156"/>
      <c r="G30" s="156"/>
      <c r="H30" s="158"/>
      <c r="I30" s="158"/>
      <c r="J30" s="158"/>
      <c r="K30" s="161"/>
      <c r="L30" s="162"/>
      <c r="M30" s="163"/>
      <c r="N30" s="156"/>
      <c r="O30" s="118"/>
      <c r="P30" s="12"/>
      <c r="Q30" s="155"/>
      <c r="R30" s="4"/>
      <c r="S30" s="4"/>
      <c r="T30" s="4"/>
      <c r="U30" s="4"/>
      <c r="V30" s="4"/>
      <c r="W30" s="4"/>
      <c r="X30" s="4"/>
    </row>
    <row r="31" spans="1:24" ht="14.25" x14ac:dyDescent="0.2">
      <c r="A31" s="157"/>
      <c r="B31" s="159"/>
      <c r="C31" s="156"/>
      <c r="D31" s="160"/>
      <c r="E31" s="156"/>
      <c r="F31" s="156"/>
      <c r="G31" s="156"/>
      <c r="H31" s="158"/>
      <c r="I31" s="158"/>
      <c r="J31" s="158"/>
      <c r="K31" s="161"/>
      <c r="L31" s="162"/>
      <c r="M31" s="163"/>
      <c r="N31" s="156"/>
      <c r="O31" s="118"/>
      <c r="P31" s="12"/>
      <c r="Q31" s="155"/>
      <c r="R31" s="4"/>
      <c r="S31" s="4"/>
      <c r="T31" s="4"/>
      <c r="U31" s="4"/>
      <c r="V31" s="4"/>
      <c r="W31" s="4"/>
      <c r="X31" s="4"/>
    </row>
    <row r="32" spans="1:24" ht="14.25" x14ac:dyDescent="0.2">
      <c r="A32" s="157"/>
      <c r="B32" s="159"/>
      <c r="C32" s="156"/>
      <c r="D32" s="160"/>
      <c r="E32" s="156"/>
      <c r="F32" s="156"/>
      <c r="G32" s="156"/>
      <c r="H32" s="158"/>
      <c r="I32" s="158"/>
      <c r="J32" s="158"/>
      <c r="K32" s="161"/>
      <c r="L32" s="162"/>
      <c r="M32" s="163"/>
      <c r="N32" s="156"/>
      <c r="O32" s="118"/>
      <c r="P32" s="12"/>
      <c r="Q32" s="155"/>
      <c r="R32" s="4"/>
      <c r="S32" s="4"/>
      <c r="T32" s="4"/>
      <c r="U32" s="4"/>
      <c r="V32" s="4"/>
      <c r="W32" s="4"/>
      <c r="X32" s="4"/>
    </row>
    <row r="33" spans="1:24" ht="14.25" x14ac:dyDescent="0.2">
      <c r="A33" s="157"/>
      <c r="B33" s="159"/>
      <c r="C33" s="156"/>
      <c r="D33" s="160"/>
      <c r="E33" s="156"/>
      <c r="F33" s="156"/>
      <c r="G33" s="156"/>
      <c r="H33" s="158"/>
      <c r="I33" s="158"/>
      <c r="J33" s="158"/>
      <c r="K33" s="161"/>
      <c r="L33" s="162"/>
      <c r="M33" s="163"/>
      <c r="N33" s="156"/>
      <c r="O33" s="118"/>
      <c r="P33" s="12"/>
      <c r="Q33" s="155"/>
      <c r="R33" s="4"/>
      <c r="S33" s="4"/>
      <c r="T33" s="4"/>
      <c r="U33" s="4"/>
      <c r="V33" s="4"/>
      <c r="W33" s="4"/>
      <c r="X33" s="4"/>
    </row>
    <row r="34" spans="1:24" ht="14.25" x14ac:dyDescent="0.2">
      <c r="A34" s="157"/>
      <c r="B34" s="159"/>
      <c r="C34" s="156"/>
      <c r="D34" s="160"/>
      <c r="E34" s="156"/>
      <c r="F34" s="156"/>
      <c r="G34" s="156"/>
      <c r="H34" s="158"/>
      <c r="I34" s="158"/>
      <c r="J34" s="158"/>
      <c r="K34" s="161"/>
      <c r="L34" s="162"/>
      <c r="M34" s="163"/>
      <c r="N34" s="156"/>
      <c r="O34" s="118"/>
      <c r="P34" s="12"/>
      <c r="Q34" s="155"/>
      <c r="R34" s="4"/>
      <c r="S34" s="4"/>
      <c r="T34" s="4"/>
      <c r="U34" s="4"/>
      <c r="V34" s="4"/>
      <c r="W34" s="4"/>
      <c r="X34" s="4"/>
    </row>
    <row r="35" spans="1:24" ht="14.25" x14ac:dyDescent="0.2">
      <c r="A35" s="157"/>
      <c r="B35" s="159"/>
      <c r="C35" s="156"/>
      <c r="D35" s="160"/>
      <c r="E35" s="156"/>
      <c r="F35" s="156"/>
      <c r="G35" s="156"/>
      <c r="H35" s="158"/>
      <c r="I35" s="158"/>
      <c r="J35" s="158"/>
      <c r="K35" s="161"/>
      <c r="L35" s="162"/>
      <c r="M35" s="163"/>
      <c r="N35" s="156"/>
      <c r="O35" s="118"/>
      <c r="P35" s="12"/>
      <c r="Q35" s="155"/>
      <c r="R35" s="4"/>
      <c r="S35" s="4"/>
      <c r="T35" s="4"/>
      <c r="U35" s="4"/>
      <c r="V35" s="4"/>
      <c r="W35" s="4"/>
      <c r="X35" s="4"/>
    </row>
    <row r="36" spans="1:24" ht="14.25" x14ac:dyDescent="0.2">
      <c r="A36" s="157"/>
      <c r="B36" s="159"/>
      <c r="C36" s="156"/>
      <c r="D36" s="160"/>
      <c r="E36" s="156"/>
      <c r="F36" s="156"/>
      <c r="G36" s="156"/>
      <c r="H36" s="158"/>
      <c r="I36" s="158"/>
      <c r="J36" s="158"/>
      <c r="K36" s="161"/>
      <c r="L36" s="162"/>
      <c r="M36" s="163"/>
      <c r="N36" s="156"/>
      <c r="O36" s="118"/>
      <c r="P36" s="12"/>
      <c r="Q36" s="155"/>
      <c r="R36" s="4"/>
      <c r="S36" s="4"/>
      <c r="T36" s="4"/>
      <c r="U36" s="4"/>
      <c r="V36" s="4"/>
      <c r="W36" s="4"/>
      <c r="X36" s="4"/>
    </row>
    <row r="37" spans="1:24" ht="14.25" x14ac:dyDescent="0.2">
      <c r="A37" s="157"/>
      <c r="B37" s="159"/>
      <c r="C37" s="156"/>
      <c r="D37" s="160"/>
      <c r="E37" s="156"/>
      <c r="F37" s="156"/>
      <c r="G37" s="156"/>
      <c r="H37" s="158"/>
      <c r="I37" s="158"/>
      <c r="J37" s="158"/>
      <c r="K37" s="161"/>
      <c r="L37" s="162"/>
      <c r="M37" s="163"/>
      <c r="N37" s="156"/>
      <c r="O37" s="118"/>
      <c r="P37" s="12"/>
      <c r="Q37" s="155"/>
      <c r="R37" s="4"/>
      <c r="S37" s="4"/>
      <c r="T37" s="4"/>
      <c r="U37" s="4"/>
      <c r="V37" s="4"/>
      <c r="W37" s="4"/>
      <c r="X37" s="4"/>
    </row>
    <row r="38" spans="1:24" ht="14.25" x14ac:dyDescent="0.2">
      <c r="A38" s="157"/>
      <c r="B38" s="159"/>
      <c r="C38" s="156"/>
      <c r="D38" s="160"/>
      <c r="E38" s="156"/>
      <c r="F38" s="156"/>
      <c r="G38" s="156"/>
      <c r="H38" s="158"/>
      <c r="I38" s="158"/>
      <c r="J38" s="158"/>
      <c r="K38" s="161"/>
      <c r="L38" s="162"/>
      <c r="M38" s="163"/>
      <c r="N38" s="156"/>
      <c r="O38" s="118"/>
      <c r="P38" s="12"/>
      <c r="Q38" s="155"/>
      <c r="R38" s="4"/>
      <c r="S38" s="4"/>
      <c r="T38" s="4"/>
      <c r="U38" s="4"/>
      <c r="V38" s="4"/>
      <c r="W38" s="4"/>
      <c r="X38" s="4"/>
    </row>
    <row r="39" spans="1:24" ht="14.25" x14ac:dyDescent="0.2">
      <c r="A39" s="157"/>
      <c r="B39" s="159"/>
      <c r="C39" s="156"/>
      <c r="D39" s="160"/>
      <c r="E39" s="156"/>
      <c r="F39" s="156"/>
      <c r="G39" s="156"/>
      <c r="H39" s="158"/>
      <c r="I39" s="158"/>
      <c r="J39" s="158"/>
      <c r="K39" s="161"/>
      <c r="L39" s="162"/>
      <c r="M39" s="163"/>
      <c r="N39" s="156"/>
      <c r="O39" s="118"/>
      <c r="P39" s="12"/>
      <c r="Q39" s="155"/>
      <c r="R39" s="4"/>
      <c r="S39" s="4"/>
      <c r="T39" s="4"/>
      <c r="U39" s="4"/>
      <c r="V39" s="4"/>
      <c r="W39" s="4"/>
      <c r="X39" s="4"/>
    </row>
    <row r="40" spans="1:24" ht="14.25" x14ac:dyDescent="0.2">
      <c r="A40" s="157"/>
      <c r="B40" s="159"/>
      <c r="C40" s="156"/>
      <c r="D40" s="160"/>
      <c r="E40" s="156"/>
      <c r="F40" s="156"/>
      <c r="G40" s="156"/>
      <c r="H40" s="158"/>
      <c r="I40" s="158"/>
      <c r="J40" s="158"/>
      <c r="K40" s="161"/>
      <c r="L40" s="162"/>
      <c r="M40" s="163"/>
      <c r="N40" s="156"/>
      <c r="O40" s="118"/>
      <c r="P40" s="12"/>
      <c r="Q40" s="155"/>
      <c r="R40" s="4"/>
      <c r="S40" s="4"/>
      <c r="T40" s="4"/>
      <c r="U40" s="4"/>
      <c r="V40" s="4"/>
      <c r="W40" s="4"/>
      <c r="X40" s="4"/>
    </row>
    <row r="41" spans="1:24" ht="14.25" x14ac:dyDescent="0.2">
      <c r="A41" s="157"/>
      <c r="B41" s="159"/>
      <c r="C41" s="156"/>
      <c r="D41" s="160"/>
      <c r="E41" s="156"/>
      <c r="F41" s="156"/>
      <c r="G41" s="156"/>
      <c r="H41" s="158"/>
      <c r="I41" s="158"/>
      <c r="J41" s="158"/>
      <c r="K41" s="161"/>
      <c r="L41" s="162"/>
      <c r="M41" s="163"/>
      <c r="N41" s="156"/>
      <c r="O41" s="118"/>
      <c r="P41" s="12"/>
      <c r="Q41" s="155"/>
      <c r="R41" s="4"/>
      <c r="S41" s="4"/>
      <c r="T41" s="4"/>
      <c r="U41" s="4"/>
      <c r="V41" s="4"/>
      <c r="W41" s="4"/>
      <c r="X41" s="4"/>
    </row>
    <row r="42" spans="1:24" ht="14.25" x14ac:dyDescent="0.2">
      <c r="A42" s="157"/>
      <c r="B42" s="159"/>
      <c r="C42" s="156"/>
      <c r="D42" s="160"/>
      <c r="E42" s="156"/>
      <c r="F42" s="156"/>
      <c r="G42" s="156"/>
      <c r="H42" s="158"/>
      <c r="I42" s="158"/>
      <c r="J42" s="158"/>
      <c r="K42" s="161"/>
      <c r="L42" s="162"/>
      <c r="M42" s="163"/>
      <c r="N42" s="156"/>
      <c r="O42" s="118"/>
      <c r="P42" s="12"/>
      <c r="Q42" s="155"/>
      <c r="R42" s="4"/>
      <c r="S42" s="4"/>
      <c r="T42" s="4"/>
      <c r="U42" s="4"/>
      <c r="V42" s="4"/>
      <c r="W42" s="4"/>
      <c r="X42" s="4"/>
    </row>
    <row r="43" spans="1:24" ht="14.25" x14ac:dyDescent="0.2">
      <c r="A43" s="157"/>
      <c r="B43" s="159"/>
      <c r="C43" s="156"/>
      <c r="D43" s="160"/>
      <c r="E43" s="156"/>
      <c r="F43" s="156"/>
      <c r="G43" s="156"/>
      <c r="H43" s="158"/>
      <c r="I43" s="158"/>
      <c r="J43" s="158"/>
      <c r="K43" s="161"/>
      <c r="L43" s="162"/>
      <c r="M43" s="163"/>
      <c r="N43" s="156"/>
      <c r="O43" s="118"/>
      <c r="P43" s="12"/>
      <c r="Q43" s="155"/>
      <c r="R43" s="4"/>
      <c r="S43" s="4"/>
      <c r="T43" s="4"/>
      <c r="U43" s="4"/>
      <c r="V43" s="4"/>
      <c r="W43" s="4"/>
      <c r="X43" s="4"/>
    </row>
    <row r="44" spans="1:24" ht="14.25" x14ac:dyDescent="0.2">
      <c r="A44" s="157"/>
      <c r="B44" s="159"/>
      <c r="C44" s="156"/>
      <c r="D44" s="160"/>
      <c r="E44" s="156"/>
      <c r="F44" s="156"/>
      <c r="G44" s="156"/>
      <c r="H44" s="158"/>
      <c r="I44" s="158"/>
      <c r="J44" s="158"/>
      <c r="K44" s="161"/>
      <c r="L44" s="162"/>
      <c r="M44" s="163"/>
      <c r="N44" s="156"/>
      <c r="O44" s="118"/>
      <c r="P44" s="12"/>
      <c r="Q44" s="155"/>
      <c r="R44" s="4"/>
      <c r="S44" s="4"/>
      <c r="T44" s="4"/>
      <c r="U44" s="4"/>
      <c r="V44" s="4"/>
      <c r="W44" s="4"/>
      <c r="X44" s="4"/>
    </row>
    <row r="45" spans="1:24" ht="14.25" x14ac:dyDescent="0.2">
      <c r="A45" s="157"/>
      <c r="B45" s="159"/>
      <c r="C45" s="156"/>
      <c r="D45" s="160"/>
      <c r="E45" s="156"/>
      <c r="F45" s="156"/>
      <c r="G45" s="156"/>
      <c r="H45" s="158"/>
      <c r="I45" s="158"/>
      <c r="J45" s="158"/>
      <c r="K45" s="161"/>
      <c r="L45" s="162"/>
      <c r="M45" s="163"/>
      <c r="N45" s="156"/>
      <c r="O45" s="118"/>
      <c r="P45" s="12"/>
      <c r="Q45" s="155"/>
      <c r="R45" s="4"/>
      <c r="S45" s="4"/>
      <c r="T45" s="4"/>
      <c r="U45" s="4"/>
      <c r="V45" s="4"/>
      <c r="W45" s="4"/>
      <c r="X45" s="4"/>
    </row>
    <row r="46" spans="1:24" ht="14.25" x14ac:dyDescent="0.2">
      <c r="A46" s="157"/>
      <c r="B46" s="159"/>
      <c r="C46" s="156"/>
      <c r="D46" s="160"/>
      <c r="E46" s="156"/>
      <c r="F46" s="156"/>
      <c r="G46" s="156"/>
      <c r="H46" s="158"/>
      <c r="I46" s="158"/>
      <c r="J46" s="158"/>
      <c r="K46" s="161"/>
      <c r="L46" s="162"/>
      <c r="M46" s="163"/>
      <c r="N46" s="156"/>
      <c r="O46" s="118"/>
      <c r="P46" s="12"/>
      <c r="Q46" s="155"/>
      <c r="R46" s="4"/>
      <c r="S46" s="4"/>
      <c r="T46" s="4"/>
      <c r="U46" s="4"/>
      <c r="V46" s="4"/>
      <c r="W46" s="4"/>
      <c r="X46" s="4"/>
    </row>
    <row r="47" spans="1:24" ht="14.25" x14ac:dyDescent="0.2">
      <c r="A47" s="157"/>
      <c r="B47" s="159"/>
      <c r="C47" s="156"/>
      <c r="D47" s="160"/>
      <c r="E47" s="156"/>
      <c r="F47" s="156"/>
      <c r="G47" s="156"/>
      <c r="H47" s="158"/>
      <c r="I47" s="158"/>
      <c r="J47" s="158"/>
      <c r="K47" s="161"/>
      <c r="L47" s="162"/>
      <c r="M47" s="163"/>
      <c r="N47" s="156"/>
      <c r="O47" s="118"/>
      <c r="P47" s="12"/>
      <c r="Q47" s="155"/>
      <c r="R47" s="4"/>
      <c r="S47" s="4"/>
      <c r="T47" s="4"/>
      <c r="U47" s="4"/>
      <c r="V47" s="4"/>
      <c r="W47" s="4"/>
      <c r="X47" s="4"/>
    </row>
    <row r="48" spans="1:24" ht="14.25" x14ac:dyDescent="0.2">
      <c r="A48" s="157"/>
      <c r="B48" s="159"/>
      <c r="C48" s="156"/>
      <c r="D48" s="160"/>
      <c r="E48" s="156"/>
      <c r="F48" s="156"/>
      <c r="G48" s="156"/>
      <c r="H48" s="158"/>
      <c r="I48" s="158"/>
      <c r="J48" s="158"/>
      <c r="K48" s="161"/>
      <c r="L48" s="162"/>
      <c r="M48" s="163"/>
      <c r="N48" s="156"/>
      <c r="O48" s="118"/>
      <c r="P48" s="12"/>
      <c r="Q48" s="155"/>
      <c r="R48" s="4"/>
      <c r="S48" s="4"/>
      <c r="T48" s="4"/>
      <c r="U48" s="4"/>
      <c r="V48" s="4"/>
      <c r="W48" s="4"/>
      <c r="X48" s="4"/>
    </row>
    <row r="49" spans="1:24" ht="14.25" x14ac:dyDescent="0.2">
      <c r="A49" s="157"/>
      <c r="B49" s="159"/>
      <c r="C49" s="156"/>
      <c r="D49" s="160"/>
      <c r="E49" s="156"/>
      <c r="F49" s="156"/>
      <c r="G49" s="156"/>
      <c r="H49" s="158"/>
      <c r="I49" s="158"/>
      <c r="J49" s="158"/>
      <c r="K49" s="161"/>
      <c r="L49" s="162"/>
      <c r="M49" s="163"/>
      <c r="N49" s="156"/>
      <c r="O49" s="118"/>
      <c r="P49" s="12"/>
      <c r="Q49" s="155"/>
      <c r="R49" s="4"/>
      <c r="S49" s="4"/>
      <c r="T49" s="4"/>
      <c r="U49" s="4"/>
      <c r="V49" s="4"/>
      <c r="W49" s="4"/>
      <c r="X49" s="4"/>
    </row>
    <row r="50" spans="1:24" ht="14.25" x14ac:dyDescent="0.2">
      <c r="A50" s="157"/>
      <c r="B50" s="159"/>
      <c r="C50" s="156"/>
      <c r="D50" s="160"/>
      <c r="E50" s="156"/>
      <c r="F50" s="156"/>
      <c r="G50" s="156"/>
      <c r="H50" s="158"/>
      <c r="I50" s="158"/>
      <c r="J50" s="158"/>
      <c r="K50" s="161"/>
      <c r="L50" s="162"/>
      <c r="M50" s="163"/>
      <c r="N50" s="156"/>
      <c r="O50" s="118"/>
      <c r="P50" s="12"/>
      <c r="Q50" s="155"/>
      <c r="R50" s="4"/>
      <c r="S50" s="4"/>
      <c r="T50" s="4"/>
      <c r="U50" s="4"/>
      <c r="V50" s="4"/>
      <c r="W50" s="4"/>
      <c r="X50" s="4"/>
    </row>
    <row r="51" spans="1:24" ht="14.25" x14ac:dyDescent="0.2">
      <c r="A51" s="157"/>
      <c r="B51" s="159"/>
      <c r="C51" s="156"/>
      <c r="D51" s="160"/>
      <c r="E51" s="156"/>
      <c r="F51" s="156"/>
      <c r="G51" s="156"/>
      <c r="H51" s="158"/>
      <c r="I51" s="158"/>
      <c r="J51" s="158"/>
      <c r="K51" s="161"/>
      <c r="L51" s="162"/>
      <c r="M51" s="163"/>
      <c r="N51" s="156"/>
      <c r="O51" s="118"/>
      <c r="P51" s="12"/>
      <c r="Q51" s="155"/>
      <c r="R51" s="4"/>
      <c r="S51" s="4"/>
      <c r="T51" s="4"/>
      <c r="U51" s="4"/>
      <c r="V51" s="4"/>
      <c r="W51" s="4"/>
      <c r="X51" s="4"/>
    </row>
    <row r="52" spans="1:24" ht="14.25" x14ac:dyDescent="0.2">
      <c r="A52" s="157"/>
      <c r="B52" s="159"/>
      <c r="C52" s="156"/>
      <c r="D52" s="160"/>
      <c r="E52" s="156"/>
      <c r="F52" s="156"/>
      <c r="G52" s="156"/>
      <c r="H52" s="158"/>
      <c r="I52" s="158"/>
      <c r="J52" s="158"/>
      <c r="K52" s="161"/>
      <c r="L52" s="162"/>
      <c r="M52" s="163"/>
      <c r="N52" s="156"/>
      <c r="O52" s="118"/>
      <c r="P52" s="12"/>
      <c r="Q52" s="155"/>
      <c r="R52" s="4"/>
      <c r="S52" s="4"/>
      <c r="T52" s="4"/>
      <c r="U52" s="4"/>
      <c r="V52" s="4"/>
      <c r="W52" s="4"/>
      <c r="X52" s="4"/>
    </row>
    <row r="53" spans="1:24" ht="14.25" x14ac:dyDescent="0.2">
      <c r="A53" s="157"/>
      <c r="B53" s="159"/>
      <c r="C53" s="156"/>
      <c r="D53" s="160"/>
      <c r="E53" s="156"/>
      <c r="F53" s="156"/>
      <c r="G53" s="156"/>
      <c r="H53" s="158"/>
      <c r="I53" s="158"/>
      <c r="J53" s="158"/>
      <c r="K53" s="161"/>
      <c r="L53" s="162"/>
      <c r="M53" s="163"/>
      <c r="N53" s="156"/>
      <c r="O53" s="118"/>
      <c r="P53" s="12"/>
      <c r="Q53" s="155"/>
      <c r="R53" s="4"/>
      <c r="S53" s="4"/>
      <c r="T53" s="4"/>
      <c r="U53" s="4"/>
      <c r="V53" s="4"/>
      <c r="W53" s="4"/>
      <c r="X53" s="4"/>
    </row>
    <row r="54" spans="1:24" ht="14.25" x14ac:dyDescent="0.2">
      <c r="A54" s="157"/>
      <c r="B54" s="159"/>
      <c r="C54" s="156"/>
      <c r="D54" s="160"/>
      <c r="E54" s="156"/>
      <c r="F54" s="156"/>
      <c r="G54" s="156"/>
      <c r="H54" s="158"/>
      <c r="I54" s="158"/>
      <c r="J54" s="158"/>
      <c r="K54" s="161"/>
      <c r="L54" s="162"/>
      <c r="M54" s="163"/>
      <c r="N54" s="156"/>
      <c r="O54" s="118"/>
      <c r="P54" s="12"/>
      <c r="Q54" s="155"/>
      <c r="R54" s="4"/>
      <c r="S54" s="4"/>
      <c r="T54" s="4"/>
      <c r="U54" s="4"/>
      <c r="V54" s="4"/>
      <c r="W54" s="4"/>
      <c r="X54" s="4"/>
    </row>
    <row r="55" spans="1:24" ht="14.25" x14ac:dyDescent="0.2">
      <c r="A55" s="157"/>
      <c r="B55" s="159"/>
      <c r="C55" s="156"/>
      <c r="D55" s="160"/>
      <c r="E55" s="156"/>
      <c r="F55" s="156"/>
      <c r="G55" s="156"/>
      <c r="H55" s="158"/>
      <c r="I55" s="158"/>
      <c r="J55" s="158"/>
      <c r="K55" s="161"/>
      <c r="L55" s="162"/>
      <c r="M55" s="163"/>
      <c r="N55" s="156"/>
      <c r="O55" s="118"/>
      <c r="P55" s="12"/>
      <c r="Q55" s="155"/>
      <c r="R55" s="4"/>
      <c r="S55" s="4"/>
      <c r="T55" s="4"/>
      <c r="U55" s="4"/>
      <c r="V55" s="4"/>
      <c r="W55" s="4"/>
      <c r="X55" s="4"/>
    </row>
    <row r="56" spans="1:24" ht="14.25" x14ac:dyDescent="0.2">
      <c r="A56" s="157"/>
      <c r="B56" s="159"/>
      <c r="C56" s="156"/>
      <c r="D56" s="160"/>
      <c r="E56" s="156"/>
      <c r="F56" s="156"/>
      <c r="G56" s="156"/>
      <c r="H56" s="158"/>
      <c r="I56" s="158"/>
      <c r="J56" s="158"/>
      <c r="K56" s="161"/>
      <c r="L56" s="162"/>
      <c r="M56" s="163"/>
      <c r="N56" s="156"/>
      <c r="O56" s="118"/>
      <c r="P56" s="12"/>
      <c r="Q56" s="155"/>
      <c r="R56" s="4"/>
      <c r="S56" s="4"/>
      <c r="T56" s="4"/>
      <c r="U56" s="4"/>
      <c r="V56" s="4"/>
      <c r="W56" s="4"/>
      <c r="X56" s="4"/>
    </row>
    <row r="57" spans="1:24" ht="14.25" x14ac:dyDescent="0.2">
      <c r="A57" s="157"/>
      <c r="B57" s="159"/>
      <c r="C57" s="156"/>
      <c r="D57" s="160"/>
      <c r="E57" s="156"/>
      <c r="F57" s="156"/>
      <c r="G57" s="156"/>
      <c r="H57" s="158"/>
      <c r="I57" s="158"/>
      <c r="J57" s="158"/>
      <c r="K57" s="161"/>
      <c r="L57" s="162"/>
      <c r="M57" s="163"/>
      <c r="N57" s="156"/>
      <c r="O57" s="118"/>
      <c r="P57" s="12"/>
      <c r="Q57" s="155"/>
      <c r="R57" s="4"/>
      <c r="S57" s="4"/>
      <c r="T57" s="4"/>
      <c r="U57" s="4"/>
      <c r="V57" s="4"/>
      <c r="W57" s="4"/>
      <c r="X57" s="4"/>
    </row>
    <row r="58" spans="1:24" ht="14.25" x14ac:dyDescent="0.2">
      <c r="A58" s="157"/>
      <c r="B58" s="159"/>
      <c r="C58" s="156"/>
      <c r="D58" s="160"/>
      <c r="E58" s="156"/>
      <c r="F58" s="156"/>
      <c r="G58" s="156"/>
      <c r="H58" s="158"/>
      <c r="I58" s="158"/>
      <c r="J58" s="158"/>
      <c r="K58" s="161"/>
      <c r="L58" s="162"/>
      <c r="M58" s="163"/>
      <c r="N58" s="156"/>
      <c r="O58" s="118"/>
      <c r="P58" s="12"/>
      <c r="Q58" s="155"/>
      <c r="R58" s="4"/>
      <c r="S58" s="4"/>
      <c r="T58" s="4"/>
      <c r="U58" s="4"/>
      <c r="V58" s="4"/>
      <c r="W58" s="4"/>
      <c r="X58" s="4"/>
    </row>
    <row r="59" spans="1:24" ht="14.25" x14ac:dyDescent="0.2">
      <c r="A59" s="157"/>
      <c r="B59" s="159"/>
      <c r="C59" s="156"/>
      <c r="D59" s="160"/>
      <c r="E59" s="156"/>
      <c r="F59" s="156"/>
      <c r="G59" s="156"/>
      <c r="H59" s="158"/>
      <c r="I59" s="158"/>
      <c r="J59" s="158"/>
      <c r="K59" s="161"/>
      <c r="L59" s="162"/>
      <c r="M59" s="163"/>
      <c r="N59" s="156"/>
      <c r="O59" s="118"/>
      <c r="P59" s="12"/>
      <c r="Q59" s="155"/>
      <c r="R59" s="4"/>
      <c r="S59" s="4"/>
      <c r="T59" s="4"/>
      <c r="U59" s="4"/>
      <c r="V59" s="4"/>
      <c r="W59" s="4"/>
      <c r="X59" s="4"/>
    </row>
    <row r="60" spans="1:24" ht="14.25" x14ac:dyDescent="0.2">
      <c r="A60" s="157"/>
      <c r="B60" s="159"/>
      <c r="C60" s="156"/>
      <c r="D60" s="160"/>
      <c r="E60" s="156"/>
      <c r="F60" s="156"/>
      <c r="G60" s="156"/>
      <c r="H60" s="158"/>
      <c r="I60" s="158"/>
      <c r="J60" s="158"/>
      <c r="K60" s="161"/>
      <c r="L60" s="162"/>
      <c r="M60" s="163"/>
      <c r="N60" s="156"/>
      <c r="O60" s="118"/>
      <c r="P60" s="12"/>
      <c r="Q60" s="155"/>
      <c r="R60" s="4"/>
      <c r="S60" s="4"/>
      <c r="T60" s="4"/>
      <c r="U60" s="4"/>
      <c r="V60" s="4"/>
      <c r="W60" s="4"/>
      <c r="X60" s="4"/>
    </row>
    <row r="61" spans="1:24" ht="14.25" x14ac:dyDescent="0.2">
      <c r="A61" s="157"/>
      <c r="B61" s="159"/>
      <c r="C61" s="156"/>
      <c r="D61" s="160"/>
      <c r="E61" s="156"/>
      <c r="F61" s="156"/>
      <c r="G61" s="156"/>
      <c r="H61" s="158"/>
      <c r="I61" s="158"/>
      <c r="J61" s="158"/>
      <c r="K61" s="161"/>
      <c r="L61" s="162"/>
      <c r="M61" s="163"/>
      <c r="N61" s="156"/>
      <c r="O61" s="118"/>
      <c r="P61" s="12"/>
      <c r="Q61" s="155"/>
      <c r="R61" s="4"/>
      <c r="S61" s="4"/>
      <c r="T61" s="4"/>
      <c r="U61" s="4"/>
      <c r="V61" s="4"/>
      <c r="W61" s="4"/>
      <c r="X61" s="4"/>
    </row>
    <row r="62" spans="1:24" ht="14.25" x14ac:dyDescent="0.2">
      <c r="A62" s="157"/>
      <c r="B62" s="159"/>
      <c r="C62" s="156"/>
      <c r="D62" s="160"/>
      <c r="E62" s="156"/>
      <c r="F62" s="156"/>
      <c r="G62" s="156"/>
      <c r="H62" s="158"/>
      <c r="I62" s="158"/>
      <c r="J62" s="158"/>
      <c r="K62" s="161"/>
      <c r="L62" s="162"/>
      <c r="M62" s="163"/>
      <c r="N62" s="156"/>
      <c r="O62" s="118"/>
      <c r="P62" s="12"/>
      <c r="Q62" s="155"/>
      <c r="R62" s="4"/>
      <c r="S62" s="4"/>
      <c r="T62" s="4"/>
      <c r="U62" s="4"/>
      <c r="V62" s="4"/>
      <c r="W62" s="4"/>
      <c r="X62" s="4"/>
    </row>
    <row r="63" spans="1:24" ht="14.25" x14ac:dyDescent="0.2">
      <c r="A63" s="157"/>
      <c r="B63" s="159"/>
      <c r="C63" s="156"/>
      <c r="D63" s="160"/>
      <c r="E63" s="156"/>
      <c r="F63" s="156"/>
      <c r="G63" s="156"/>
      <c r="H63" s="158"/>
      <c r="I63" s="158"/>
      <c r="J63" s="158"/>
      <c r="K63" s="161"/>
      <c r="L63" s="162"/>
      <c r="M63" s="163"/>
      <c r="N63" s="156"/>
      <c r="O63" s="118"/>
      <c r="P63" s="12"/>
      <c r="Q63" s="155"/>
      <c r="R63" s="4"/>
      <c r="S63" s="4"/>
      <c r="T63" s="4"/>
      <c r="U63" s="4"/>
      <c r="V63" s="4"/>
      <c r="W63" s="4"/>
      <c r="X63" s="4"/>
    </row>
    <row r="64" spans="1:24" ht="14.25" x14ac:dyDescent="0.2">
      <c r="A64" s="157"/>
      <c r="B64" s="159"/>
      <c r="C64" s="156"/>
      <c r="D64" s="160"/>
      <c r="E64" s="156"/>
      <c r="F64" s="156"/>
      <c r="G64" s="156"/>
      <c r="H64" s="158"/>
      <c r="I64" s="158"/>
      <c r="J64" s="158"/>
      <c r="K64" s="161"/>
      <c r="L64" s="162"/>
      <c r="M64" s="163"/>
      <c r="N64" s="156"/>
      <c r="O64" s="118"/>
      <c r="P64" s="12"/>
      <c r="Q64" s="155"/>
      <c r="R64" s="4"/>
      <c r="S64" s="4"/>
      <c r="T64" s="4"/>
      <c r="U64" s="4"/>
      <c r="V64" s="4"/>
      <c r="W64" s="4"/>
      <c r="X64" s="4"/>
    </row>
    <row r="65" spans="1:24" ht="14.25" x14ac:dyDescent="0.2">
      <c r="A65" s="157"/>
      <c r="B65" s="159"/>
      <c r="C65" s="156"/>
      <c r="D65" s="160"/>
      <c r="E65" s="156"/>
      <c r="F65" s="156"/>
      <c r="G65" s="156"/>
      <c r="H65" s="158"/>
      <c r="I65" s="158"/>
      <c r="J65" s="158"/>
      <c r="K65" s="161"/>
      <c r="L65" s="162"/>
      <c r="M65" s="163"/>
      <c r="N65" s="156"/>
      <c r="O65" s="118"/>
      <c r="P65" s="12"/>
      <c r="Q65" s="155"/>
      <c r="R65" s="4"/>
      <c r="S65" s="4"/>
      <c r="T65" s="4"/>
      <c r="U65" s="4"/>
      <c r="V65" s="4"/>
      <c r="W65" s="4"/>
      <c r="X65" s="4"/>
    </row>
    <row r="66" spans="1:24" ht="14.25" x14ac:dyDescent="0.2">
      <c r="A66" s="157"/>
      <c r="B66" s="159"/>
      <c r="C66" s="156"/>
      <c r="D66" s="160"/>
      <c r="E66" s="156"/>
      <c r="F66" s="156"/>
      <c r="G66" s="156"/>
      <c r="H66" s="158"/>
      <c r="I66" s="158"/>
      <c r="J66" s="158"/>
      <c r="K66" s="161"/>
      <c r="L66" s="162"/>
      <c r="M66" s="163"/>
      <c r="N66" s="156"/>
      <c r="O66" s="118"/>
      <c r="P66" s="12"/>
      <c r="Q66" s="155"/>
      <c r="R66" s="4"/>
      <c r="S66" s="4"/>
      <c r="T66" s="4"/>
      <c r="U66" s="4"/>
      <c r="V66" s="4"/>
      <c r="W66" s="4"/>
      <c r="X66" s="4"/>
    </row>
    <row r="67" spans="1:24" ht="14.25" x14ac:dyDescent="0.2">
      <c r="A67" s="157"/>
      <c r="B67" s="159"/>
      <c r="C67" s="156"/>
      <c r="D67" s="160"/>
      <c r="E67" s="156"/>
      <c r="F67" s="156"/>
      <c r="G67" s="156"/>
      <c r="H67" s="158"/>
      <c r="I67" s="158"/>
      <c r="J67" s="158"/>
      <c r="K67" s="161"/>
      <c r="L67" s="162"/>
      <c r="M67" s="163"/>
      <c r="N67" s="156"/>
      <c r="O67" s="118"/>
      <c r="P67" s="12"/>
      <c r="Q67" s="155"/>
      <c r="R67" s="4"/>
      <c r="S67" s="4"/>
      <c r="T67" s="4"/>
      <c r="U67" s="4"/>
      <c r="V67" s="4"/>
      <c r="W67" s="4"/>
      <c r="X67" s="4"/>
    </row>
    <row r="68" spans="1:24" ht="14.25" x14ac:dyDescent="0.2">
      <c r="A68" s="157"/>
      <c r="B68" s="159"/>
      <c r="C68" s="156"/>
      <c r="D68" s="160"/>
      <c r="E68" s="156"/>
      <c r="F68" s="156"/>
      <c r="G68" s="156"/>
      <c r="H68" s="158"/>
      <c r="I68" s="158"/>
      <c r="J68" s="158"/>
      <c r="K68" s="161"/>
      <c r="L68" s="162"/>
      <c r="M68" s="163"/>
      <c r="N68" s="156"/>
      <c r="O68" s="118"/>
      <c r="P68" s="12"/>
      <c r="Q68" s="155"/>
      <c r="R68" s="4"/>
      <c r="S68" s="4"/>
      <c r="T68" s="4"/>
      <c r="U68" s="4"/>
      <c r="V68" s="4"/>
      <c r="W68" s="4"/>
      <c r="X68" s="4"/>
    </row>
    <row r="69" spans="1:24" ht="14.25" x14ac:dyDescent="0.2">
      <c r="A69" s="157"/>
      <c r="B69" s="159"/>
      <c r="C69" s="156"/>
      <c r="D69" s="160"/>
      <c r="E69" s="156"/>
      <c r="F69" s="156"/>
      <c r="G69" s="156"/>
      <c r="H69" s="158"/>
      <c r="I69" s="158"/>
      <c r="J69" s="158"/>
      <c r="K69" s="161"/>
      <c r="L69" s="162"/>
      <c r="M69" s="163"/>
      <c r="N69" s="156"/>
      <c r="O69" s="118"/>
      <c r="P69" s="12"/>
      <c r="Q69" s="155"/>
      <c r="R69" s="4"/>
      <c r="S69" s="4"/>
      <c r="T69" s="4"/>
      <c r="U69" s="4"/>
      <c r="V69" s="4"/>
      <c r="W69" s="4"/>
      <c r="X69" s="4"/>
    </row>
    <row r="70" spans="1:24" ht="14.25" x14ac:dyDescent="0.2">
      <c r="A70" s="157"/>
      <c r="B70" s="159"/>
      <c r="C70" s="156"/>
      <c r="D70" s="160"/>
      <c r="E70" s="156"/>
      <c r="F70" s="156"/>
      <c r="G70" s="156"/>
      <c r="H70" s="158"/>
      <c r="I70" s="158"/>
      <c r="J70" s="158"/>
      <c r="K70" s="161"/>
      <c r="L70" s="162"/>
      <c r="M70" s="163"/>
      <c r="N70" s="156"/>
      <c r="O70" s="118"/>
      <c r="P70" s="12"/>
      <c r="Q70" s="155"/>
      <c r="R70" s="4"/>
      <c r="S70" s="4"/>
      <c r="T70" s="4"/>
      <c r="U70" s="4"/>
      <c r="V70" s="4"/>
      <c r="W70" s="4"/>
      <c r="X70" s="4"/>
    </row>
    <row r="71" spans="1:24" ht="14.25" x14ac:dyDescent="0.2">
      <c r="A71" s="157"/>
      <c r="B71" s="159"/>
      <c r="C71" s="156"/>
      <c r="D71" s="160"/>
      <c r="E71" s="156"/>
      <c r="F71" s="156"/>
      <c r="G71" s="156"/>
      <c r="H71" s="158"/>
      <c r="I71" s="158"/>
      <c r="J71" s="158"/>
      <c r="K71" s="161"/>
      <c r="L71" s="162"/>
      <c r="M71" s="163"/>
      <c r="N71" s="156"/>
      <c r="O71" s="118"/>
      <c r="P71" s="12"/>
      <c r="Q71" s="155"/>
      <c r="R71" s="4"/>
      <c r="S71" s="4"/>
      <c r="T71" s="4"/>
      <c r="U71" s="4"/>
      <c r="V71" s="4"/>
      <c r="W71" s="4"/>
      <c r="X71" s="4"/>
    </row>
    <row r="72" spans="1:24" ht="14.25" x14ac:dyDescent="0.2">
      <c r="A72" s="157"/>
      <c r="B72" s="159"/>
      <c r="C72" s="156"/>
      <c r="D72" s="160"/>
      <c r="E72" s="156"/>
      <c r="F72" s="156"/>
      <c r="G72" s="156"/>
      <c r="H72" s="158"/>
      <c r="I72" s="158"/>
      <c r="J72" s="158"/>
      <c r="K72" s="161"/>
      <c r="L72" s="162"/>
      <c r="M72" s="163"/>
      <c r="N72" s="156"/>
      <c r="O72" s="118"/>
      <c r="P72" s="12"/>
      <c r="Q72" s="155"/>
      <c r="R72" s="4"/>
      <c r="S72" s="4"/>
      <c r="T72" s="4"/>
      <c r="U72" s="4"/>
      <c r="V72" s="4"/>
      <c r="W72" s="4"/>
      <c r="X72" s="4"/>
    </row>
    <row r="73" spans="1:24" ht="14.25" x14ac:dyDescent="0.2">
      <c r="A73" s="157"/>
      <c r="B73" s="159"/>
      <c r="C73" s="156"/>
      <c r="D73" s="160"/>
      <c r="E73" s="156"/>
      <c r="F73" s="156"/>
      <c r="G73" s="156"/>
      <c r="H73" s="158"/>
      <c r="I73" s="158"/>
      <c r="J73" s="158"/>
      <c r="K73" s="161"/>
      <c r="L73" s="162"/>
      <c r="M73" s="163"/>
      <c r="N73" s="156"/>
      <c r="O73" s="118"/>
      <c r="P73" s="12"/>
      <c r="Q73" s="155"/>
      <c r="R73" s="4"/>
      <c r="S73" s="4"/>
      <c r="T73" s="4"/>
      <c r="U73" s="4"/>
      <c r="V73" s="4"/>
      <c r="W73" s="4"/>
      <c r="X73" s="4"/>
    </row>
    <row r="74" spans="1:24" ht="14.25" x14ac:dyDescent="0.2">
      <c r="A74" s="157"/>
      <c r="B74" s="159"/>
      <c r="C74" s="156"/>
      <c r="D74" s="160"/>
      <c r="E74" s="156"/>
      <c r="F74" s="156"/>
      <c r="G74" s="156"/>
      <c r="H74" s="158"/>
      <c r="I74" s="158"/>
      <c r="J74" s="158"/>
      <c r="K74" s="161"/>
      <c r="L74" s="162"/>
      <c r="M74" s="163"/>
      <c r="N74" s="156"/>
      <c r="O74" s="118"/>
      <c r="P74" s="12"/>
      <c r="Q74" s="155"/>
      <c r="R74" s="4"/>
      <c r="S74" s="4"/>
      <c r="T74" s="4"/>
      <c r="U74" s="4"/>
      <c r="V74" s="4"/>
      <c r="W74" s="4"/>
      <c r="X74" s="4"/>
    </row>
    <row r="75" spans="1:24" ht="14.25" x14ac:dyDescent="0.2">
      <c r="A75" s="157"/>
      <c r="B75" s="159"/>
      <c r="C75" s="156"/>
      <c r="D75" s="160"/>
      <c r="E75" s="156"/>
      <c r="F75" s="156"/>
      <c r="G75" s="156"/>
      <c r="H75" s="158"/>
      <c r="I75" s="158"/>
      <c r="J75" s="158"/>
      <c r="K75" s="161"/>
      <c r="L75" s="162"/>
      <c r="M75" s="163"/>
      <c r="N75" s="156"/>
      <c r="O75" s="118"/>
      <c r="P75" s="12"/>
      <c r="Q75" s="155"/>
      <c r="R75" s="4"/>
      <c r="S75" s="4"/>
      <c r="T75" s="4"/>
      <c r="U75" s="4"/>
      <c r="V75" s="4"/>
      <c r="W75" s="4"/>
      <c r="X75" s="4"/>
    </row>
    <row r="76" spans="1:24" ht="14.25" x14ac:dyDescent="0.2">
      <c r="A76" s="157"/>
      <c r="B76" s="159"/>
      <c r="C76" s="156"/>
      <c r="D76" s="160"/>
      <c r="E76" s="156"/>
      <c r="F76" s="156"/>
      <c r="G76" s="156"/>
      <c r="H76" s="158"/>
      <c r="I76" s="158"/>
      <c r="J76" s="158"/>
      <c r="K76" s="161"/>
      <c r="L76" s="162"/>
      <c r="M76" s="163"/>
      <c r="N76" s="156"/>
      <c r="O76" s="118"/>
      <c r="P76" s="12"/>
      <c r="Q76" s="155"/>
      <c r="R76" s="4"/>
      <c r="S76" s="4"/>
      <c r="T76" s="4"/>
      <c r="U76" s="4"/>
      <c r="V76" s="4"/>
      <c r="W76" s="4"/>
      <c r="X76" s="4"/>
    </row>
    <row r="77" spans="1:24" ht="14.25" x14ac:dyDescent="0.2">
      <c r="A77" s="157"/>
      <c r="B77" s="159"/>
      <c r="C77" s="156"/>
      <c r="D77" s="160"/>
      <c r="E77" s="156"/>
      <c r="F77" s="156"/>
      <c r="G77" s="156"/>
      <c r="H77" s="158"/>
      <c r="I77" s="158"/>
      <c r="J77" s="158"/>
      <c r="K77" s="161"/>
      <c r="L77" s="162"/>
      <c r="M77" s="163"/>
      <c r="N77" s="156"/>
      <c r="O77" s="118"/>
      <c r="P77" s="12"/>
      <c r="Q77" s="4"/>
      <c r="R77" s="4"/>
      <c r="S77" s="4"/>
      <c r="T77" s="4"/>
      <c r="U77" s="4"/>
      <c r="V77" s="4"/>
      <c r="W77" s="4"/>
      <c r="X77" s="4"/>
    </row>
    <row r="78" spans="1:24" ht="14.25" x14ac:dyDescent="0.2">
      <c r="A78" s="157"/>
      <c r="B78" s="159"/>
      <c r="C78" s="156"/>
      <c r="D78" s="160"/>
      <c r="E78" s="156"/>
      <c r="F78" s="156"/>
      <c r="G78" s="156"/>
      <c r="H78" s="158"/>
      <c r="I78" s="158"/>
      <c r="J78" s="158"/>
      <c r="K78" s="161"/>
      <c r="L78" s="162"/>
      <c r="M78" s="163"/>
      <c r="N78" s="156"/>
      <c r="O78" s="118"/>
      <c r="P78" s="12"/>
      <c r="Q78" s="4"/>
      <c r="R78" s="4"/>
      <c r="S78" s="4"/>
      <c r="T78" s="4"/>
      <c r="U78" s="4"/>
      <c r="V78" s="4"/>
      <c r="W78" s="4"/>
      <c r="X78" s="4"/>
    </row>
    <row r="79" spans="1:24" ht="14.25" x14ac:dyDescent="0.2">
      <c r="A79" s="157"/>
      <c r="B79" s="159"/>
      <c r="C79" s="156"/>
      <c r="D79" s="160"/>
      <c r="E79" s="156"/>
      <c r="F79" s="156"/>
      <c r="G79" s="156"/>
      <c r="H79" s="158"/>
      <c r="I79" s="158"/>
      <c r="J79" s="158"/>
      <c r="K79" s="161"/>
      <c r="L79" s="162"/>
      <c r="M79" s="163"/>
      <c r="N79" s="156"/>
      <c r="O79" s="118"/>
      <c r="P79" s="12"/>
      <c r="Q79" s="4"/>
      <c r="R79" s="4"/>
      <c r="S79" s="4"/>
      <c r="T79" s="4"/>
      <c r="U79" s="4"/>
      <c r="V79" s="4"/>
      <c r="W79" s="4"/>
      <c r="X79" s="4"/>
    </row>
    <row r="80" spans="1:24" ht="14.25" x14ac:dyDescent="0.2">
      <c r="A80" s="157"/>
      <c r="B80" s="159"/>
      <c r="C80" s="156"/>
      <c r="D80" s="160"/>
      <c r="E80" s="156"/>
      <c r="F80" s="156"/>
      <c r="G80" s="156"/>
      <c r="H80" s="158"/>
      <c r="I80" s="158"/>
      <c r="J80" s="158"/>
      <c r="K80" s="161"/>
      <c r="L80" s="162"/>
      <c r="M80" s="163"/>
      <c r="N80" s="156"/>
      <c r="O80" s="118"/>
      <c r="P80" s="12"/>
      <c r="Q80" s="4"/>
      <c r="R80" s="4"/>
      <c r="S80" s="4"/>
      <c r="T80" s="4"/>
      <c r="U80" s="4"/>
      <c r="V80" s="4"/>
      <c r="W80" s="4"/>
      <c r="X80" s="4"/>
    </row>
    <row r="81" spans="1:24" ht="14.25" x14ac:dyDescent="0.2">
      <c r="A81" s="157"/>
      <c r="B81" s="159"/>
      <c r="C81" s="156"/>
      <c r="D81" s="160"/>
      <c r="E81" s="156"/>
      <c r="F81" s="156"/>
      <c r="G81" s="156"/>
      <c r="H81" s="158"/>
      <c r="I81" s="158"/>
      <c r="J81" s="158"/>
      <c r="K81" s="161"/>
      <c r="L81" s="123"/>
      <c r="M81" s="163"/>
      <c r="N81" s="156"/>
      <c r="O81" s="118"/>
      <c r="P81" s="12"/>
      <c r="Q81" s="4"/>
      <c r="R81" s="4"/>
      <c r="S81" s="4"/>
      <c r="T81" s="4"/>
      <c r="U81" s="4"/>
      <c r="V81" s="4"/>
      <c r="W81" s="4"/>
      <c r="X81" s="4"/>
    </row>
    <row r="82" spans="1:24" x14ac:dyDescent="0.2">
      <c r="I82">
        <f>SUBTOTAL(9,I11:I81)</f>
        <v>0</v>
      </c>
    </row>
  </sheetData>
  <autoFilter ref="A10:X81"/>
  <mergeCells count="5">
    <mergeCell ref="R9:R10"/>
    <mergeCell ref="C9:C10"/>
    <mergeCell ref="K9:K10"/>
    <mergeCell ref="L9:L10"/>
    <mergeCell ref="M9:Q9"/>
  </mergeCells>
  <pageMargins left="0.19685039370078741" right="0.15748031496062992" top="0.98425196850393704" bottom="0.98425196850393704" header="0.51181102362204722" footer="0.51181102362204722"/>
  <pageSetup scale="69" orientation="landscape" r:id="rId1"/>
  <headerFooter alignWithMargins="0"/>
  <colBreaks count="1" manualBreakCount="1">
    <brk id="19" max="1048575" man="1"/>
  </colBreaks>
  <drawing r:id="rId2"/>
  <legacyDrawing r:id="rId3"/>
  <controls>
    <mc:AlternateContent xmlns:mc="http://schemas.openxmlformats.org/markup-compatibility/2006">
      <mc:Choice Requires="x14">
        <control shapeId="50179" r:id="rId4" name="CommandButton1602">
          <controlPr defaultSize="0" autoLine="0" r:id="rId5">
            <anchor moveWithCells="1">
              <from>
                <xdr:col>6</xdr:col>
                <xdr:colOff>9525</xdr:colOff>
                <xdr:row>1</xdr:row>
                <xdr:rowOff>9525</xdr:rowOff>
              </from>
              <to>
                <xdr:col>8</xdr:col>
                <xdr:colOff>695325</xdr:colOff>
                <xdr:row>4</xdr:row>
                <xdr:rowOff>9525</xdr:rowOff>
              </to>
            </anchor>
          </controlPr>
        </control>
      </mc:Choice>
      <mc:Fallback>
        <control shapeId="50179" r:id="rId4" name="CommandButton1602"/>
      </mc:Fallback>
    </mc:AlternateContent>
    <mc:AlternateContent xmlns:mc="http://schemas.openxmlformats.org/markup-compatibility/2006">
      <mc:Choice Requires="x14">
        <control shapeId="50177" r:id="rId6" name="CommandButton1601">
          <controlPr defaultSize="0" autoLine="0" r:id="rId7">
            <anchor moveWithCells="1">
              <from>
                <xdr:col>0</xdr:col>
                <xdr:colOff>0</xdr:colOff>
                <xdr:row>1</xdr:row>
                <xdr:rowOff>19050</xdr:rowOff>
              </from>
              <to>
                <xdr:col>2</xdr:col>
                <xdr:colOff>1238250</xdr:colOff>
                <xdr:row>4</xdr:row>
                <xdr:rowOff>19050</xdr:rowOff>
              </to>
            </anchor>
          </controlPr>
        </control>
      </mc:Choice>
      <mc:Fallback>
        <control shapeId="50177" r:id="rId6" name="CommandButton1601"/>
      </mc:Fallback>
    </mc:AlternateContent>
    <mc:AlternateContent xmlns:mc="http://schemas.openxmlformats.org/markup-compatibility/2006">
      <mc:Choice Requires="x14">
        <control shapeId="50178" r:id="rId8" name="CommandButton1603">
          <controlPr defaultSize="0" autoLine="0" autoPict="0" r:id="rId9">
            <anchor moveWithCells="1">
              <from>
                <xdr:col>11</xdr:col>
                <xdr:colOff>28575</xdr:colOff>
                <xdr:row>1</xdr:row>
                <xdr:rowOff>0</xdr:rowOff>
              </from>
              <to>
                <xdr:col>13</xdr:col>
                <xdr:colOff>495300</xdr:colOff>
                <xdr:row>4</xdr:row>
                <xdr:rowOff>9525</xdr:rowOff>
              </to>
            </anchor>
          </controlPr>
        </control>
      </mc:Choice>
      <mc:Fallback>
        <control shapeId="50178" r:id="rId8" name="CommandButton160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27"/>
  <sheetViews>
    <sheetView workbookViewId="0">
      <pane ySplit="10" topLeftCell="A11" activePane="bottomLeft" state="frozen"/>
      <selection pane="bottomLeft" activeCell="J27" sqref="J27"/>
    </sheetView>
  </sheetViews>
  <sheetFormatPr defaultRowHeight="12.75" x14ac:dyDescent="0.2"/>
  <cols>
    <col min="1" max="1" width="4.28515625" customWidth="1"/>
    <col min="2" max="2" width="15" customWidth="1"/>
    <col min="3" max="3" width="13.42578125" customWidth="1"/>
    <col min="4" max="4" width="16" customWidth="1"/>
    <col min="5" max="5" width="12.42578125" customWidth="1"/>
    <col min="6" max="6" width="9.85546875" customWidth="1"/>
    <col min="7" max="7" width="11.85546875" customWidth="1"/>
    <col min="8" max="8" width="12.42578125" customWidth="1"/>
    <col min="9" max="9" width="10.7109375" customWidth="1"/>
    <col min="10" max="10" width="14.5703125" customWidth="1"/>
    <col min="11" max="11" width="10.5703125" customWidth="1"/>
    <col min="12" max="12" width="10.85546875" customWidth="1"/>
    <col min="13" max="13" width="11.28515625" customWidth="1"/>
    <col min="14" max="14" width="7" customWidth="1"/>
    <col min="17" max="17" width="7.140625" customWidth="1"/>
    <col min="21" max="21" width="17" customWidth="1"/>
    <col min="22" max="22" width="24.42578125" customWidth="1"/>
  </cols>
  <sheetData>
    <row r="1" spans="1:24" x14ac:dyDescent="0.2">
      <c r="A1" s="1">
        <v>1</v>
      </c>
      <c r="B1" s="1">
        <v>2</v>
      </c>
      <c r="C1" s="1">
        <v>3</v>
      </c>
      <c r="D1" s="1">
        <v>4</v>
      </c>
      <c r="E1" s="1">
        <v>5</v>
      </c>
      <c r="F1" s="1">
        <v>6</v>
      </c>
      <c r="G1" s="1">
        <v>7</v>
      </c>
      <c r="H1" s="1">
        <v>8</v>
      </c>
      <c r="I1" s="1">
        <v>9</v>
      </c>
      <c r="J1" s="1">
        <v>10</v>
      </c>
      <c r="K1" s="1">
        <v>11</v>
      </c>
      <c r="L1" s="1">
        <v>12</v>
      </c>
      <c r="M1" s="1">
        <v>13</v>
      </c>
      <c r="N1" s="1">
        <v>14</v>
      </c>
      <c r="O1" s="1">
        <v>15</v>
      </c>
      <c r="P1" s="1">
        <v>16</v>
      </c>
      <c r="Q1" s="1">
        <v>17</v>
      </c>
      <c r="R1" s="1">
        <v>18</v>
      </c>
      <c r="S1" s="1">
        <v>19</v>
      </c>
      <c r="T1" s="1">
        <v>20</v>
      </c>
    </row>
    <row r="2" spans="1:24" x14ac:dyDescent="0.2">
      <c r="J2" s="118" t="s">
        <v>142</v>
      </c>
      <c r="K2" s="12"/>
    </row>
    <row r="3" spans="1:24" x14ac:dyDescent="0.2">
      <c r="J3" s="118" t="s">
        <v>143</v>
      </c>
      <c r="K3" s="12"/>
    </row>
    <row r="4" spans="1:24" ht="13.5" thickBot="1" x14ac:dyDescent="0.25">
      <c r="J4" s="118" t="s">
        <v>145</v>
      </c>
      <c r="K4" s="12" t="s">
        <v>147</v>
      </c>
    </row>
    <row r="5" spans="1:24" ht="13.5" thickBot="1" x14ac:dyDescent="0.25">
      <c r="C5" s="48" t="s">
        <v>156</v>
      </c>
      <c r="D5" s="113"/>
      <c r="G5" s="109" t="s">
        <v>181</v>
      </c>
      <c r="J5" s="118" t="s">
        <v>145</v>
      </c>
      <c r="K5" s="12" t="s">
        <v>148</v>
      </c>
    </row>
    <row r="6" spans="1:24" x14ac:dyDescent="0.2">
      <c r="C6" s="46"/>
      <c r="J6" s="118" t="s">
        <v>145</v>
      </c>
      <c r="K6" s="12" t="s">
        <v>149</v>
      </c>
    </row>
    <row r="7" spans="1:24" x14ac:dyDescent="0.2">
      <c r="C7" s="46"/>
      <c r="J7" s="118" t="s">
        <v>67</v>
      </c>
      <c r="K7" s="12" t="s">
        <v>154</v>
      </c>
    </row>
    <row r="8" spans="1:24" ht="13.5" thickBot="1" x14ac:dyDescent="0.25">
      <c r="C8" s="46"/>
      <c r="J8" s="5"/>
      <c r="K8" s="6"/>
    </row>
    <row r="9" spans="1:24" ht="15.75" thickBot="1" x14ac:dyDescent="0.3">
      <c r="A9" s="207" t="s">
        <v>21</v>
      </c>
      <c r="B9" s="235" t="s">
        <v>0</v>
      </c>
      <c r="C9" s="209" t="s">
        <v>192</v>
      </c>
      <c r="D9" s="894" t="s">
        <v>16</v>
      </c>
      <c r="E9" s="208" t="s">
        <v>55</v>
      </c>
      <c r="F9" s="237" t="s">
        <v>24</v>
      </c>
      <c r="G9" s="238" t="s">
        <v>25</v>
      </c>
      <c r="H9" s="210" t="s">
        <v>26</v>
      </c>
      <c r="I9" s="211" t="s">
        <v>134</v>
      </c>
      <c r="J9" s="212"/>
      <c r="K9" s="213"/>
      <c r="L9" s="243" t="s">
        <v>135</v>
      </c>
      <c r="M9" s="895" t="s">
        <v>29</v>
      </c>
      <c r="N9" s="893" t="s">
        <v>57</v>
      </c>
      <c r="O9" s="896" t="s">
        <v>30</v>
      </c>
      <c r="P9" s="896"/>
      <c r="Q9" s="896"/>
      <c r="R9" s="896"/>
      <c r="S9" s="896"/>
      <c r="T9" s="896"/>
      <c r="U9" s="893" t="s">
        <v>58</v>
      </c>
      <c r="V9" s="893" t="s">
        <v>193</v>
      </c>
    </row>
    <row r="10" spans="1:24" ht="30" x14ac:dyDescent="0.2">
      <c r="A10" s="223" t="s">
        <v>31</v>
      </c>
      <c r="B10" s="236" t="s">
        <v>32</v>
      </c>
      <c r="C10" s="214" t="s">
        <v>194</v>
      </c>
      <c r="D10" s="894"/>
      <c r="E10" s="214" t="s">
        <v>59</v>
      </c>
      <c r="F10" s="239" t="s">
        <v>21</v>
      </c>
      <c r="G10" s="240" t="s">
        <v>21</v>
      </c>
      <c r="H10" s="215" t="s">
        <v>21</v>
      </c>
      <c r="I10" s="216" t="s">
        <v>37</v>
      </c>
      <c r="J10" s="241" t="s">
        <v>36</v>
      </c>
      <c r="K10" s="242" t="s">
        <v>35</v>
      </c>
      <c r="L10" s="244" t="s">
        <v>37</v>
      </c>
      <c r="M10" s="895"/>
      <c r="N10" s="895"/>
      <c r="O10" s="245" t="s">
        <v>39</v>
      </c>
      <c r="P10" s="246" t="s">
        <v>40</v>
      </c>
      <c r="Q10" s="218" t="s">
        <v>73</v>
      </c>
      <c r="R10" s="218" t="s">
        <v>195</v>
      </c>
      <c r="S10" s="218" t="s">
        <v>196</v>
      </c>
      <c r="T10" s="217" t="s">
        <v>60</v>
      </c>
      <c r="U10" s="893"/>
      <c r="V10" s="893"/>
    </row>
    <row r="11" spans="1:24" ht="14.25" x14ac:dyDescent="0.2">
      <c r="A11" s="184" t="s">
        <v>17</v>
      </c>
      <c r="B11" s="191">
        <v>41106</v>
      </c>
      <c r="C11" s="191" t="s">
        <v>197</v>
      </c>
      <c r="D11" s="192" t="s">
        <v>198</v>
      </c>
      <c r="E11" s="192">
        <v>2012</v>
      </c>
      <c r="F11" s="193" t="s">
        <v>199</v>
      </c>
      <c r="G11" s="194" t="s">
        <v>200</v>
      </c>
      <c r="H11" s="177" t="s">
        <v>17</v>
      </c>
      <c r="I11" s="219">
        <v>24.8</v>
      </c>
      <c r="J11" s="118" t="s">
        <v>145</v>
      </c>
      <c r="K11" s="12" t="s">
        <v>149</v>
      </c>
      <c r="L11" s="220">
        <v>25.14</v>
      </c>
      <c r="M11" s="221">
        <f>L11-I11</f>
        <v>0.33999999999999986</v>
      </c>
      <c r="N11" s="192">
        <v>6</v>
      </c>
      <c r="O11" s="195">
        <v>9.6</v>
      </c>
      <c r="P11" s="196">
        <v>1.8</v>
      </c>
      <c r="Q11" s="196">
        <v>10.199999999999999</v>
      </c>
      <c r="R11" s="196">
        <v>9.6</v>
      </c>
      <c r="S11" s="196">
        <v>0</v>
      </c>
      <c r="T11" s="194">
        <v>735</v>
      </c>
      <c r="U11" s="224"/>
      <c r="V11" s="224"/>
      <c r="W11" s="4"/>
      <c r="X11" s="4"/>
    </row>
    <row r="12" spans="1:24" ht="14.25" x14ac:dyDescent="0.2">
      <c r="A12" s="184" t="s">
        <v>17</v>
      </c>
      <c r="B12" s="191">
        <v>41110</v>
      </c>
      <c r="C12" s="191" t="s">
        <v>197</v>
      </c>
      <c r="D12" s="192" t="s">
        <v>187</v>
      </c>
      <c r="E12" s="192">
        <v>2012</v>
      </c>
      <c r="F12" s="193" t="s">
        <v>188</v>
      </c>
      <c r="G12" s="194" t="s">
        <v>189</v>
      </c>
      <c r="H12" s="177" t="s">
        <v>17</v>
      </c>
      <c r="I12" s="219">
        <v>32.799999999999997</v>
      </c>
      <c r="J12" s="118" t="s">
        <v>145</v>
      </c>
      <c r="K12" s="12" t="s">
        <v>149</v>
      </c>
      <c r="L12" s="220">
        <v>32.56</v>
      </c>
      <c r="M12" s="221">
        <f>L12-I12</f>
        <v>-0.23999999999999488</v>
      </c>
      <c r="N12" s="192">
        <v>6</v>
      </c>
      <c r="O12" s="195">
        <v>14</v>
      </c>
      <c r="P12" s="196">
        <v>1</v>
      </c>
      <c r="Q12" s="196">
        <v>10.4</v>
      </c>
      <c r="R12" s="196">
        <v>6.9</v>
      </c>
      <c r="S12" s="196">
        <v>0.3</v>
      </c>
      <c r="T12" s="194">
        <v>770</v>
      </c>
      <c r="U12" s="224"/>
      <c r="V12" s="224"/>
      <c r="W12" s="4"/>
      <c r="X12" s="4"/>
    </row>
    <row r="13" spans="1:24" ht="14.25" x14ac:dyDescent="0.2">
      <c r="A13" s="225" t="s">
        <v>17</v>
      </c>
      <c r="B13" s="191">
        <v>41106</v>
      </c>
      <c r="C13" s="191" t="s">
        <v>197</v>
      </c>
      <c r="D13" s="192" t="s">
        <v>198</v>
      </c>
      <c r="E13" s="192">
        <v>2012</v>
      </c>
      <c r="F13" s="193" t="s">
        <v>199</v>
      </c>
      <c r="G13" s="194" t="s">
        <v>200</v>
      </c>
      <c r="H13" s="177" t="s">
        <v>17</v>
      </c>
      <c r="I13" s="219">
        <v>24.8</v>
      </c>
      <c r="J13" s="118" t="s">
        <v>145</v>
      </c>
      <c r="K13" s="12" t="s">
        <v>149</v>
      </c>
      <c r="L13" s="220">
        <v>25.14</v>
      </c>
      <c r="M13" s="221">
        <f>L13-I13</f>
        <v>0.33999999999999986</v>
      </c>
      <c r="N13" s="192">
        <v>6</v>
      </c>
      <c r="O13" s="195">
        <v>9.6</v>
      </c>
      <c r="P13" s="196">
        <v>1.8</v>
      </c>
      <c r="Q13" s="196">
        <v>10.199999999999999</v>
      </c>
      <c r="R13" s="196">
        <v>9.6</v>
      </c>
      <c r="S13" s="196">
        <v>0</v>
      </c>
      <c r="T13" s="194">
        <v>735</v>
      </c>
      <c r="U13" s="224"/>
      <c r="V13" s="224"/>
      <c r="W13" s="4"/>
      <c r="X13" s="4"/>
    </row>
    <row r="14" spans="1:24" ht="14.25" x14ac:dyDescent="0.2">
      <c r="A14" s="225" t="s">
        <v>17</v>
      </c>
      <c r="B14" s="191">
        <v>41110</v>
      </c>
      <c r="C14" s="191" t="s">
        <v>197</v>
      </c>
      <c r="D14" s="192" t="s">
        <v>187</v>
      </c>
      <c r="E14" s="192">
        <v>2012</v>
      </c>
      <c r="F14" s="193" t="s">
        <v>188</v>
      </c>
      <c r="G14" s="194" t="s">
        <v>189</v>
      </c>
      <c r="H14" s="177" t="s">
        <v>17</v>
      </c>
      <c r="I14" s="219">
        <v>32.799999999999997</v>
      </c>
      <c r="J14" s="118" t="s">
        <v>145</v>
      </c>
      <c r="K14" s="12" t="s">
        <v>149</v>
      </c>
      <c r="L14" s="220">
        <v>32.56</v>
      </c>
      <c r="M14" s="221">
        <f>L14-I14</f>
        <v>-0.23999999999999488</v>
      </c>
      <c r="N14" s="192">
        <v>6</v>
      </c>
      <c r="O14" s="195">
        <v>14</v>
      </c>
      <c r="P14" s="196">
        <v>1</v>
      </c>
      <c r="Q14" s="196">
        <v>10.4</v>
      </c>
      <c r="R14" s="196">
        <v>6.9</v>
      </c>
      <c r="S14" s="196">
        <v>0.3</v>
      </c>
      <c r="T14" s="194">
        <v>770</v>
      </c>
      <c r="U14" s="224"/>
      <c r="V14" s="224"/>
      <c r="W14" s="4"/>
      <c r="X14" s="4"/>
    </row>
    <row r="15" spans="1:24" ht="14.25" x14ac:dyDescent="0.2">
      <c r="A15" s="225" t="s">
        <v>17</v>
      </c>
      <c r="B15" s="191">
        <v>41106</v>
      </c>
      <c r="C15" s="191" t="s">
        <v>197</v>
      </c>
      <c r="D15" s="192" t="s">
        <v>198</v>
      </c>
      <c r="E15" s="192">
        <v>2012</v>
      </c>
      <c r="F15" s="193" t="s">
        <v>199</v>
      </c>
      <c r="G15" s="194" t="s">
        <v>200</v>
      </c>
      <c r="H15" s="177" t="s">
        <v>17</v>
      </c>
      <c r="I15" s="219">
        <v>24.8</v>
      </c>
      <c r="J15" s="118" t="s">
        <v>145</v>
      </c>
      <c r="K15" s="12" t="s">
        <v>149</v>
      </c>
      <c r="L15" s="220">
        <v>25.14</v>
      </c>
      <c r="M15" s="221">
        <f>L15-I15</f>
        <v>0.33999999999999986</v>
      </c>
      <c r="N15" s="192">
        <v>6</v>
      </c>
      <c r="O15" s="195">
        <v>9.6</v>
      </c>
      <c r="P15" s="196">
        <v>1.8</v>
      </c>
      <c r="Q15" s="196">
        <v>10.199999999999999</v>
      </c>
      <c r="R15" s="196">
        <v>9.6</v>
      </c>
      <c r="S15" s="196">
        <v>0</v>
      </c>
      <c r="T15" s="194">
        <v>735</v>
      </c>
      <c r="U15" s="224"/>
      <c r="V15" s="224"/>
      <c r="W15" s="4"/>
      <c r="X15" s="4"/>
    </row>
    <row r="16" spans="1:24" ht="14.25" x14ac:dyDescent="0.2">
      <c r="A16" s="225"/>
      <c r="B16" s="226"/>
      <c r="C16" s="225"/>
      <c r="D16" s="225"/>
      <c r="E16" s="227" t="s">
        <v>20</v>
      </c>
      <c r="F16" s="225"/>
      <c r="G16" s="225"/>
      <c r="H16" s="228"/>
      <c r="I16" s="229"/>
      <c r="J16" s="229"/>
      <c r="K16" s="230"/>
      <c r="L16" s="225"/>
      <c r="M16" s="233"/>
      <c r="N16" s="231"/>
      <c r="O16" s="232"/>
      <c r="P16" s="232"/>
      <c r="Q16" s="224"/>
      <c r="R16" s="224"/>
      <c r="S16" s="224"/>
      <c r="T16" s="224"/>
      <c r="U16" s="224"/>
      <c r="V16" s="224"/>
      <c r="W16" s="4"/>
      <c r="X16" s="4"/>
    </row>
    <row r="17" spans="1:24" ht="14.25" x14ac:dyDescent="0.2">
      <c r="A17" s="225"/>
      <c r="B17" s="226"/>
      <c r="C17" s="225"/>
      <c r="D17" s="225"/>
      <c r="E17" s="227" t="s">
        <v>20</v>
      </c>
      <c r="F17" s="225"/>
      <c r="G17" s="225"/>
      <c r="H17" s="228"/>
      <c r="I17" s="229"/>
      <c r="J17" s="229"/>
      <c r="K17" s="230"/>
      <c r="L17" s="225"/>
      <c r="M17" s="233"/>
      <c r="N17" s="231"/>
      <c r="O17" s="232"/>
      <c r="P17" s="232"/>
      <c r="Q17" s="224"/>
      <c r="R17" s="224"/>
      <c r="S17" s="224"/>
      <c r="T17" s="224"/>
      <c r="U17" s="224"/>
      <c r="V17" s="224"/>
      <c r="W17" s="4"/>
      <c r="X17" s="4"/>
    </row>
    <row r="18" spans="1:24" ht="14.25" x14ac:dyDescent="0.2">
      <c r="A18" s="225"/>
      <c r="B18" s="226"/>
      <c r="C18" s="225"/>
      <c r="D18" s="225"/>
      <c r="E18" s="227" t="s">
        <v>20</v>
      </c>
      <c r="F18" s="225"/>
      <c r="G18" s="225"/>
      <c r="H18" s="228"/>
      <c r="I18" s="229"/>
      <c r="J18" s="229"/>
      <c r="K18" s="230"/>
      <c r="L18" s="225"/>
      <c r="M18" s="233"/>
      <c r="N18" s="231"/>
      <c r="O18" s="232"/>
      <c r="P18" s="232"/>
      <c r="Q18" s="224"/>
      <c r="R18" s="224"/>
      <c r="S18" s="224"/>
      <c r="T18" s="224"/>
      <c r="U18" s="224"/>
      <c r="V18" s="224"/>
      <c r="W18" s="4"/>
      <c r="X18" s="4"/>
    </row>
    <row r="19" spans="1:24" ht="14.25" x14ac:dyDescent="0.2">
      <c r="A19" s="225"/>
      <c r="B19" s="226"/>
      <c r="C19" s="225"/>
      <c r="D19" s="225"/>
      <c r="E19" s="227" t="s">
        <v>20</v>
      </c>
      <c r="F19" s="225"/>
      <c r="G19" s="225"/>
      <c r="H19" s="228"/>
      <c r="I19" s="229"/>
      <c r="J19" s="229"/>
      <c r="K19" s="230"/>
      <c r="L19" s="225"/>
      <c r="M19" s="233"/>
      <c r="N19" s="231"/>
      <c r="O19" s="232"/>
      <c r="P19" s="232"/>
      <c r="Q19" s="224"/>
      <c r="R19" s="224"/>
      <c r="S19" s="224"/>
      <c r="T19" s="224"/>
      <c r="U19" s="224"/>
      <c r="V19" s="224"/>
      <c r="W19" s="4"/>
      <c r="X19" s="4"/>
    </row>
    <row r="20" spans="1:24" ht="14.25" x14ac:dyDescent="0.2">
      <c r="A20" s="225"/>
      <c r="B20" s="226"/>
      <c r="C20" s="225"/>
      <c r="D20" s="225"/>
      <c r="E20" s="227" t="s">
        <v>20</v>
      </c>
      <c r="F20" s="225"/>
      <c r="G20" s="225"/>
      <c r="H20" s="228"/>
      <c r="I20" s="229"/>
      <c r="J20" s="229"/>
      <c r="K20" s="230"/>
      <c r="L20" s="225"/>
      <c r="M20" s="233"/>
      <c r="N20" s="231"/>
      <c r="O20" s="232"/>
      <c r="P20" s="232"/>
      <c r="Q20" s="234"/>
      <c r="R20" s="234"/>
      <c r="S20" s="234"/>
      <c r="T20" s="234"/>
      <c r="U20" s="234"/>
      <c r="V20" s="234"/>
    </row>
    <row r="27" spans="1:24" ht="15" x14ac:dyDescent="0.25">
      <c r="A27" s="222"/>
      <c r="B27" s="222"/>
      <c r="C27" s="222"/>
      <c r="D27" s="222"/>
      <c r="E27" s="222"/>
      <c r="F27" s="222"/>
      <c r="G27" s="222"/>
      <c r="H27" s="222"/>
      <c r="I27" s="222"/>
      <c r="J27" s="222"/>
      <c r="K27" s="222"/>
      <c r="L27" s="222"/>
      <c r="M27" s="222"/>
      <c r="N27" s="222"/>
      <c r="O27" s="222"/>
      <c r="P27" s="222"/>
      <c r="Q27" s="222"/>
      <c r="R27" s="222"/>
      <c r="S27" s="222"/>
      <c r="T27" s="222"/>
      <c r="U27" s="222"/>
      <c r="V27" s="222"/>
    </row>
  </sheetData>
  <autoFilter ref="A9:O10">
    <filterColumn colId="12" showButton="0"/>
    <filterColumn colId="13" showButton="0"/>
  </autoFilter>
  <mergeCells count="6">
    <mergeCell ref="V9:V10"/>
    <mergeCell ref="D9:D10"/>
    <mergeCell ref="M9:M10"/>
    <mergeCell ref="N9:N10"/>
    <mergeCell ref="O9:T9"/>
    <mergeCell ref="U9:U10"/>
  </mergeCells>
  <pageMargins left="0.19685039370078741" right="0.15748031496062992" top="0.98425196850393704" bottom="0.98425196850393704" header="0.51181102362204722" footer="0.51181102362204722"/>
  <pageSetup scale="80" orientation="landscape" r:id="rId1"/>
  <headerFooter alignWithMargins="0"/>
  <drawing r:id="rId2"/>
  <legacyDrawing r:id="rId3"/>
  <controls>
    <mc:AlternateContent xmlns:mc="http://schemas.openxmlformats.org/markup-compatibility/2006">
      <mc:Choice Requires="x14">
        <control shapeId="57345" r:id="rId4" name="CommandButton1801">
          <controlPr defaultSize="0" autoLine="0" autoPict="0" r:id="rId5">
            <anchor moveWithCells="1">
              <from>
                <xdr:col>0</xdr:col>
                <xdr:colOff>0</xdr:colOff>
                <xdr:row>1</xdr:row>
                <xdr:rowOff>19050</xdr:rowOff>
              </from>
              <to>
                <xdr:col>3</xdr:col>
                <xdr:colOff>9525</xdr:colOff>
                <xdr:row>3</xdr:row>
                <xdr:rowOff>161925</xdr:rowOff>
              </to>
            </anchor>
          </controlPr>
        </control>
      </mc:Choice>
      <mc:Fallback>
        <control shapeId="57345" r:id="rId4" name="CommandButton1801"/>
      </mc:Fallback>
    </mc:AlternateContent>
    <mc:AlternateContent xmlns:mc="http://schemas.openxmlformats.org/markup-compatibility/2006">
      <mc:Choice Requires="x14">
        <control shapeId="57346" r:id="rId6" name="CommandButton1803">
          <controlPr defaultSize="0" autoLine="0" autoPict="0" r:id="rId7">
            <anchor moveWithCells="1">
              <from>
                <xdr:col>13</xdr:col>
                <xdr:colOff>19050</xdr:colOff>
                <xdr:row>1</xdr:row>
                <xdr:rowOff>9525</xdr:rowOff>
              </from>
              <to>
                <xdr:col>14</xdr:col>
                <xdr:colOff>600075</xdr:colOff>
                <xdr:row>3</xdr:row>
                <xdr:rowOff>161925</xdr:rowOff>
              </to>
            </anchor>
          </controlPr>
        </control>
      </mc:Choice>
      <mc:Fallback>
        <control shapeId="57346" r:id="rId6" name="CommandButton1803"/>
      </mc:Fallback>
    </mc:AlternateContent>
    <mc:AlternateContent xmlns:mc="http://schemas.openxmlformats.org/markup-compatibility/2006">
      <mc:Choice Requires="x14">
        <control shapeId="57347" r:id="rId8" name="CommandButton1802">
          <controlPr defaultSize="0" autoLine="0" autoPict="0" r:id="rId9">
            <anchor moveWithCells="1">
              <from>
                <xdr:col>5</xdr:col>
                <xdr:colOff>28575</xdr:colOff>
                <xdr:row>1</xdr:row>
                <xdr:rowOff>9525</xdr:rowOff>
              </from>
              <to>
                <xdr:col>7</xdr:col>
                <xdr:colOff>0</xdr:colOff>
                <xdr:row>3</xdr:row>
                <xdr:rowOff>152400</xdr:rowOff>
              </to>
            </anchor>
          </controlPr>
        </control>
      </mc:Choice>
      <mc:Fallback>
        <control shapeId="57347" r:id="rId8" name="CommandButton180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V94"/>
  <sheetViews>
    <sheetView workbookViewId="0">
      <pane ySplit="10" topLeftCell="A11" activePane="bottomLeft" state="frozen"/>
      <selection pane="bottomLeft" activeCell="I29" sqref="I29"/>
    </sheetView>
  </sheetViews>
  <sheetFormatPr defaultRowHeight="12.75" x14ac:dyDescent="0.2"/>
  <cols>
    <col min="1" max="1" width="7.7109375" style="8" customWidth="1"/>
    <col min="2" max="2" width="19.5703125" style="8" customWidth="1"/>
    <col min="3" max="3" width="15.7109375" style="8" customWidth="1"/>
    <col min="4" max="12" width="10.7109375" style="8" customWidth="1"/>
    <col min="13" max="13" width="15.7109375" style="8" customWidth="1"/>
    <col min="14" max="15" width="10.7109375" style="8" customWidth="1"/>
    <col min="16" max="16384" width="9.140625" style="8"/>
  </cols>
  <sheetData>
    <row r="1" spans="1:18" x14ac:dyDescent="0.2">
      <c r="A1" s="7">
        <v>1</v>
      </c>
      <c r="B1" s="7">
        <v>2</v>
      </c>
      <c r="C1" s="7">
        <v>3</v>
      </c>
      <c r="D1" s="7">
        <v>4</v>
      </c>
      <c r="E1" s="7">
        <v>5</v>
      </c>
      <c r="F1" s="7">
        <v>6</v>
      </c>
      <c r="G1" s="7">
        <v>7</v>
      </c>
      <c r="H1" s="7">
        <v>8</v>
      </c>
      <c r="I1" s="7">
        <v>9</v>
      </c>
      <c r="J1" s="7">
        <v>10</v>
      </c>
      <c r="K1" s="7">
        <v>11</v>
      </c>
      <c r="L1" s="7">
        <v>12</v>
      </c>
      <c r="M1" s="7">
        <v>13</v>
      </c>
      <c r="N1" s="7">
        <v>14</v>
      </c>
      <c r="O1" s="7">
        <v>15</v>
      </c>
      <c r="P1" s="7">
        <v>16</v>
      </c>
    </row>
    <row r="2" spans="1:18" x14ac:dyDescent="0.2">
      <c r="K2" s="32" t="s">
        <v>138</v>
      </c>
      <c r="L2" s="32" t="s">
        <v>113</v>
      </c>
    </row>
    <row r="3" spans="1:18" x14ac:dyDescent="0.2">
      <c r="K3" s="32" t="s">
        <v>139</v>
      </c>
      <c r="L3" s="32" t="s">
        <v>3</v>
      </c>
    </row>
    <row r="4" spans="1:18" ht="13.5" thickBot="1" x14ac:dyDescent="0.25">
      <c r="K4" s="32" t="s">
        <v>140</v>
      </c>
      <c r="L4" s="32"/>
    </row>
    <row r="5" spans="1:18" ht="13.5" thickBot="1" x14ac:dyDescent="0.25">
      <c r="C5" s="30" t="s">
        <v>65</v>
      </c>
      <c r="D5" s="11"/>
      <c r="G5" s="109"/>
      <c r="K5" s="32" t="s">
        <v>141</v>
      </c>
      <c r="L5" s="32"/>
    </row>
    <row r="9" spans="1:18" ht="13.5" thickBot="1" x14ac:dyDescent="0.25">
      <c r="N9" s="33"/>
    </row>
    <row r="10" spans="1:18" ht="39" thickBot="1" x14ac:dyDescent="0.25">
      <c r="A10" s="38" t="s">
        <v>15</v>
      </c>
      <c r="B10" s="34" t="s">
        <v>42</v>
      </c>
      <c r="C10" s="34" t="s">
        <v>43</v>
      </c>
      <c r="D10" s="34" t="s">
        <v>44</v>
      </c>
      <c r="E10" s="35" t="s">
        <v>45</v>
      </c>
      <c r="F10" s="35" t="s">
        <v>46</v>
      </c>
      <c r="G10" s="441" t="s">
        <v>47</v>
      </c>
      <c r="H10" s="441" t="s">
        <v>48</v>
      </c>
      <c r="I10" s="34" t="s">
        <v>49</v>
      </c>
      <c r="J10" s="35" t="s">
        <v>54</v>
      </c>
      <c r="K10" s="36" t="s">
        <v>50</v>
      </c>
      <c r="L10" s="36" t="s">
        <v>51</v>
      </c>
      <c r="M10" s="36" t="s">
        <v>16</v>
      </c>
      <c r="N10" s="35" t="s">
        <v>52</v>
      </c>
      <c r="O10" s="37" t="s">
        <v>53</v>
      </c>
    </row>
    <row r="11" spans="1:18" customFormat="1" ht="13.5" customHeight="1" thickBot="1" x14ac:dyDescent="0.25">
      <c r="A11" s="503" t="s">
        <v>17</v>
      </c>
      <c r="B11" s="34" t="s">
        <v>299</v>
      </c>
      <c r="C11" s="35" t="s">
        <v>300</v>
      </c>
      <c r="D11" s="508" t="s">
        <v>297</v>
      </c>
      <c r="E11" s="504">
        <v>95448031</v>
      </c>
      <c r="F11" s="505">
        <v>44430395</v>
      </c>
      <c r="G11" s="506">
        <v>68560</v>
      </c>
      <c r="H11" s="506">
        <v>68650</v>
      </c>
      <c r="I11" s="506">
        <v>68650</v>
      </c>
      <c r="J11" s="506">
        <v>68650</v>
      </c>
      <c r="K11" s="32" t="s">
        <v>140</v>
      </c>
      <c r="L11" s="32"/>
      <c r="M11" s="507" t="s">
        <v>302</v>
      </c>
      <c r="N11" s="507" t="s">
        <v>301</v>
      </c>
      <c r="O11" s="8"/>
      <c r="P11" s="8"/>
      <c r="Q11" s="8"/>
      <c r="R11" s="8"/>
    </row>
    <row r="12" spans="1:18" customFormat="1" ht="13.5" customHeight="1" thickBot="1" x14ac:dyDescent="0.25">
      <c r="A12" s="503" t="s">
        <v>17</v>
      </c>
      <c r="B12" s="34" t="s">
        <v>299</v>
      </c>
      <c r="C12" s="35" t="s">
        <v>300</v>
      </c>
      <c r="D12" s="508" t="s">
        <v>297</v>
      </c>
      <c r="E12" s="504">
        <v>95617981</v>
      </c>
      <c r="F12" s="505">
        <v>44430395</v>
      </c>
      <c r="G12" s="506">
        <v>67800</v>
      </c>
      <c r="H12" s="506">
        <v>67900</v>
      </c>
      <c r="I12" s="506">
        <v>67900</v>
      </c>
      <c r="J12" s="506">
        <v>67900</v>
      </c>
      <c r="K12" s="32" t="s">
        <v>140</v>
      </c>
      <c r="L12" s="32"/>
      <c r="M12" s="507" t="s">
        <v>302</v>
      </c>
      <c r="N12" s="507" t="s">
        <v>301</v>
      </c>
      <c r="O12" s="8"/>
      <c r="P12" s="8"/>
      <c r="Q12" s="8"/>
      <c r="R12" s="8"/>
    </row>
    <row r="13" spans="1:18" customFormat="1" ht="13.5" customHeight="1" thickBot="1" x14ac:dyDescent="0.25">
      <c r="A13" s="503" t="s">
        <v>17</v>
      </c>
      <c r="B13" s="34" t="s">
        <v>299</v>
      </c>
      <c r="C13" s="35" t="s">
        <v>300</v>
      </c>
      <c r="D13" s="508" t="s">
        <v>297</v>
      </c>
      <c r="E13" s="504">
        <v>95364568</v>
      </c>
      <c r="F13" s="505">
        <v>44430395</v>
      </c>
      <c r="G13" s="506">
        <v>70000</v>
      </c>
      <c r="H13" s="506">
        <v>70200</v>
      </c>
      <c r="I13" s="506">
        <v>70200</v>
      </c>
      <c r="J13" s="506">
        <v>70200</v>
      </c>
      <c r="K13" s="32" t="s">
        <v>140</v>
      </c>
      <c r="L13" s="32"/>
      <c r="M13" s="507" t="s">
        <v>302</v>
      </c>
      <c r="N13" s="507" t="s">
        <v>301</v>
      </c>
      <c r="O13" s="8"/>
      <c r="P13" s="8"/>
      <c r="Q13" s="8"/>
      <c r="R13" s="8"/>
    </row>
    <row r="14" spans="1:18" customFormat="1" ht="13.5" customHeight="1" thickBot="1" x14ac:dyDescent="0.25">
      <c r="A14" s="503" t="s">
        <v>17</v>
      </c>
      <c r="B14" s="34" t="s">
        <v>299</v>
      </c>
      <c r="C14" s="35" t="s">
        <v>300</v>
      </c>
      <c r="D14" s="508" t="s">
        <v>297</v>
      </c>
      <c r="E14" s="504">
        <v>95357802</v>
      </c>
      <c r="F14" s="505">
        <v>44430395</v>
      </c>
      <c r="G14" s="506">
        <v>68980</v>
      </c>
      <c r="H14" s="506">
        <v>69100</v>
      </c>
      <c r="I14" s="506">
        <v>69100</v>
      </c>
      <c r="J14" s="506">
        <v>69100</v>
      </c>
      <c r="K14" s="32" t="s">
        <v>140</v>
      </c>
      <c r="L14" s="32"/>
      <c r="M14" s="507" t="s">
        <v>302</v>
      </c>
      <c r="N14" s="507" t="s">
        <v>301</v>
      </c>
      <c r="O14" s="8"/>
      <c r="P14" s="8"/>
      <c r="Q14" s="8"/>
      <c r="R14" s="8"/>
    </row>
    <row r="15" spans="1:18" s="517" customFormat="1" ht="13.5" customHeight="1" x14ac:dyDescent="0.2">
      <c r="A15" s="513"/>
      <c r="B15" s="514"/>
      <c r="C15" s="514"/>
      <c r="D15" s="515"/>
      <c r="E15" s="515"/>
      <c r="F15" s="514"/>
      <c r="G15" s="516"/>
      <c r="H15" s="514"/>
      <c r="I15" s="516"/>
      <c r="J15" s="516"/>
      <c r="K15" s="514"/>
      <c r="L15" s="516"/>
      <c r="M15" s="514"/>
      <c r="N15" s="514"/>
      <c r="O15" s="515"/>
      <c r="P15" s="514"/>
    </row>
    <row r="16" spans="1:18" s="517" customFormat="1" ht="13.5" customHeight="1" thickBot="1" x14ac:dyDescent="0.25">
      <c r="A16" s="513"/>
      <c r="B16" s="514"/>
      <c r="C16" s="514"/>
      <c r="D16" s="515"/>
      <c r="E16" s="515"/>
      <c r="F16" s="514"/>
      <c r="G16" s="516"/>
      <c r="H16" s="514"/>
      <c r="I16" s="516"/>
      <c r="J16" s="516"/>
      <c r="K16" s="514"/>
      <c r="L16" s="516"/>
      <c r="M16" s="514"/>
      <c r="N16" s="514"/>
      <c r="O16" s="515"/>
      <c r="P16" s="514"/>
    </row>
    <row r="17" spans="1:24" customFormat="1" ht="13.5" customHeight="1" thickBot="1" x14ac:dyDescent="0.25">
      <c r="A17" s="477"/>
      <c r="B17" s="478"/>
      <c r="C17" s="478"/>
      <c r="D17" s="34"/>
      <c r="E17" s="475"/>
      <c r="F17" s="476"/>
      <c r="G17" s="480"/>
      <c r="H17" s="480"/>
      <c r="I17" s="480"/>
      <c r="J17" s="480"/>
      <c r="K17" s="478"/>
      <c r="L17" s="10"/>
      <c r="M17" s="31"/>
      <c r="N17" s="478"/>
      <c r="O17" s="10"/>
      <c r="P17" s="4"/>
      <c r="Q17" s="4"/>
      <c r="R17" s="4"/>
      <c r="S17" s="4"/>
      <c r="T17" s="4"/>
      <c r="U17" s="4"/>
      <c r="V17" s="4"/>
      <c r="W17" s="4"/>
      <c r="X17" s="4"/>
    </row>
    <row r="18" spans="1:24" customFormat="1" ht="13.5" customHeight="1" thickBot="1" x14ac:dyDescent="0.25">
      <c r="A18" s="477"/>
      <c r="B18" s="478"/>
      <c r="C18" s="478"/>
      <c r="D18" s="34"/>
      <c r="E18" s="475"/>
      <c r="F18" s="476"/>
      <c r="G18" s="480"/>
      <c r="H18" s="480"/>
      <c r="I18" s="480"/>
      <c r="J18" s="480"/>
      <c r="K18" s="478"/>
      <c r="L18" s="10"/>
      <c r="M18" s="31"/>
      <c r="N18" s="478"/>
      <c r="O18" s="10"/>
      <c r="P18" s="4"/>
      <c r="Q18" s="4"/>
      <c r="R18" s="4"/>
      <c r="S18" s="4"/>
      <c r="T18" s="4"/>
      <c r="U18" s="4"/>
      <c r="V18" s="4"/>
      <c r="W18" s="4"/>
      <c r="X18" s="4"/>
    </row>
    <row r="19" spans="1:24" customFormat="1" ht="13.5" customHeight="1" thickBot="1" x14ac:dyDescent="0.25">
      <c r="A19" s="477"/>
      <c r="B19" s="478"/>
      <c r="C19" s="478"/>
      <c r="D19" s="34"/>
      <c r="E19" s="475"/>
      <c r="F19" s="476"/>
      <c r="G19" s="480"/>
      <c r="H19" s="480"/>
      <c r="I19" s="480"/>
      <c r="J19" s="480"/>
      <c r="K19" s="478"/>
      <c r="L19" s="10"/>
      <c r="M19" s="31"/>
      <c r="N19" s="478"/>
      <c r="O19" s="10"/>
      <c r="P19" s="4"/>
      <c r="Q19" s="4"/>
      <c r="R19" s="4"/>
      <c r="S19" s="4"/>
      <c r="T19" s="4"/>
      <c r="U19" s="4"/>
      <c r="V19" s="4"/>
      <c r="W19" s="4"/>
      <c r="X19" s="4"/>
    </row>
    <row r="20" spans="1:24" customFormat="1" ht="13.5" customHeight="1" thickBot="1" x14ac:dyDescent="0.25">
      <c r="A20" s="477"/>
      <c r="B20" s="478"/>
      <c r="C20" s="478"/>
      <c r="D20" s="34"/>
      <c r="E20" s="475"/>
      <c r="F20" s="476"/>
      <c r="G20" s="480"/>
      <c r="H20" s="480"/>
      <c r="I20" s="480"/>
      <c r="J20" s="480"/>
      <c r="K20" s="478"/>
      <c r="L20" s="10"/>
      <c r="M20" s="31"/>
      <c r="N20" s="478"/>
      <c r="O20" s="10"/>
      <c r="P20" s="4"/>
      <c r="Q20" s="4"/>
      <c r="R20" s="4"/>
      <c r="S20" s="4"/>
      <c r="T20" s="4"/>
      <c r="U20" s="4"/>
      <c r="V20" s="4"/>
      <c r="W20" s="4"/>
      <c r="X20" s="4"/>
    </row>
    <row r="21" spans="1:24" customFormat="1" ht="13.5" customHeight="1" thickBot="1" x14ac:dyDescent="0.25">
      <c r="A21" s="477"/>
      <c r="B21" s="478"/>
      <c r="C21" s="478"/>
      <c r="D21" s="34"/>
      <c r="E21" s="475"/>
      <c r="F21" s="476"/>
      <c r="G21" s="480"/>
      <c r="H21" s="480"/>
      <c r="I21" s="480"/>
      <c r="J21" s="480"/>
      <c r="K21" s="478"/>
      <c r="L21" s="10"/>
      <c r="M21" s="31"/>
      <c r="N21" s="478"/>
      <c r="O21" s="10"/>
      <c r="P21" s="4"/>
      <c r="Q21" s="4"/>
      <c r="R21" s="4"/>
      <c r="S21" s="4"/>
      <c r="T21" s="4"/>
      <c r="U21" s="4"/>
      <c r="V21" s="4"/>
      <c r="W21" s="4"/>
      <c r="X21" s="4"/>
    </row>
    <row r="22" spans="1:24" customFormat="1" ht="13.5" customHeight="1" thickBot="1" x14ac:dyDescent="0.25">
      <c r="A22" s="477"/>
      <c r="B22" s="478"/>
      <c r="C22" s="478"/>
      <c r="D22" s="34"/>
      <c r="E22" s="475"/>
      <c r="F22" s="476"/>
      <c r="G22" s="480"/>
      <c r="H22" s="480"/>
      <c r="I22" s="480"/>
      <c r="J22" s="480"/>
      <c r="K22" s="478"/>
      <c r="L22" s="10"/>
      <c r="M22" s="31"/>
      <c r="N22" s="478"/>
      <c r="O22" s="10"/>
      <c r="P22" s="4"/>
      <c r="Q22" s="4"/>
      <c r="R22" s="4"/>
      <c r="S22" s="4"/>
      <c r="T22" s="4"/>
      <c r="U22" s="4"/>
      <c r="V22" s="4"/>
      <c r="W22" s="4"/>
      <c r="X22" s="4"/>
    </row>
    <row r="23" spans="1:24" customFormat="1" ht="13.5" customHeight="1" thickBot="1" x14ac:dyDescent="0.25">
      <c r="A23" s="477"/>
      <c r="B23" s="478"/>
      <c r="C23" s="478"/>
      <c r="D23" s="34"/>
      <c r="E23" s="475"/>
      <c r="F23" s="476"/>
      <c r="G23" s="480"/>
      <c r="H23" s="480"/>
      <c r="I23" s="480"/>
      <c r="J23" s="480"/>
      <c r="K23" s="478"/>
      <c r="L23" s="10"/>
      <c r="M23" s="31"/>
      <c r="N23" s="478"/>
      <c r="O23" s="10"/>
      <c r="P23" s="4"/>
      <c r="Q23" s="4"/>
      <c r="R23" s="4"/>
      <c r="S23" s="4"/>
      <c r="T23" s="4"/>
      <c r="U23" s="4"/>
      <c r="V23" s="4"/>
      <c r="W23" s="4"/>
      <c r="X23" s="4"/>
    </row>
    <row r="24" spans="1:24" customFormat="1" ht="13.5" customHeight="1" thickBot="1" x14ac:dyDescent="0.25">
      <c r="A24" s="477"/>
      <c r="B24" s="478"/>
      <c r="C24" s="478"/>
      <c r="D24" s="34"/>
      <c r="E24" s="475"/>
      <c r="F24" s="476"/>
      <c r="G24" s="480"/>
      <c r="H24" s="480"/>
      <c r="I24" s="480"/>
      <c r="J24" s="480"/>
      <c r="K24" s="478"/>
      <c r="L24" s="10"/>
      <c r="M24" s="4"/>
      <c r="N24" s="478"/>
      <c r="O24" s="10"/>
      <c r="P24" s="4"/>
      <c r="Q24" s="4"/>
      <c r="R24" s="4"/>
      <c r="S24" s="4"/>
      <c r="T24" s="4"/>
      <c r="U24" s="4"/>
      <c r="V24" s="4"/>
      <c r="W24" s="4"/>
      <c r="X24" s="4"/>
    </row>
    <row r="25" spans="1:24" customFormat="1" ht="13.5" customHeight="1" thickBot="1" x14ac:dyDescent="0.25">
      <c r="A25" s="477"/>
      <c r="B25" s="478"/>
      <c r="C25" s="478"/>
      <c r="D25" s="34"/>
      <c r="E25" s="475"/>
      <c r="F25" s="476"/>
      <c r="G25" s="480"/>
      <c r="H25" s="480"/>
      <c r="I25" s="480"/>
      <c r="J25" s="480"/>
      <c r="K25" s="478"/>
      <c r="L25" s="10"/>
      <c r="M25" s="31"/>
      <c r="N25" s="478"/>
      <c r="O25" s="10"/>
      <c r="P25" s="4"/>
      <c r="Q25" s="4"/>
      <c r="R25" s="4"/>
      <c r="S25" s="4"/>
      <c r="T25" s="4"/>
      <c r="U25" s="4"/>
      <c r="V25" s="4"/>
      <c r="W25" s="4"/>
      <c r="X25" s="4"/>
    </row>
    <row r="26" spans="1:24" customFormat="1" ht="13.5" customHeight="1" thickBot="1" x14ac:dyDescent="0.25">
      <c r="A26" s="477"/>
      <c r="B26" s="478"/>
      <c r="C26" s="478"/>
      <c r="D26" s="34"/>
      <c r="E26" s="475"/>
      <c r="F26" s="476"/>
      <c r="G26" s="480"/>
      <c r="H26" s="480"/>
      <c r="I26" s="480"/>
      <c r="J26" s="480"/>
      <c r="K26" s="478"/>
      <c r="L26" s="10"/>
      <c r="M26" s="31"/>
      <c r="N26" s="478"/>
      <c r="O26" s="10"/>
      <c r="P26" s="4"/>
      <c r="Q26" s="4"/>
      <c r="R26" s="4"/>
      <c r="S26" s="4"/>
      <c r="T26" s="4"/>
      <c r="U26" s="4"/>
      <c r="V26" s="4"/>
      <c r="W26" s="4"/>
      <c r="X26" s="4"/>
    </row>
    <row r="27" spans="1:24" customFormat="1" ht="13.5" customHeight="1" thickBot="1" x14ac:dyDescent="0.25">
      <c r="A27" s="477"/>
      <c r="B27" s="478"/>
      <c r="C27" s="478"/>
      <c r="D27" s="34"/>
      <c r="E27" s="475"/>
      <c r="F27" s="476"/>
      <c r="G27" s="480"/>
      <c r="H27" s="480"/>
      <c r="I27" s="480"/>
      <c r="J27" s="480"/>
      <c r="K27" s="478"/>
      <c r="L27" s="10"/>
      <c r="M27" s="31"/>
      <c r="N27" s="478"/>
      <c r="O27" s="10"/>
      <c r="P27" s="4"/>
      <c r="Q27" s="4"/>
      <c r="R27" s="4"/>
      <c r="S27" s="4"/>
      <c r="T27" s="4"/>
      <c r="U27" s="4"/>
      <c r="V27" s="4"/>
      <c r="W27" s="4"/>
      <c r="X27" s="4"/>
    </row>
    <row r="28" spans="1:24" customFormat="1" ht="13.5" customHeight="1" thickBot="1" x14ac:dyDescent="0.25">
      <c r="A28" s="477"/>
      <c r="B28" s="478"/>
      <c r="C28" s="478"/>
      <c r="D28" s="34"/>
      <c r="E28" s="475"/>
      <c r="F28" s="476"/>
      <c r="G28" s="480"/>
      <c r="H28" s="480"/>
      <c r="I28" s="480"/>
      <c r="J28" s="480"/>
      <c r="K28" s="478"/>
      <c r="L28" s="10"/>
      <c r="M28" s="31"/>
      <c r="N28" s="478"/>
      <c r="O28" s="10"/>
      <c r="P28" s="4"/>
      <c r="Q28" s="4"/>
      <c r="R28" s="4"/>
      <c r="S28" s="4"/>
      <c r="T28" s="4"/>
      <c r="U28" s="4"/>
      <c r="V28" s="4"/>
      <c r="W28" s="4"/>
      <c r="X28" s="4"/>
    </row>
    <row r="29" spans="1:24" customFormat="1" ht="13.5" customHeight="1" thickBot="1" x14ac:dyDescent="0.25">
      <c r="A29" s="477"/>
      <c r="B29" s="478"/>
      <c r="C29" s="478"/>
      <c r="D29" s="34"/>
      <c r="E29" s="475"/>
      <c r="F29" s="476"/>
      <c r="G29" s="480"/>
      <c r="H29" s="480"/>
      <c r="I29" s="480"/>
      <c r="J29" s="480"/>
      <c r="K29" s="478"/>
      <c r="L29" s="10"/>
      <c r="M29" s="31"/>
      <c r="N29" s="478"/>
      <c r="O29" s="10"/>
      <c r="P29" s="4"/>
      <c r="Q29" s="4"/>
      <c r="R29" s="4"/>
      <c r="S29" s="4"/>
      <c r="T29" s="4"/>
      <c r="U29" s="4"/>
      <c r="V29" s="4"/>
      <c r="W29" s="4"/>
      <c r="X29" s="4"/>
    </row>
    <row r="30" spans="1:24" customFormat="1" ht="13.5" customHeight="1" thickBot="1" x14ac:dyDescent="0.25">
      <c r="A30" s="477"/>
      <c r="B30" s="478"/>
      <c r="C30" s="478"/>
      <c r="D30" s="34"/>
      <c r="E30" s="475"/>
      <c r="F30" s="476"/>
      <c r="G30" s="480"/>
      <c r="H30" s="480"/>
      <c r="I30" s="480"/>
      <c r="J30" s="480"/>
      <c r="K30" s="478"/>
      <c r="L30" s="10"/>
      <c r="M30" s="31"/>
      <c r="N30" s="478"/>
      <c r="O30" s="10"/>
      <c r="P30" s="4"/>
      <c r="Q30" s="4"/>
      <c r="R30" s="4"/>
      <c r="S30" s="4"/>
      <c r="T30" s="4"/>
      <c r="U30" s="4"/>
      <c r="V30" s="4"/>
      <c r="W30" s="4"/>
      <c r="X30" s="4"/>
    </row>
    <row r="31" spans="1:24" customFormat="1" ht="13.5" customHeight="1" thickBot="1" x14ac:dyDescent="0.25">
      <c r="A31" s="477"/>
      <c r="B31" s="478"/>
      <c r="C31" s="478"/>
      <c r="D31" s="34"/>
      <c r="E31" s="475"/>
      <c r="F31" s="476"/>
      <c r="G31" s="480"/>
      <c r="H31" s="480"/>
      <c r="I31" s="480"/>
      <c r="J31" s="480"/>
      <c r="K31" s="478"/>
      <c r="L31" s="10"/>
      <c r="M31" s="31"/>
      <c r="N31" s="478"/>
      <c r="O31" s="10"/>
      <c r="P31" s="4"/>
      <c r="Q31" s="4"/>
      <c r="R31" s="4"/>
      <c r="S31" s="4"/>
      <c r="T31" s="4"/>
      <c r="U31" s="4"/>
      <c r="V31" s="4"/>
      <c r="W31" s="4"/>
      <c r="X31" s="4"/>
    </row>
    <row r="32" spans="1:24" customFormat="1" ht="13.5" customHeight="1" thickBot="1" x14ac:dyDescent="0.3">
      <c r="A32" s="477"/>
      <c r="B32" s="478"/>
      <c r="C32" s="478"/>
      <c r="D32" s="34"/>
      <c r="E32" s="475"/>
      <c r="F32" s="476"/>
      <c r="G32" s="480"/>
      <c r="H32" s="480"/>
      <c r="I32" s="480"/>
      <c r="J32" s="480"/>
      <c r="K32" s="478"/>
      <c r="L32" s="10"/>
      <c r="M32" s="494"/>
      <c r="N32" s="478"/>
      <c r="O32" s="10"/>
      <c r="P32" s="4"/>
      <c r="Q32" s="4"/>
      <c r="R32" s="4"/>
      <c r="S32" s="4"/>
      <c r="T32" s="4"/>
      <c r="U32" s="4"/>
      <c r="V32" s="4"/>
      <c r="W32" s="4"/>
      <c r="X32" s="4"/>
    </row>
    <row r="33" spans="1:256" customFormat="1" ht="13.5" customHeight="1" thickBot="1" x14ac:dyDescent="0.25">
      <c r="A33" s="477"/>
      <c r="B33" s="478"/>
      <c r="C33" s="478"/>
      <c r="D33" s="34"/>
      <c r="E33" s="475"/>
      <c r="F33" s="476"/>
      <c r="G33" s="480"/>
      <c r="H33" s="480"/>
      <c r="I33" s="480"/>
      <c r="J33" s="480"/>
      <c r="K33" s="478"/>
      <c r="L33" s="10"/>
      <c r="M33" s="31"/>
      <c r="N33" s="478"/>
      <c r="O33" s="10"/>
      <c r="P33" s="4"/>
      <c r="Q33" s="4"/>
      <c r="R33" s="4"/>
      <c r="S33" s="4"/>
      <c r="T33" s="4"/>
      <c r="U33" s="4"/>
      <c r="V33" s="4"/>
      <c r="W33" s="4"/>
      <c r="X33" s="4"/>
    </row>
    <row r="34" spans="1:256" customFormat="1" ht="13.5" customHeight="1" thickBot="1" x14ac:dyDescent="0.25">
      <c r="A34" s="477"/>
      <c r="B34" s="478"/>
      <c r="C34" s="478"/>
      <c r="D34" s="34"/>
      <c r="E34" s="475"/>
      <c r="F34" s="476"/>
      <c r="G34" s="480"/>
      <c r="H34" s="480"/>
      <c r="I34" s="480"/>
      <c r="J34" s="480"/>
      <c r="K34" s="478"/>
      <c r="L34" s="10"/>
      <c r="M34" s="31"/>
      <c r="N34" s="478"/>
      <c r="O34" s="10"/>
      <c r="P34" s="4"/>
      <c r="Q34" s="4"/>
      <c r="R34" s="4"/>
      <c r="S34" s="4"/>
      <c r="T34" s="4"/>
      <c r="U34" s="4"/>
      <c r="V34" s="4"/>
      <c r="W34" s="4"/>
      <c r="X34" s="4"/>
    </row>
    <row r="35" spans="1:256" s="470" customFormat="1" ht="13.5" customHeight="1" x14ac:dyDescent="0.2">
      <c r="A35" s="472"/>
      <c r="B35" s="465"/>
      <c r="C35" s="465"/>
      <c r="D35" s="463"/>
      <c r="E35" s="448"/>
      <c r="F35" s="462"/>
      <c r="G35" s="464"/>
      <c r="H35" s="464"/>
      <c r="I35" s="464"/>
      <c r="J35" s="464"/>
      <c r="K35" s="465"/>
      <c r="L35" s="10"/>
      <c r="M35" s="31"/>
      <c r="N35" s="465"/>
      <c r="O35" s="4"/>
      <c r="P35" s="4"/>
      <c r="Q35" s="4"/>
      <c r="R35" s="4"/>
      <c r="S35" s="4"/>
      <c r="T35" s="4"/>
      <c r="U35" s="4"/>
      <c r="V35" s="4"/>
      <c r="W35" s="4"/>
      <c r="X35" s="4"/>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row>
    <row r="36" spans="1:256" s="470" customFormat="1" ht="13.5" customHeight="1" x14ac:dyDescent="0.2">
      <c r="A36" s="472"/>
      <c r="B36" s="465"/>
      <c r="C36" s="465"/>
      <c r="D36" s="463"/>
      <c r="E36" s="448"/>
      <c r="F36" s="462"/>
      <c r="G36" s="464"/>
      <c r="H36" s="464"/>
      <c r="I36" s="464"/>
      <c r="J36" s="464"/>
      <c r="K36" s="465"/>
      <c r="L36" s="10"/>
      <c r="M36" s="31"/>
      <c r="N36" s="465"/>
      <c r="O36" s="4"/>
      <c r="P36" s="4"/>
      <c r="Q36" s="4"/>
      <c r="R36" s="4"/>
      <c r="S36" s="4"/>
      <c r="T36" s="4"/>
      <c r="U36" s="4"/>
      <c r="V36" s="4"/>
      <c r="W36" s="4"/>
      <c r="X36" s="4"/>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row>
    <row r="37" spans="1:256" s="470" customFormat="1" ht="13.5" customHeight="1" x14ac:dyDescent="0.2">
      <c r="A37" s="472"/>
      <c r="B37" s="465"/>
      <c r="C37" s="465"/>
      <c r="D37" s="463"/>
      <c r="E37" s="448"/>
      <c r="F37" s="462"/>
      <c r="G37" s="464"/>
      <c r="H37" s="464"/>
      <c r="I37" s="464"/>
      <c r="J37" s="464"/>
      <c r="K37" s="465"/>
      <c r="L37" s="10"/>
      <c r="M37" s="31"/>
      <c r="N37" s="465"/>
      <c r="O37" s="4"/>
      <c r="P37" s="4"/>
      <c r="Q37" s="4"/>
      <c r="R37" s="4"/>
      <c r="S37" s="4"/>
      <c r="T37" s="4"/>
      <c r="U37" s="4"/>
      <c r="V37" s="4"/>
      <c r="W37" s="4"/>
      <c r="X37" s="4"/>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row>
    <row r="38" spans="1:256" s="470" customFormat="1" ht="13.5" customHeight="1" x14ac:dyDescent="0.2">
      <c r="A38" s="472"/>
      <c r="B38" s="465"/>
      <c r="C38" s="465"/>
      <c r="D38" s="463"/>
      <c r="E38" s="448"/>
      <c r="F38" s="462"/>
      <c r="G38" s="464"/>
      <c r="H38" s="464"/>
      <c r="I38" s="464"/>
      <c r="J38" s="464"/>
      <c r="K38" s="465"/>
      <c r="L38" s="10"/>
      <c r="M38" s="31"/>
      <c r="N38" s="465"/>
      <c r="O38" s="4"/>
      <c r="P38" s="4"/>
      <c r="Q38" s="4"/>
      <c r="R38" s="4"/>
      <c r="S38" s="4"/>
      <c r="T38" s="4"/>
      <c r="U38" s="4"/>
      <c r="V38" s="4"/>
      <c r="W38" s="4"/>
      <c r="X38" s="4"/>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row>
    <row r="39" spans="1:256" s="470" customFormat="1" ht="13.5" customHeight="1" x14ac:dyDescent="0.2">
      <c r="A39" s="472"/>
      <c r="B39" s="465"/>
      <c r="C39" s="465"/>
      <c r="D39" s="463"/>
      <c r="E39" s="448"/>
      <c r="F39" s="462"/>
      <c r="G39" s="464"/>
      <c r="H39" s="464"/>
      <c r="I39" s="464"/>
      <c r="J39" s="464"/>
      <c r="K39" s="465"/>
      <c r="L39" s="10"/>
      <c r="M39" s="31"/>
      <c r="N39" s="465"/>
      <c r="O39" s="4"/>
      <c r="P39" s="4"/>
      <c r="Q39" s="4"/>
      <c r="R39" s="4"/>
      <c r="S39" s="4"/>
      <c r="T39" s="4"/>
      <c r="U39" s="4"/>
      <c r="V39" s="4"/>
      <c r="W39" s="4"/>
      <c r="X39" s="4"/>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s="470" customFormat="1" ht="13.5" customHeight="1" x14ac:dyDescent="0.2">
      <c r="A40" s="472"/>
      <c r="B40" s="465"/>
      <c r="C40" s="465"/>
      <c r="D40" s="463"/>
      <c r="E40" s="448"/>
      <c r="F40" s="462"/>
      <c r="G40" s="464"/>
      <c r="H40" s="464"/>
      <c r="I40" s="464"/>
      <c r="J40" s="464"/>
      <c r="K40" s="465"/>
      <c r="L40" s="10"/>
      <c r="M40" s="31"/>
      <c r="N40" s="465"/>
      <c r="O40" s="4"/>
      <c r="P40" s="4"/>
      <c r="Q40" s="4"/>
      <c r="R40" s="4"/>
      <c r="S40" s="4"/>
      <c r="T40" s="4"/>
      <c r="U40" s="4"/>
      <c r="V40" s="4"/>
      <c r="W40" s="4"/>
      <c r="X40" s="4"/>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s="470" customFormat="1" ht="13.5" customHeight="1" x14ac:dyDescent="0.2">
      <c r="A41" s="472"/>
      <c r="B41" s="465"/>
      <c r="C41" s="465"/>
      <c r="D41" s="463"/>
      <c r="E41" s="448"/>
      <c r="F41" s="462"/>
      <c r="G41" s="464"/>
      <c r="H41" s="464"/>
      <c r="I41" s="464"/>
      <c r="J41" s="464"/>
      <c r="K41" s="465"/>
      <c r="L41" s="10"/>
      <c r="M41" s="31"/>
      <c r="N41" s="465"/>
      <c r="O41" s="4"/>
      <c r="P41" s="4"/>
      <c r="Q41" s="4"/>
      <c r="R41" s="4"/>
      <c r="S41" s="4"/>
      <c r="T41" s="4"/>
      <c r="U41" s="4"/>
      <c r="V41" s="4"/>
      <c r="W41" s="4"/>
      <c r="X41" s="4"/>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s="470" customFormat="1" ht="13.5" customHeight="1" x14ac:dyDescent="0.2">
      <c r="A42" s="472"/>
      <c r="B42" s="465"/>
      <c r="C42" s="465"/>
      <c r="D42" s="463"/>
      <c r="E42" s="448"/>
      <c r="F42" s="462"/>
      <c r="G42" s="464"/>
      <c r="H42" s="464"/>
      <c r="I42" s="464"/>
      <c r="J42" s="464"/>
      <c r="K42" s="465"/>
      <c r="L42" s="10"/>
      <c r="M42" s="31"/>
      <c r="N42" s="465"/>
      <c r="O42" s="4"/>
      <c r="P42" s="4"/>
      <c r="Q42" s="4"/>
      <c r="R42" s="4"/>
      <c r="S42" s="4"/>
      <c r="T42" s="4"/>
      <c r="U42" s="4"/>
      <c r="V42" s="4"/>
      <c r="W42" s="4"/>
      <c r="X42" s="4"/>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s="470" customFormat="1" ht="13.5" customHeight="1" x14ac:dyDescent="0.2">
      <c r="A43" s="472"/>
      <c r="B43" s="465"/>
      <c r="C43" s="465"/>
      <c r="D43" s="463"/>
      <c r="E43" s="448"/>
      <c r="F43" s="462"/>
      <c r="G43" s="464"/>
      <c r="H43" s="464"/>
      <c r="I43" s="464"/>
      <c r="J43" s="464"/>
      <c r="K43" s="465"/>
      <c r="L43" s="10"/>
      <c r="M43" s="31"/>
      <c r="N43" s="465"/>
      <c r="O43" s="4"/>
      <c r="P43" s="4"/>
      <c r="Q43" s="4"/>
      <c r="R43" s="4"/>
      <c r="S43" s="4"/>
      <c r="T43" s="4"/>
      <c r="U43" s="4"/>
      <c r="V43" s="4"/>
      <c r="W43" s="4"/>
      <c r="X43" s="4"/>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s="470" customFormat="1" ht="13.5" customHeight="1" x14ac:dyDescent="0.2">
      <c r="A44" s="472"/>
      <c r="B44" s="465"/>
      <c r="C44" s="465"/>
      <c r="D44" s="463"/>
      <c r="E44" s="448"/>
      <c r="F44" s="462"/>
      <c r="G44" s="464"/>
      <c r="H44" s="464"/>
      <c r="I44" s="464"/>
      <c r="J44" s="464"/>
      <c r="K44" s="465"/>
      <c r="L44" s="10"/>
      <c r="M44" s="4"/>
      <c r="N44" s="465"/>
      <c r="O44" s="4"/>
      <c r="P44" s="4"/>
      <c r="Q44" s="4"/>
      <c r="R44" s="4"/>
      <c r="S44" s="4"/>
      <c r="T44" s="4"/>
      <c r="U44" s="4"/>
      <c r="V44" s="4"/>
      <c r="W44" s="4"/>
      <c r="X44" s="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s="470" customFormat="1" ht="13.5" customHeight="1" x14ac:dyDescent="0.2">
      <c r="A45" s="472"/>
      <c r="B45" s="465"/>
      <c r="C45" s="465"/>
      <c r="D45" s="463"/>
      <c r="E45" s="448"/>
      <c r="F45" s="462"/>
      <c r="G45" s="464"/>
      <c r="H45" s="464"/>
      <c r="I45" s="464"/>
      <c r="J45" s="464"/>
      <c r="K45" s="465"/>
      <c r="L45" s="10"/>
      <c r="M45" s="31"/>
      <c r="N45" s="465"/>
      <c r="O45" s="4"/>
      <c r="P45" s="4"/>
      <c r="Q45" s="4"/>
      <c r="R45" s="4"/>
      <c r="S45" s="4"/>
      <c r="T45" s="4"/>
      <c r="U45" s="4"/>
      <c r="V45" s="4"/>
      <c r="W45" s="4"/>
      <c r="X45" s="4"/>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row>
    <row r="46" spans="1:256" s="470" customFormat="1" ht="13.5" customHeight="1" x14ac:dyDescent="0.2">
      <c r="A46" s="472"/>
      <c r="B46" s="465"/>
      <c r="C46" s="465"/>
      <c r="D46" s="463"/>
      <c r="E46" s="448"/>
      <c r="F46" s="462"/>
      <c r="G46" s="464"/>
      <c r="H46" s="464"/>
      <c r="I46" s="464"/>
      <c r="J46" s="464"/>
      <c r="K46" s="465"/>
      <c r="L46" s="10"/>
      <c r="M46" s="31"/>
      <c r="N46" s="465"/>
      <c r="O46" s="4"/>
      <c r="P46" s="4"/>
      <c r="Q46" s="4"/>
      <c r="R46" s="4"/>
      <c r="S46" s="4"/>
      <c r="T46" s="4"/>
      <c r="U46" s="4"/>
      <c r="V46" s="4"/>
      <c r="W46" s="4"/>
      <c r="X46" s="4"/>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s="470" customFormat="1" ht="13.5" customHeight="1" x14ac:dyDescent="0.2">
      <c r="A47" s="472"/>
      <c r="B47" s="465"/>
      <c r="C47" s="465"/>
      <c r="D47" s="463"/>
      <c r="E47" s="448"/>
      <c r="F47" s="462"/>
      <c r="G47" s="464"/>
      <c r="H47" s="464"/>
      <c r="I47" s="464"/>
      <c r="J47" s="464"/>
      <c r="K47" s="465"/>
      <c r="L47" s="10"/>
      <c r="M47" s="31"/>
      <c r="N47" s="465"/>
      <c r="O47" s="4"/>
      <c r="P47" s="4"/>
      <c r="Q47" s="4"/>
      <c r="R47" s="4"/>
      <c r="S47" s="4"/>
      <c r="T47" s="4"/>
      <c r="U47" s="4"/>
      <c r="V47" s="4"/>
      <c r="W47" s="4"/>
      <c r="X47" s="4"/>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s="470" customFormat="1" ht="13.5" customHeight="1" x14ac:dyDescent="0.2">
      <c r="A48" s="472"/>
      <c r="B48" s="465"/>
      <c r="C48" s="465"/>
      <c r="D48" s="463"/>
      <c r="E48" s="448"/>
      <c r="F48" s="462"/>
      <c r="G48" s="464"/>
      <c r="H48" s="464"/>
      <c r="I48" s="464"/>
      <c r="J48" s="464"/>
      <c r="K48" s="465"/>
      <c r="L48" s="10"/>
      <c r="M48" s="31"/>
      <c r="N48" s="465"/>
      <c r="O48" s="4"/>
      <c r="P48" s="4"/>
      <c r="Q48" s="4"/>
      <c r="R48" s="4"/>
      <c r="S48" s="4"/>
      <c r="T48" s="4"/>
      <c r="U48" s="4"/>
      <c r="V48" s="4"/>
      <c r="W48" s="4"/>
      <c r="X48" s="4"/>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470" customFormat="1" ht="13.5" customHeight="1" x14ac:dyDescent="0.2">
      <c r="A49" s="472"/>
      <c r="B49" s="465"/>
      <c r="C49" s="465"/>
      <c r="D49" s="463"/>
      <c r="E49" s="448"/>
      <c r="F49" s="462"/>
      <c r="G49" s="464"/>
      <c r="H49" s="464"/>
      <c r="I49" s="464"/>
      <c r="J49" s="464"/>
      <c r="K49" s="465"/>
      <c r="L49" s="10"/>
      <c r="M49" s="31"/>
      <c r="N49" s="465"/>
      <c r="O49" s="4"/>
      <c r="P49" s="4"/>
      <c r="Q49" s="4"/>
      <c r="R49" s="4"/>
      <c r="S49" s="4"/>
      <c r="T49" s="4"/>
      <c r="U49" s="4"/>
      <c r="V49" s="4"/>
      <c r="W49" s="4"/>
      <c r="X49" s="4"/>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470" customFormat="1" ht="13.5" customHeight="1" x14ac:dyDescent="0.2">
      <c r="A50" s="472"/>
      <c r="B50" s="465"/>
      <c r="C50" s="465"/>
      <c r="D50" s="463"/>
      <c r="E50" s="448"/>
      <c r="F50" s="462"/>
      <c r="G50" s="464"/>
      <c r="H50" s="464"/>
      <c r="I50" s="464"/>
      <c r="J50" s="464"/>
      <c r="K50" s="465"/>
      <c r="L50" s="10"/>
      <c r="M50" s="31"/>
      <c r="N50" s="465"/>
      <c r="O50" s="4"/>
      <c r="P50" s="4"/>
      <c r="Q50" s="4"/>
      <c r="R50" s="4"/>
      <c r="S50" s="4"/>
      <c r="T50" s="4"/>
      <c r="U50" s="4"/>
      <c r="V50" s="4"/>
      <c r="W50" s="4"/>
      <c r="X50" s="4"/>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470" customFormat="1" ht="13.5" customHeight="1" thickBot="1" x14ac:dyDescent="0.25">
      <c r="A51" s="472"/>
      <c r="B51" s="465"/>
      <c r="C51" s="465"/>
      <c r="D51" s="463"/>
      <c r="E51" s="448"/>
      <c r="F51" s="462"/>
      <c r="G51" s="464"/>
      <c r="H51" s="464"/>
      <c r="I51" s="464"/>
      <c r="J51" s="464"/>
      <c r="K51" s="465"/>
      <c r="L51" s="10"/>
      <c r="M51" s="31"/>
      <c r="N51" s="465"/>
      <c r="O51" s="4"/>
      <c r="P51" s="4"/>
      <c r="Q51" s="4"/>
      <c r="R51" s="4"/>
      <c r="S51" s="4"/>
      <c r="T51" s="4"/>
      <c r="U51" s="4"/>
      <c r="V51" s="4"/>
      <c r="W51" s="4"/>
      <c r="X51" s="4"/>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470" customFormat="1" ht="13.5" customHeight="1" thickBot="1" x14ac:dyDescent="0.25">
      <c r="A52" s="472"/>
      <c r="B52" s="34"/>
      <c r="C52" s="473"/>
      <c r="D52" s="474"/>
      <c r="E52" s="475"/>
      <c r="F52" s="476"/>
      <c r="G52" s="464"/>
      <c r="H52" s="464"/>
      <c r="I52" s="464"/>
      <c r="J52" s="464"/>
      <c r="K52" s="465"/>
      <c r="L52" s="10"/>
      <c r="M52" s="454"/>
      <c r="N52" s="465"/>
      <c r="O52" s="10"/>
      <c r="P52" s="4"/>
      <c r="Q52" s="4"/>
      <c r="R52" s="4"/>
      <c r="S52" s="4"/>
      <c r="T52" s="4"/>
      <c r="U52" s="4"/>
      <c r="V52" s="4"/>
      <c r="W52" s="4"/>
      <c r="X52" s="4"/>
      <c r="Y52" s="318"/>
      <c r="Z52" s="318"/>
      <c r="AA52" s="318"/>
      <c r="AB52" s="318"/>
      <c r="AC52" s="318"/>
      <c r="AD52" s="318"/>
      <c r="AE52" s="318"/>
      <c r="AF52" s="318"/>
      <c r="AG52" s="318"/>
      <c r="AH52" s="318"/>
      <c r="AI52" s="318"/>
      <c r="AJ52" s="318"/>
      <c r="AK52" s="318"/>
      <c r="AL52" s="318"/>
      <c r="AM52" s="318"/>
      <c r="AN52" s="318"/>
      <c r="AO52" s="318"/>
      <c r="AP52" s="318"/>
      <c r="AQ52" s="318"/>
      <c r="AR52" s="318"/>
      <c r="AS52" s="318"/>
      <c r="AT52" s="318"/>
      <c r="AU52" s="318"/>
      <c r="AV52" s="318"/>
      <c r="AW52" s="318"/>
      <c r="AX52" s="318"/>
      <c r="AY52" s="318"/>
      <c r="AZ52" s="318"/>
      <c r="BA52" s="318"/>
      <c r="BB52" s="318"/>
      <c r="BC52" s="318"/>
      <c r="BD52" s="318"/>
      <c r="BE52" s="318"/>
      <c r="BF52" s="318"/>
      <c r="BG52" s="318"/>
      <c r="BH52" s="318"/>
      <c r="BI52" s="318"/>
      <c r="BJ52" s="318"/>
      <c r="BK52" s="318"/>
      <c r="BL52" s="318"/>
      <c r="BM52" s="318"/>
      <c r="BN52" s="318"/>
      <c r="BO52" s="318"/>
      <c r="BP52" s="318"/>
      <c r="BQ52" s="318"/>
      <c r="BR52" s="318"/>
      <c r="BS52" s="318"/>
      <c r="BT52" s="318"/>
      <c r="BU52" s="318"/>
      <c r="BV52" s="318"/>
      <c r="BW52" s="318"/>
      <c r="BX52" s="318"/>
      <c r="BY52" s="318"/>
      <c r="BZ52" s="318"/>
      <c r="CA52" s="318"/>
      <c r="CB52" s="318"/>
      <c r="CC52" s="318"/>
      <c r="CD52" s="318"/>
      <c r="CE52" s="318"/>
      <c r="CF52" s="318"/>
      <c r="CG52" s="318"/>
      <c r="CH52" s="318"/>
      <c r="CI52" s="318"/>
      <c r="CJ52" s="318"/>
      <c r="CK52" s="318"/>
      <c r="CL52" s="318"/>
      <c r="CM52" s="318"/>
      <c r="CN52" s="318"/>
      <c r="CO52" s="318"/>
      <c r="CP52" s="318"/>
      <c r="CQ52" s="318"/>
      <c r="CR52" s="318"/>
      <c r="CS52" s="318"/>
      <c r="CT52" s="318"/>
      <c r="CU52" s="318"/>
      <c r="CV52" s="318"/>
      <c r="CW52" s="318"/>
      <c r="CX52" s="318"/>
      <c r="CY52" s="318"/>
      <c r="CZ52" s="318"/>
      <c r="DA52" s="318"/>
      <c r="DB52" s="318"/>
      <c r="DC52" s="318"/>
      <c r="DD52" s="318"/>
      <c r="DE52" s="318"/>
      <c r="DF52" s="318"/>
      <c r="DG52" s="318"/>
      <c r="DH52" s="318"/>
      <c r="DI52" s="318"/>
      <c r="DJ52" s="318"/>
      <c r="DK52" s="318"/>
      <c r="DL52" s="318"/>
      <c r="DM52" s="318"/>
      <c r="DN52" s="318"/>
      <c r="DO52" s="318"/>
      <c r="DP52" s="318"/>
      <c r="DQ52" s="318"/>
      <c r="DR52" s="318"/>
      <c r="DS52" s="318"/>
      <c r="DT52" s="318"/>
      <c r="DU52" s="318"/>
      <c r="DV52" s="318"/>
      <c r="DW52" s="318"/>
      <c r="DX52" s="318"/>
      <c r="DY52" s="318"/>
      <c r="DZ52" s="318"/>
      <c r="EA52" s="318"/>
      <c r="EB52" s="318"/>
      <c r="EC52" s="318"/>
      <c r="ED52" s="318"/>
      <c r="EE52" s="318"/>
      <c r="EF52" s="318"/>
      <c r="EG52" s="318"/>
      <c r="EH52" s="318"/>
      <c r="EI52" s="318"/>
      <c r="EJ52" s="318"/>
      <c r="EK52" s="318"/>
      <c r="EL52" s="318"/>
      <c r="EM52" s="318"/>
      <c r="EN52" s="318"/>
      <c r="EO52" s="318"/>
      <c r="EP52" s="318"/>
      <c r="EQ52" s="318"/>
      <c r="ER52" s="318"/>
      <c r="ES52" s="318"/>
      <c r="ET52" s="318"/>
      <c r="EU52" s="318"/>
      <c r="EV52" s="318"/>
      <c r="EW52" s="318"/>
      <c r="EX52" s="318"/>
      <c r="EY52" s="318"/>
      <c r="EZ52" s="318"/>
      <c r="FA52" s="318"/>
      <c r="FB52" s="318"/>
      <c r="FC52" s="318"/>
      <c r="FD52" s="318"/>
      <c r="FE52" s="318"/>
      <c r="FF52" s="318"/>
      <c r="FG52" s="318"/>
      <c r="FH52" s="318"/>
      <c r="FI52" s="318"/>
      <c r="FJ52" s="318"/>
      <c r="FK52" s="318"/>
      <c r="FL52" s="318"/>
      <c r="FM52" s="318"/>
      <c r="FN52" s="318"/>
      <c r="FO52" s="318"/>
      <c r="FP52" s="318"/>
      <c r="FQ52" s="318"/>
      <c r="FR52" s="318"/>
      <c r="FS52" s="318"/>
      <c r="FT52" s="318"/>
      <c r="FU52" s="318"/>
      <c r="FV52" s="318"/>
      <c r="FW52" s="318"/>
      <c r="FX52" s="318"/>
      <c r="FY52" s="318"/>
      <c r="FZ52" s="318"/>
      <c r="GA52" s="318"/>
      <c r="GB52" s="318"/>
      <c r="GC52" s="318"/>
      <c r="GD52" s="318"/>
      <c r="GE52" s="318"/>
      <c r="GF52" s="318"/>
      <c r="GG52" s="318"/>
      <c r="GH52" s="318"/>
      <c r="GI52" s="318"/>
      <c r="GJ52" s="318"/>
      <c r="GK52" s="318"/>
      <c r="GL52" s="318"/>
      <c r="GM52" s="318"/>
      <c r="GN52" s="318"/>
      <c r="GO52" s="318"/>
      <c r="GP52" s="318"/>
      <c r="GQ52" s="318"/>
      <c r="GR52" s="318"/>
      <c r="GS52" s="318"/>
      <c r="GT52" s="318"/>
      <c r="GU52" s="318"/>
      <c r="GV52" s="318"/>
      <c r="GW52" s="318"/>
      <c r="GX52" s="318"/>
      <c r="GY52" s="318"/>
      <c r="GZ52" s="318"/>
      <c r="HA52" s="318"/>
      <c r="HB52" s="318"/>
      <c r="HC52" s="318"/>
      <c r="HD52" s="318"/>
      <c r="HE52" s="318"/>
      <c r="HF52" s="318"/>
      <c r="HG52" s="318"/>
      <c r="HH52" s="318"/>
      <c r="HI52" s="318"/>
      <c r="HJ52" s="318"/>
      <c r="HK52" s="318"/>
      <c r="HL52" s="318"/>
      <c r="HM52" s="318"/>
      <c r="HN52" s="318"/>
      <c r="HO52" s="318"/>
      <c r="HP52" s="318"/>
      <c r="HQ52" s="318"/>
      <c r="HR52" s="318"/>
      <c r="HS52" s="318"/>
      <c r="HT52" s="318"/>
      <c r="HU52" s="318"/>
      <c r="HV52" s="318"/>
      <c r="HW52" s="318"/>
      <c r="HX52" s="318"/>
      <c r="HY52" s="318"/>
      <c r="HZ52" s="318"/>
      <c r="IA52" s="318"/>
      <c r="IB52" s="318"/>
      <c r="IC52" s="318"/>
      <c r="ID52" s="318"/>
      <c r="IE52" s="318"/>
      <c r="IF52" s="318"/>
      <c r="IG52" s="318"/>
      <c r="IH52" s="318"/>
      <c r="II52" s="318"/>
      <c r="IJ52" s="318"/>
      <c r="IK52" s="318"/>
      <c r="IL52" s="318"/>
      <c r="IM52" s="318"/>
      <c r="IN52" s="318"/>
      <c r="IO52" s="318"/>
      <c r="IP52" s="318"/>
      <c r="IQ52" s="318"/>
      <c r="IR52" s="318"/>
      <c r="IS52" s="318"/>
      <c r="IT52" s="318"/>
      <c r="IU52" s="318"/>
      <c r="IV52" s="318"/>
    </row>
    <row r="53" spans="1:256" s="470" customFormat="1" ht="13.5" customHeight="1" thickBot="1" x14ac:dyDescent="0.25">
      <c r="A53" s="472"/>
      <c r="B53" s="34"/>
      <c r="C53" s="473"/>
      <c r="D53" s="474"/>
      <c r="E53" s="475"/>
      <c r="F53" s="476"/>
      <c r="G53" s="464"/>
      <c r="H53" s="464"/>
      <c r="I53" s="464"/>
      <c r="J53" s="464"/>
      <c r="K53" s="465"/>
      <c r="L53" s="10"/>
      <c r="M53" s="465"/>
      <c r="N53" s="465"/>
      <c r="O53" s="10"/>
      <c r="P53" s="4"/>
      <c r="Q53" s="4"/>
      <c r="R53" s="4"/>
      <c r="S53" s="4"/>
      <c r="T53" s="4"/>
      <c r="U53" s="4"/>
      <c r="V53" s="4"/>
      <c r="W53" s="4"/>
      <c r="X53" s="4"/>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18"/>
      <c r="BC53" s="318"/>
      <c r="BD53" s="318"/>
      <c r="BE53" s="318"/>
      <c r="BF53" s="318"/>
      <c r="BG53" s="318"/>
      <c r="BH53" s="318"/>
      <c r="BI53" s="318"/>
      <c r="BJ53" s="318"/>
      <c r="BK53" s="318"/>
      <c r="BL53" s="318"/>
      <c r="BM53" s="318"/>
      <c r="BN53" s="318"/>
      <c r="BO53" s="318"/>
      <c r="BP53" s="318"/>
      <c r="BQ53" s="318"/>
      <c r="BR53" s="318"/>
      <c r="BS53" s="318"/>
      <c r="BT53" s="318"/>
      <c r="BU53" s="318"/>
      <c r="BV53" s="318"/>
      <c r="BW53" s="318"/>
      <c r="BX53" s="318"/>
      <c r="BY53" s="318"/>
      <c r="BZ53" s="318"/>
      <c r="CA53" s="318"/>
      <c r="CB53" s="318"/>
      <c r="CC53" s="318"/>
      <c r="CD53" s="318"/>
      <c r="CE53" s="318"/>
      <c r="CF53" s="318"/>
      <c r="CG53" s="318"/>
      <c r="CH53" s="318"/>
      <c r="CI53" s="318"/>
      <c r="CJ53" s="318"/>
      <c r="CK53" s="318"/>
      <c r="CL53" s="318"/>
      <c r="CM53" s="318"/>
      <c r="CN53" s="318"/>
      <c r="CO53" s="318"/>
      <c r="CP53" s="318"/>
      <c r="CQ53" s="318"/>
      <c r="CR53" s="318"/>
      <c r="CS53" s="318"/>
      <c r="CT53" s="318"/>
      <c r="CU53" s="318"/>
      <c r="CV53" s="318"/>
      <c r="CW53" s="318"/>
      <c r="CX53" s="318"/>
      <c r="CY53" s="318"/>
      <c r="CZ53" s="318"/>
      <c r="DA53" s="318"/>
      <c r="DB53" s="318"/>
      <c r="DC53" s="318"/>
      <c r="DD53" s="318"/>
      <c r="DE53" s="318"/>
      <c r="DF53" s="318"/>
      <c r="DG53" s="318"/>
      <c r="DH53" s="318"/>
      <c r="DI53" s="318"/>
      <c r="DJ53" s="318"/>
      <c r="DK53" s="318"/>
      <c r="DL53" s="318"/>
      <c r="DM53" s="318"/>
      <c r="DN53" s="318"/>
      <c r="DO53" s="318"/>
      <c r="DP53" s="318"/>
      <c r="DQ53" s="318"/>
      <c r="DR53" s="318"/>
      <c r="DS53" s="318"/>
      <c r="DT53" s="318"/>
      <c r="DU53" s="318"/>
      <c r="DV53" s="318"/>
      <c r="DW53" s="318"/>
      <c r="DX53" s="318"/>
      <c r="DY53" s="318"/>
      <c r="DZ53" s="318"/>
      <c r="EA53" s="318"/>
      <c r="EB53" s="318"/>
      <c r="EC53" s="318"/>
      <c r="ED53" s="318"/>
      <c r="EE53" s="318"/>
      <c r="EF53" s="318"/>
      <c r="EG53" s="318"/>
      <c r="EH53" s="318"/>
      <c r="EI53" s="318"/>
      <c r="EJ53" s="318"/>
      <c r="EK53" s="318"/>
      <c r="EL53" s="318"/>
      <c r="EM53" s="318"/>
      <c r="EN53" s="318"/>
      <c r="EO53" s="318"/>
      <c r="EP53" s="318"/>
      <c r="EQ53" s="318"/>
      <c r="ER53" s="318"/>
      <c r="ES53" s="318"/>
      <c r="ET53" s="318"/>
      <c r="EU53" s="318"/>
      <c r="EV53" s="318"/>
      <c r="EW53" s="318"/>
      <c r="EX53" s="318"/>
      <c r="EY53" s="318"/>
      <c r="EZ53" s="318"/>
      <c r="FA53" s="318"/>
      <c r="FB53" s="318"/>
      <c r="FC53" s="318"/>
      <c r="FD53" s="318"/>
      <c r="FE53" s="318"/>
      <c r="FF53" s="318"/>
      <c r="FG53" s="318"/>
      <c r="FH53" s="318"/>
      <c r="FI53" s="318"/>
      <c r="FJ53" s="318"/>
      <c r="FK53" s="318"/>
      <c r="FL53" s="318"/>
      <c r="FM53" s="318"/>
      <c r="FN53" s="318"/>
      <c r="FO53" s="318"/>
      <c r="FP53" s="318"/>
      <c r="FQ53" s="318"/>
      <c r="FR53" s="318"/>
      <c r="FS53" s="318"/>
      <c r="FT53" s="318"/>
      <c r="FU53" s="318"/>
      <c r="FV53" s="318"/>
      <c r="FW53" s="318"/>
      <c r="FX53" s="318"/>
      <c r="FY53" s="318"/>
      <c r="FZ53" s="318"/>
      <c r="GA53" s="318"/>
      <c r="GB53" s="318"/>
      <c r="GC53" s="318"/>
      <c r="GD53" s="318"/>
      <c r="GE53" s="318"/>
      <c r="GF53" s="318"/>
      <c r="GG53" s="318"/>
      <c r="GH53" s="318"/>
      <c r="GI53" s="318"/>
      <c r="GJ53" s="318"/>
      <c r="GK53" s="318"/>
      <c r="GL53" s="318"/>
      <c r="GM53" s="318"/>
      <c r="GN53" s="318"/>
      <c r="GO53" s="318"/>
      <c r="GP53" s="318"/>
      <c r="GQ53" s="318"/>
      <c r="GR53" s="318"/>
      <c r="GS53" s="318"/>
      <c r="GT53" s="318"/>
      <c r="GU53" s="318"/>
      <c r="GV53" s="318"/>
      <c r="GW53" s="318"/>
      <c r="GX53" s="318"/>
      <c r="GY53" s="318"/>
      <c r="GZ53" s="318"/>
      <c r="HA53" s="318"/>
      <c r="HB53" s="318"/>
      <c r="HC53" s="318"/>
      <c r="HD53" s="318"/>
      <c r="HE53" s="318"/>
      <c r="HF53" s="318"/>
      <c r="HG53" s="318"/>
      <c r="HH53" s="318"/>
      <c r="HI53" s="318"/>
      <c r="HJ53" s="318"/>
      <c r="HK53" s="318"/>
      <c r="HL53" s="318"/>
      <c r="HM53" s="318"/>
      <c r="HN53" s="318"/>
      <c r="HO53" s="318"/>
      <c r="HP53" s="318"/>
      <c r="HQ53" s="318"/>
      <c r="HR53" s="318"/>
      <c r="HS53" s="318"/>
      <c r="HT53" s="318"/>
      <c r="HU53" s="318"/>
      <c r="HV53" s="318"/>
      <c r="HW53" s="318"/>
      <c r="HX53" s="318"/>
      <c r="HY53" s="318"/>
      <c r="HZ53" s="318"/>
      <c r="IA53" s="318"/>
      <c r="IB53" s="318"/>
      <c r="IC53" s="318"/>
      <c r="ID53" s="318"/>
      <c r="IE53" s="318"/>
      <c r="IF53" s="318"/>
      <c r="IG53" s="318"/>
      <c r="IH53" s="318"/>
      <c r="II53" s="318"/>
      <c r="IJ53" s="318"/>
      <c r="IK53" s="318"/>
      <c r="IL53" s="318"/>
      <c r="IM53" s="318"/>
      <c r="IN53" s="318"/>
      <c r="IO53" s="318"/>
      <c r="IP53" s="318"/>
      <c r="IQ53" s="318"/>
      <c r="IR53" s="318"/>
      <c r="IS53" s="318"/>
      <c r="IT53" s="318"/>
      <c r="IU53" s="318"/>
      <c r="IV53" s="318"/>
    </row>
    <row r="54" spans="1:256" s="470" customFormat="1" ht="13.5" customHeight="1" thickBot="1" x14ac:dyDescent="0.25">
      <c r="A54" s="472"/>
      <c r="B54" s="34"/>
      <c r="C54" s="473"/>
      <c r="D54" s="474"/>
      <c r="E54" s="475"/>
      <c r="F54" s="476"/>
      <c r="G54" s="464"/>
      <c r="H54" s="464"/>
      <c r="I54" s="464"/>
      <c r="J54" s="464"/>
      <c r="K54" s="465"/>
      <c r="L54" s="10"/>
      <c r="M54" s="465"/>
      <c r="N54" s="465"/>
      <c r="O54" s="10"/>
      <c r="P54" s="4"/>
      <c r="Q54" s="4"/>
      <c r="R54" s="4"/>
      <c r="S54" s="4"/>
      <c r="T54" s="4"/>
      <c r="U54" s="4"/>
      <c r="V54" s="4"/>
      <c r="W54" s="4"/>
      <c r="X54" s="4"/>
      <c r="Y54" s="318"/>
      <c r="Z54" s="318"/>
      <c r="AA54" s="318"/>
      <c r="AB54" s="318"/>
      <c r="AC54" s="318"/>
      <c r="AD54" s="318"/>
      <c r="AE54" s="318"/>
      <c r="AF54" s="318"/>
      <c r="AG54" s="318"/>
      <c r="AH54" s="318"/>
      <c r="AI54" s="318"/>
      <c r="AJ54" s="318"/>
      <c r="AK54" s="318"/>
      <c r="AL54" s="318"/>
      <c r="AM54" s="318"/>
      <c r="AN54" s="318"/>
      <c r="AO54" s="318"/>
      <c r="AP54" s="318"/>
      <c r="AQ54" s="318"/>
      <c r="AR54" s="318"/>
      <c r="AS54" s="318"/>
      <c r="AT54" s="318"/>
      <c r="AU54" s="318"/>
      <c r="AV54" s="318"/>
      <c r="AW54" s="318"/>
      <c r="AX54" s="318"/>
      <c r="AY54" s="318"/>
      <c r="AZ54" s="318"/>
      <c r="BA54" s="318"/>
      <c r="BB54" s="318"/>
      <c r="BC54" s="318"/>
      <c r="BD54" s="318"/>
      <c r="BE54" s="318"/>
      <c r="BF54" s="318"/>
      <c r="BG54" s="318"/>
      <c r="BH54" s="318"/>
      <c r="BI54" s="318"/>
      <c r="BJ54" s="318"/>
      <c r="BK54" s="318"/>
      <c r="BL54" s="318"/>
      <c r="BM54" s="318"/>
      <c r="BN54" s="318"/>
      <c r="BO54" s="318"/>
      <c r="BP54" s="318"/>
      <c r="BQ54" s="318"/>
      <c r="BR54" s="318"/>
      <c r="BS54" s="318"/>
      <c r="BT54" s="318"/>
      <c r="BU54" s="318"/>
      <c r="BV54" s="318"/>
      <c r="BW54" s="318"/>
      <c r="BX54" s="318"/>
      <c r="BY54" s="318"/>
      <c r="BZ54" s="318"/>
      <c r="CA54" s="318"/>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c r="DR54" s="318"/>
      <c r="DS54" s="318"/>
      <c r="DT54" s="318"/>
      <c r="DU54" s="318"/>
      <c r="DV54" s="318"/>
      <c r="DW54" s="318"/>
      <c r="DX54" s="318"/>
      <c r="DY54" s="318"/>
      <c r="DZ54" s="318"/>
      <c r="EA54" s="318"/>
      <c r="EB54" s="318"/>
      <c r="EC54" s="318"/>
      <c r="ED54" s="318"/>
      <c r="EE54" s="318"/>
      <c r="EF54" s="318"/>
      <c r="EG54" s="318"/>
      <c r="EH54" s="318"/>
      <c r="EI54" s="318"/>
      <c r="EJ54" s="318"/>
      <c r="EK54" s="318"/>
      <c r="EL54" s="318"/>
      <c r="EM54" s="318"/>
      <c r="EN54" s="318"/>
      <c r="EO54" s="318"/>
      <c r="EP54" s="318"/>
      <c r="EQ54" s="318"/>
      <c r="ER54" s="318"/>
      <c r="ES54" s="318"/>
      <c r="ET54" s="318"/>
      <c r="EU54" s="318"/>
      <c r="EV54" s="318"/>
      <c r="EW54" s="318"/>
      <c r="EX54" s="318"/>
      <c r="EY54" s="318"/>
      <c r="EZ54" s="318"/>
      <c r="FA54" s="318"/>
      <c r="FB54" s="318"/>
      <c r="FC54" s="318"/>
      <c r="FD54" s="318"/>
      <c r="FE54" s="318"/>
      <c r="FF54" s="318"/>
      <c r="FG54" s="318"/>
      <c r="FH54" s="318"/>
      <c r="FI54" s="318"/>
      <c r="FJ54" s="318"/>
      <c r="FK54" s="318"/>
      <c r="FL54" s="318"/>
      <c r="FM54" s="318"/>
      <c r="FN54" s="318"/>
      <c r="FO54" s="318"/>
      <c r="FP54" s="318"/>
      <c r="FQ54" s="318"/>
      <c r="FR54" s="318"/>
      <c r="FS54" s="318"/>
      <c r="FT54" s="318"/>
      <c r="FU54" s="318"/>
      <c r="FV54" s="318"/>
      <c r="FW54" s="318"/>
      <c r="FX54" s="318"/>
      <c r="FY54" s="318"/>
      <c r="FZ54" s="318"/>
      <c r="GA54" s="318"/>
      <c r="GB54" s="318"/>
      <c r="GC54" s="318"/>
      <c r="GD54" s="318"/>
      <c r="GE54" s="318"/>
      <c r="GF54" s="318"/>
      <c r="GG54" s="318"/>
      <c r="GH54" s="318"/>
      <c r="GI54" s="318"/>
      <c r="GJ54" s="318"/>
      <c r="GK54" s="318"/>
      <c r="GL54" s="318"/>
      <c r="GM54" s="318"/>
      <c r="GN54" s="318"/>
      <c r="GO54" s="318"/>
      <c r="GP54" s="318"/>
      <c r="GQ54" s="318"/>
      <c r="GR54" s="318"/>
      <c r="GS54" s="318"/>
      <c r="GT54" s="318"/>
      <c r="GU54" s="318"/>
      <c r="GV54" s="318"/>
      <c r="GW54" s="318"/>
      <c r="GX54" s="318"/>
      <c r="GY54" s="318"/>
      <c r="GZ54" s="318"/>
      <c r="HA54" s="318"/>
      <c r="HB54" s="318"/>
      <c r="HC54" s="318"/>
      <c r="HD54" s="318"/>
      <c r="HE54" s="318"/>
      <c r="HF54" s="318"/>
      <c r="HG54" s="318"/>
      <c r="HH54" s="318"/>
      <c r="HI54" s="318"/>
      <c r="HJ54" s="318"/>
      <c r="HK54" s="318"/>
      <c r="HL54" s="318"/>
      <c r="HM54" s="318"/>
      <c r="HN54" s="318"/>
      <c r="HO54" s="318"/>
      <c r="HP54" s="318"/>
      <c r="HQ54" s="318"/>
      <c r="HR54" s="318"/>
      <c r="HS54" s="318"/>
      <c r="HT54" s="318"/>
      <c r="HU54" s="318"/>
      <c r="HV54" s="318"/>
      <c r="HW54" s="318"/>
      <c r="HX54" s="318"/>
      <c r="HY54" s="318"/>
      <c r="HZ54" s="318"/>
      <c r="IA54" s="318"/>
      <c r="IB54" s="318"/>
      <c r="IC54" s="318"/>
      <c r="ID54" s="318"/>
      <c r="IE54" s="318"/>
      <c r="IF54" s="318"/>
      <c r="IG54" s="318"/>
      <c r="IH54" s="318"/>
      <c r="II54" s="318"/>
      <c r="IJ54" s="318"/>
      <c r="IK54" s="318"/>
      <c r="IL54" s="318"/>
      <c r="IM54" s="318"/>
      <c r="IN54" s="318"/>
      <c r="IO54" s="318"/>
      <c r="IP54" s="318"/>
      <c r="IQ54" s="318"/>
      <c r="IR54" s="318"/>
      <c r="IS54" s="318"/>
      <c r="IT54" s="318"/>
      <c r="IU54" s="318"/>
      <c r="IV54" s="318"/>
    </row>
    <row r="55" spans="1:256" s="470" customFormat="1" ht="13.5" customHeight="1" thickBot="1" x14ac:dyDescent="0.25">
      <c r="A55" s="472"/>
      <c r="B55" s="34"/>
      <c r="C55" s="478"/>
      <c r="D55" s="479"/>
      <c r="E55" s="475"/>
      <c r="F55" s="476"/>
      <c r="G55" s="480"/>
      <c r="H55" s="480"/>
      <c r="I55" s="480"/>
      <c r="J55" s="480"/>
      <c r="K55" s="465"/>
      <c r="L55" s="10"/>
      <c r="M55" s="465"/>
      <c r="N55" s="478"/>
      <c r="O55" s="10"/>
      <c r="P55" s="4"/>
      <c r="Q55" s="4"/>
      <c r="R55" s="4"/>
      <c r="S55" s="4"/>
      <c r="T55" s="4"/>
      <c r="U55" s="4"/>
      <c r="V55" s="4"/>
      <c r="W55" s="4"/>
      <c r="X55" s="4"/>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18"/>
      <c r="BC55" s="318"/>
      <c r="BD55" s="318"/>
      <c r="BE55" s="318"/>
      <c r="BF55" s="318"/>
      <c r="BG55" s="318"/>
      <c r="BH55" s="318"/>
      <c r="BI55" s="318"/>
      <c r="BJ55" s="318"/>
      <c r="BK55" s="318"/>
      <c r="BL55" s="318"/>
      <c r="BM55" s="318"/>
      <c r="BN55" s="318"/>
      <c r="BO55" s="318"/>
      <c r="BP55" s="318"/>
      <c r="BQ55" s="318"/>
      <c r="BR55" s="318"/>
      <c r="BS55" s="318"/>
      <c r="BT55" s="318"/>
      <c r="BU55" s="318"/>
      <c r="BV55" s="318"/>
      <c r="BW55" s="318"/>
      <c r="BX55" s="318"/>
      <c r="BY55" s="318"/>
      <c r="BZ55" s="318"/>
      <c r="CA55" s="318"/>
      <c r="CB55" s="318"/>
      <c r="CC55" s="318"/>
      <c r="CD55" s="318"/>
      <c r="CE55" s="318"/>
      <c r="CF55" s="318"/>
      <c r="CG55" s="318"/>
      <c r="CH55" s="318"/>
      <c r="CI55" s="318"/>
      <c r="CJ55" s="318"/>
      <c r="CK55" s="318"/>
      <c r="CL55" s="318"/>
      <c r="CM55" s="318"/>
      <c r="CN55" s="318"/>
      <c r="CO55" s="318"/>
      <c r="CP55" s="318"/>
      <c r="CQ55" s="318"/>
      <c r="CR55" s="318"/>
      <c r="CS55" s="318"/>
      <c r="CT55" s="318"/>
      <c r="CU55" s="318"/>
      <c r="CV55" s="318"/>
      <c r="CW55" s="318"/>
      <c r="CX55" s="318"/>
      <c r="CY55" s="318"/>
      <c r="CZ55" s="318"/>
      <c r="DA55" s="318"/>
      <c r="DB55" s="318"/>
      <c r="DC55" s="318"/>
      <c r="DD55" s="318"/>
      <c r="DE55" s="318"/>
      <c r="DF55" s="318"/>
      <c r="DG55" s="318"/>
      <c r="DH55" s="318"/>
      <c r="DI55" s="318"/>
      <c r="DJ55" s="318"/>
      <c r="DK55" s="318"/>
      <c r="DL55" s="318"/>
      <c r="DM55" s="318"/>
      <c r="DN55" s="318"/>
      <c r="DO55" s="318"/>
      <c r="DP55" s="318"/>
      <c r="DQ55" s="318"/>
      <c r="DR55" s="318"/>
      <c r="DS55" s="318"/>
      <c r="DT55" s="318"/>
      <c r="DU55" s="318"/>
      <c r="DV55" s="318"/>
      <c r="DW55" s="318"/>
      <c r="DX55" s="318"/>
      <c r="DY55" s="318"/>
      <c r="DZ55" s="318"/>
      <c r="EA55" s="318"/>
      <c r="EB55" s="318"/>
      <c r="EC55" s="318"/>
      <c r="ED55" s="318"/>
      <c r="EE55" s="318"/>
      <c r="EF55" s="318"/>
      <c r="EG55" s="318"/>
      <c r="EH55" s="318"/>
      <c r="EI55" s="318"/>
      <c r="EJ55" s="318"/>
      <c r="EK55" s="318"/>
      <c r="EL55" s="318"/>
      <c r="EM55" s="318"/>
      <c r="EN55" s="318"/>
      <c r="EO55" s="318"/>
      <c r="EP55" s="318"/>
      <c r="EQ55" s="318"/>
      <c r="ER55" s="318"/>
      <c r="ES55" s="318"/>
      <c r="ET55" s="318"/>
      <c r="EU55" s="318"/>
      <c r="EV55" s="318"/>
      <c r="EW55" s="318"/>
      <c r="EX55" s="318"/>
      <c r="EY55" s="318"/>
      <c r="EZ55" s="318"/>
      <c r="FA55" s="318"/>
      <c r="FB55" s="318"/>
      <c r="FC55" s="318"/>
      <c r="FD55" s="318"/>
      <c r="FE55" s="318"/>
      <c r="FF55" s="318"/>
      <c r="FG55" s="318"/>
      <c r="FH55" s="318"/>
      <c r="FI55" s="318"/>
      <c r="FJ55" s="318"/>
      <c r="FK55" s="318"/>
      <c r="FL55" s="318"/>
      <c r="FM55" s="318"/>
      <c r="FN55" s="318"/>
      <c r="FO55" s="318"/>
      <c r="FP55" s="318"/>
      <c r="FQ55" s="318"/>
      <c r="FR55" s="318"/>
      <c r="FS55" s="318"/>
      <c r="FT55" s="318"/>
      <c r="FU55" s="318"/>
      <c r="FV55" s="318"/>
      <c r="FW55" s="318"/>
      <c r="FX55" s="318"/>
      <c r="FY55" s="318"/>
      <c r="FZ55" s="318"/>
      <c r="GA55" s="318"/>
      <c r="GB55" s="318"/>
      <c r="GC55" s="318"/>
      <c r="GD55" s="318"/>
      <c r="GE55" s="318"/>
      <c r="GF55" s="318"/>
      <c r="GG55" s="318"/>
      <c r="GH55" s="318"/>
      <c r="GI55" s="318"/>
      <c r="GJ55" s="318"/>
      <c r="GK55" s="318"/>
      <c r="GL55" s="318"/>
      <c r="GM55" s="318"/>
      <c r="GN55" s="318"/>
      <c r="GO55" s="318"/>
      <c r="GP55" s="318"/>
      <c r="GQ55" s="318"/>
      <c r="GR55" s="318"/>
      <c r="GS55" s="318"/>
      <c r="GT55" s="318"/>
      <c r="GU55" s="318"/>
      <c r="GV55" s="318"/>
      <c r="GW55" s="318"/>
      <c r="GX55" s="318"/>
      <c r="GY55" s="318"/>
      <c r="GZ55" s="318"/>
      <c r="HA55" s="318"/>
      <c r="HB55" s="318"/>
      <c r="HC55" s="318"/>
      <c r="HD55" s="318"/>
      <c r="HE55" s="318"/>
      <c r="HF55" s="318"/>
      <c r="HG55" s="318"/>
      <c r="HH55" s="318"/>
      <c r="HI55" s="318"/>
      <c r="HJ55" s="318"/>
      <c r="HK55" s="318"/>
      <c r="HL55" s="318"/>
      <c r="HM55" s="318"/>
      <c r="HN55" s="318"/>
      <c r="HO55" s="318"/>
      <c r="HP55" s="318"/>
      <c r="HQ55" s="318"/>
      <c r="HR55" s="318"/>
      <c r="HS55" s="318"/>
      <c r="HT55" s="318"/>
      <c r="HU55" s="318"/>
      <c r="HV55" s="318"/>
      <c r="HW55" s="318"/>
      <c r="HX55" s="318"/>
      <c r="HY55" s="318"/>
      <c r="HZ55" s="318"/>
      <c r="IA55" s="318"/>
      <c r="IB55" s="318"/>
      <c r="IC55" s="318"/>
      <c r="ID55" s="318"/>
      <c r="IE55" s="318"/>
      <c r="IF55" s="318"/>
      <c r="IG55" s="318"/>
      <c r="IH55" s="318"/>
      <c r="II55" s="318"/>
      <c r="IJ55" s="318"/>
      <c r="IK55" s="318"/>
      <c r="IL55" s="318"/>
      <c r="IM55" s="318"/>
      <c r="IN55" s="318"/>
      <c r="IO55" s="318"/>
      <c r="IP55" s="318"/>
      <c r="IQ55" s="318"/>
      <c r="IR55" s="318"/>
      <c r="IS55" s="318"/>
      <c r="IT55" s="318"/>
      <c r="IU55" s="318"/>
      <c r="IV55" s="318"/>
    </row>
    <row r="56" spans="1:256" s="470" customFormat="1" ht="13.5" customHeight="1" thickBot="1" x14ac:dyDescent="0.25">
      <c r="A56" s="472"/>
      <c r="B56" s="34"/>
      <c r="C56" s="478"/>
      <c r="D56" s="479"/>
      <c r="E56" s="475"/>
      <c r="F56" s="476"/>
      <c r="G56" s="480"/>
      <c r="H56" s="480"/>
      <c r="I56" s="480"/>
      <c r="J56" s="480"/>
      <c r="K56" s="465"/>
      <c r="L56" s="10"/>
      <c r="M56" s="465"/>
      <c r="N56" s="478"/>
      <c r="O56" s="10"/>
      <c r="P56" s="4"/>
      <c r="Q56" s="4"/>
      <c r="R56" s="4"/>
      <c r="S56" s="4"/>
      <c r="T56" s="4"/>
      <c r="U56" s="4"/>
      <c r="V56" s="4"/>
      <c r="W56" s="4"/>
      <c r="X56" s="4"/>
      <c r="Y56" s="318"/>
      <c r="Z56" s="318"/>
      <c r="AA56" s="318"/>
      <c r="AB56" s="318"/>
      <c r="AC56" s="318"/>
      <c r="AD56" s="318"/>
      <c r="AE56" s="318"/>
      <c r="AF56" s="318"/>
      <c r="AG56" s="318"/>
      <c r="AH56" s="318"/>
      <c r="AI56" s="318"/>
      <c r="AJ56" s="318"/>
      <c r="AK56" s="318"/>
      <c r="AL56" s="318"/>
      <c r="AM56" s="318"/>
      <c r="AN56" s="318"/>
      <c r="AO56" s="318"/>
      <c r="AP56" s="318"/>
      <c r="AQ56" s="318"/>
      <c r="AR56" s="318"/>
      <c r="AS56" s="318"/>
      <c r="AT56" s="318"/>
      <c r="AU56" s="318"/>
      <c r="AV56" s="318"/>
      <c r="AW56" s="318"/>
      <c r="AX56" s="318"/>
      <c r="AY56" s="318"/>
      <c r="AZ56" s="318"/>
      <c r="BA56" s="318"/>
      <c r="BB56" s="318"/>
      <c r="BC56" s="318"/>
      <c r="BD56" s="318"/>
      <c r="BE56" s="318"/>
      <c r="BF56" s="318"/>
      <c r="BG56" s="318"/>
      <c r="BH56" s="318"/>
      <c r="BI56" s="318"/>
      <c r="BJ56" s="318"/>
      <c r="BK56" s="318"/>
      <c r="BL56" s="318"/>
      <c r="BM56" s="318"/>
      <c r="BN56" s="318"/>
      <c r="BO56" s="318"/>
      <c r="BP56" s="318"/>
      <c r="BQ56" s="318"/>
      <c r="BR56" s="318"/>
      <c r="BS56" s="318"/>
      <c r="BT56" s="318"/>
      <c r="BU56" s="318"/>
      <c r="BV56" s="318"/>
      <c r="BW56" s="318"/>
      <c r="BX56" s="318"/>
      <c r="BY56" s="318"/>
      <c r="BZ56" s="318"/>
      <c r="CA56" s="318"/>
      <c r="CB56" s="318"/>
      <c r="CC56" s="318"/>
      <c r="CD56" s="318"/>
      <c r="CE56" s="318"/>
      <c r="CF56" s="318"/>
      <c r="CG56" s="318"/>
      <c r="CH56" s="318"/>
      <c r="CI56" s="318"/>
      <c r="CJ56" s="318"/>
      <c r="CK56" s="318"/>
      <c r="CL56" s="318"/>
      <c r="CM56" s="318"/>
      <c r="CN56" s="318"/>
      <c r="CO56" s="318"/>
      <c r="CP56" s="318"/>
      <c r="CQ56" s="318"/>
      <c r="CR56" s="318"/>
      <c r="CS56" s="318"/>
      <c r="CT56" s="318"/>
      <c r="CU56" s="318"/>
      <c r="CV56" s="318"/>
      <c r="CW56" s="318"/>
      <c r="CX56" s="318"/>
      <c r="CY56" s="318"/>
      <c r="CZ56" s="318"/>
      <c r="DA56" s="318"/>
      <c r="DB56" s="318"/>
      <c r="DC56" s="318"/>
      <c r="DD56" s="318"/>
      <c r="DE56" s="318"/>
      <c r="DF56" s="318"/>
      <c r="DG56" s="318"/>
      <c r="DH56" s="318"/>
      <c r="DI56" s="318"/>
      <c r="DJ56" s="318"/>
      <c r="DK56" s="318"/>
      <c r="DL56" s="318"/>
      <c r="DM56" s="318"/>
      <c r="DN56" s="318"/>
      <c r="DO56" s="318"/>
      <c r="DP56" s="318"/>
      <c r="DQ56" s="318"/>
      <c r="DR56" s="318"/>
      <c r="DS56" s="318"/>
      <c r="DT56" s="318"/>
      <c r="DU56" s="318"/>
      <c r="DV56" s="318"/>
      <c r="DW56" s="318"/>
      <c r="DX56" s="318"/>
      <c r="DY56" s="318"/>
      <c r="DZ56" s="318"/>
      <c r="EA56" s="318"/>
      <c r="EB56" s="318"/>
      <c r="EC56" s="318"/>
      <c r="ED56" s="318"/>
      <c r="EE56" s="318"/>
      <c r="EF56" s="318"/>
      <c r="EG56" s="318"/>
      <c r="EH56" s="318"/>
      <c r="EI56" s="318"/>
      <c r="EJ56" s="318"/>
      <c r="EK56" s="318"/>
      <c r="EL56" s="318"/>
      <c r="EM56" s="318"/>
      <c r="EN56" s="318"/>
      <c r="EO56" s="318"/>
      <c r="EP56" s="318"/>
      <c r="EQ56" s="318"/>
      <c r="ER56" s="318"/>
      <c r="ES56" s="318"/>
      <c r="ET56" s="318"/>
      <c r="EU56" s="318"/>
      <c r="EV56" s="318"/>
      <c r="EW56" s="318"/>
      <c r="EX56" s="318"/>
      <c r="EY56" s="318"/>
      <c r="EZ56" s="318"/>
      <c r="FA56" s="318"/>
      <c r="FB56" s="318"/>
      <c r="FC56" s="318"/>
      <c r="FD56" s="318"/>
      <c r="FE56" s="318"/>
      <c r="FF56" s="318"/>
      <c r="FG56" s="318"/>
      <c r="FH56" s="318"/>
      <c r="FI56" s="318"/>
      <c r="FJ56" s="318"/>
      <c r="FK56" s="318"/>
      <c r="FL56" s="318"/>
      <c r="FM56" s="318"/>
      <c r="FN56" s="318"/>
      <c r="FO56" s="318"/>
      <c r="FP56" s="318"/>
      <c r="FQ56" s="318"/>
      <c r="FR56" s="318"/>
      <c r="FS56" s="318"/>
      <c r="FT56" s="318"/>
      <c r="FU56" s="318"/>
      <c r="FV56" s="318"/>
      <c r="FW56" s="318"/>
      <c r="FX56" s="318"/>
      <c r="FY56" s="318"/>
      <c r="FZ56" s="318"/>
      <c r="GA56" s="318"/>
      <c r="GB56" s="318"/>
      <c r="GC56" s="318"/>
      <c r="GD56" s="318"/>
      <c r="GE56" s="318"/>
      <c r="GF56" s="318"/>
      <c r="GG56" s="318"/>
      <c r="GH56" s="318"/>
      <c r="GI56" s="318"/>
      <c r="GJ56" s="318"/>
      <c r="GK56" s="318"/>
      <c r="GL56" s="318"/>
      <c r="GM56" s="318"/>
      <c r="GN56" s="318"/>
      <c r="GO56" s="318"/>
      <c r="GP56" s="318"/>
      <c r="GQ56" s="318"/>
      <c r="GR56" s="318"/>
      <c r="GS56" s="318"/>
      <c r="GT56" s="318"/>
      <c r="GU56" s="318"/>
      <c r="GV56" s="318"/>
      <c r="GW56" s="318"/>
      <c r="GX56" s="318"/>
      <c r="GY56" s="318"/>
      <c r="GZ56" s="318"/>
      <c r="HA56" s="318"/>
      <c r="HB56" s="318"/>
      <c r="HC56" s="318"/>
      <c r="HD56" s="318"/>
      <c r="HE56" s="318"/>
      <c r="HF56" s="318"/>
      <c r="HG56" s="318"/>
      <c r="HH56" s="318"/>
      <c r="HI56" s="318"/>
      <c r="HJ56" s="318"/>
      <c r="HK56" s="318"/>
      <c r="HL56" s="318"/>
      <c r="HM56" s="318"/>
      <c r="HN56" s="318"/>
      <c r="HO56" s="318"/>
      <c r="HP56" s="318"/>
      <c r="HQ56" s="318"/>
      <c r="HR56" s="318"/>
      <c r="HS56" s="318"/>
      <c r="HT56" s="318"/>
      <c r="HU56" s="318"/>
      <c r="HV56" s="318"/>
      <c r="HW56" s="318"/>
      <c r="HX56" s="318"/>
      <c r="HY56" s="318"/>
      <c r="HZ56" s="318"/>
      <c r="IA56" s="318"/>
      <c r="IB56" s="318"/>
      <c r="IC56" s="318"/>
      <c r="ID56" s="318"/>
      <c r="IE56" s="318"/>
      <c r="IF56" s="318"/>
      <c r="IG56" s="318"/>
      <c r="IH56" s="318"/>
      <c r="II56" s="318"/>
      <c r="IJ56" s="318"/>
      <c r="IK56" s="318"/>
      <c r="IL56" s="318"/>
      <c r="IM56" s="318"/>
      <c r="IN56" s="318"/>
      <c r="IO56" s="318"/>
      <c r="IP56" s="318"/>
      <c r="IQ56" s="318"/>
      <c r="IR56" s="318"/>
      <c r="IS56" s="318"/>
      <c r="IT56" s="318"/>
      <c r="IU56" s="318"/>
      <c r="IV56" s="318"/>
    </row>
    <row r="57" spans="1:256" s="470" customFormat="1" ht="13.5" customHeight="1" thickBot="1" x14ac:dyDescent="0.25">
      <c r="A57" s="472"/>
      <c r="B57" s="34"/>
      <c r="C57" s="478"/>
      <c r="D57" s="479"/>
      <c r="E57" s="475"/>
      <c r="F57" s="476"/>
      <c r="G57" s="480"/>
      <c r="H57" s="480"/>
      <c r="I57" s="480"/>
      <c r="J57" s="480"/>
      <c r="K57" s="465"/>
      <c r="L57" s="10"/>
      <c r="M57" s="454"/>
      <c r="N57" s="478"/>
      <c r="O57" s="10"/>
      <c r="P57" s="4"/>
      <c r="Q57" s="4"/>
      <c r="R57" s="4"/>
      <c r="S57" s="4"/>
      <c r="T57" s="4"/>
      <c r="U57" s="4"/>
      <c r="V57" s="4"/>
      <c r="W57" s="4"/>
      <c r="X57" s="4"/>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8"/>
      <c r="BC57" s="318"/>
      <c r="BD57" s="318"/>
      <c r="BE57" s="318"/>
      <c r="BF57" s="318"/>
      <c r="BG57" s="318"/>
      <c r="BH57" s="318"/>
      <c r="BI57" s="318"/>
      <c r="BJ57" s="318"/>
      <c r="BK57" s="318"/>
      <c r="BL57" s="318"/>
      <c r="BM57" s="318"/>
      <c r="BN57" s="318"/>
      <c r="BO57" s="318"/>
      <c r="BP57" s="318"/>
      <c r="BQ57" s="318"/>
      <c r="BR57" s="318"/>
      <c r="BS57" s="318"/>
      <c r="BT57" s="318"/>
      <c r="BU57" s="318"/>
      <c r="BV57" s="318"/>
      <c r="BW57" s="318"/>
      <c r="BX57" s="318"/>
      <c r="BY57" s="318"/>
      <c r="BZ57" s="318"/>
      <c r="CA57" s="318"/>
      <c r="CB57" s="318"/>
      <c r="CC57" s="318"/>
      <c r="CD57" s="318"/>
      <c r="CE57" s="318"/>
      <c r="CF57" s="318"/>
      <c r="CG57" s="318"/>
      <c r="CH57" s="318"/>
      <c r="CI57" s="318"/>
      <c r="CJ57" s="318"/>
      <c r="CK57" s="318"/>
      <c r="CL57" s="318"/>
      <c r="CM57" s="318"/>
      <c r="CN57" s="318"/>
      <c r="CO57" s="318"/>
      <c r="CP57" s="318"/>
      <c r="CQ57" s="318"/>
      <c r="CR57" s="318"/>
      <c r="CS57" s="318"/>
      <c r="CT57" s="318"/>
      <c r="CU57" s="318"/>
      <c r="CV57" s="318"/>
      <c r="CW57" s="318"/>
      <c r="CX57" s="318"/>
      <c r="CY57" s="318"/>
      <c r="CZ57" s="318"/>
      <c r="DA57" s="318"/>
      <c r="DB57" s="318"/>
      <c r="DC57" s="318"/>
      <c r="DD57" s="318"/>
      <c r="DE57" s="318"/>
      <c r="DF57" s="318"/>
      <c r="DG57" s="318"/>
      <c r="DH57" s="318"/>
      <c r="DI57" s="318"/>
      <c r="DJ57" s="318"/>
      <c r="DK57" s="318"/>
      <c r="DL57" s="318"/>
      <c r="DM57" s="318"/>
      <c r="DN57" s="318"/>
      <c r="DO57" s="318"/>
      <c r="DP57" s="318"/>
      <c r="DQ57" s="318"/>
      <c r="DR57" s="318"/>
      <c r="DS57" s="318"/>
      <c r="DT57" s="318"/>
      <c r="DU57" s="318"/>
      <c r="DV57" s="318"/>
      <c r="DW57" s="318"/>
      <c r="DX57" s="318"/>
      <c r="DY57" s="318"/>
      <c r="DZ57" s="318"/>
      <c r="EA57" s="318"/>
      <c r="EB57" s="318"/>
      <c r="EC57" s="318"/>
      <c r="ED57" s="318"/>
      <c r="EE57" s="318"/>
      <c r="EF57" s="318"/>
      <c r="EG57" s="318"/>
      <c r="EH57" s="318"/>
      <c r="EI57" s="318"/>
      <c r="EJ57" s="318"/>
      <c r="EK57" s="318"/>
      <c r="EL57" s="318"/>
      <c r="EM57" s="318"/>
      <c r="EN57" s="318"/>
      <c r="EO57" s="318"/>
      <c r="EP57" s="318"/>
      <c r="EQ57" s="318"/>
      <c r="ER57" s="318"/>
      <c r="ES57" s="318"/>
      <c r="ET57" s="318"/>
      <c r="EU57" s="318"/>
      <c r="EV57" s="318"/>
      <c r="EW57" s="318"/>
      <c r="EX57" s="318"/>
      <c r="EY57" s="318"/>
      <c r="EZ57" s="318"/>
      <c r="FA57" s="318"/>
      <c r="FB57" s="318"/>
      <c r="FC57" s="318"/>
      <c r="FD57" s="318"/>
      <c r="FE57" s="318"/>
      <c r="FF57" s="318"/>
      <c r="FG57" s="318"/>
      <c r="FH57" s="318"/>
      <c r="FI57" s="318"/>
      <c r="FJ57" s="318"/>
      <c r="FK57" s="318"/>
      <c r="FL57" s="318"/>
      <c r="FM57" s="318"/>
      <c r="FN57" s="318"/>
      <c r="FO57" s="318"/>
      <c r="FP57" s="318"/>
      <c r="FQ57" s="318"/>
      <c r="FR57" s="318"/>
      <c r="FS57" s="318"/>
      <c r="FT57" s="318"/>
      <c r="FU57" s="318"/>
      <c r="FV57" s="318"/>
      <c r="FW57" s="318"/>
      <c r="FX57" s="318"/>
      <c r="FY57" s="318"/>
      <c r="FZ57" s="318"/>
      <c r="GA57" s="318"/>
      <c r="GB57" s="318"/>
      <c r="GC57" s="318"/>
      <c r="GD57" s="318"/>
      <c r="GE57" s="318"/>
      <c r="GF57" s="318"/>
      <c r="GG57" s="318"/>
      <c r="GH57" s="318"/>
      <c r="GI57" s="318"/>
      <c r="GJ57" s="318"/>
      <c r="GK57" s="318"/>
      <c r="GL57" s="318"/>
      <c r="GM57" s="318"/>
      <c r="GN57" s="318"/>
      <c r="GO57" s="318"/>
      <c r="GP57" s="318"/>
      <c r="GQ57" s="318"/>
      <c r="GR57" s="318"/>
      <c r="GS57" s="318"/>
      <c r="GT57" s="318"/>
      <c r="GU57" s="318"/>
      <c r="GV57" s="318"/>
      <c r="GW57" s="318"/>
      <c r="GX57" s="318"/>
      <c r="GY57" s="318"/>
      <c r="GZ57" s="318"/>
      <c r="HA57" s="318"/>
      <c r="HB57" s="318"/>
      <c r="HC57" s="318"/>
      <c r="HD57" s="318"/>
      <c r="HE57" s="318"/>
      <c r="HF57" s="318"/>
      <c r="HG57" s="318"/>
      <c r="HH57" s="318"/>
      <c r="HI57" s="318"/>
      <c r="HJ57" s="318"/>
      <c r="HK57" s="318"/>
      <c r="HL57" s="318"/>
      <c r="HM57" s="318"/>
      <c r="HN57" s="318"/>
      <c r="HO57" s="318"/>
      <c r="HP57" s="318"/>
      <c r="HQ57" s="318"/>
      <c r="HR57" s="318"/>
      <c r="HS57" s="318"/>
      <c r="HT57" s="318"/>
      <c r="HU57" s="318"/>
      <c r="HV57" s="318"/>
      <c r="HW57" s="318"/>
      <c r="HX57" s="318"/>
      <c r="HY57" s="318"/>
      <c r="HZ57" s="318"/>
      <c r="IA57" s="318"/>
      <c r="IB57" s="318"/>
      <c r="IC57" s="318"/>
      <c r="ID57" s="318"/>
      <c r="IE57" s="318"/>
      <c r="IF57" s="318"/>
      <c r="IG57" s="318"/>
      <c r="IH57" s="318"/>
      <c r="II57" s="318"/>
      <c r="IJ57" s="318"/>
      <c r="IK57" s="318"/>
      <c r="IL57" s="318"/>
      <c r="IM57" s="318"/>
      <c r="IN57" s="318"/>
      <c r="IO57" s="318"/>
      <c r="IP57" s="318"/>
      <c r="IQ57" s="318"/>
      <c r="IR57" s="318"/>
      <c r="IS57" s="318"/>
      <c r="IT57" s="318"/>
      <c r="IU57" s="318"/>
      <c r="IV57" s="318"/>
    </row>
    <row r="58" spans="1:256" s="470" customFormat="1" ht="13.5" customHeight="1" thickBot="1" x14ac:dyDescent="0.25">
      <c r="A58" s="472"/>
      <c r="B58" s="34"/>
      <c r="C58" s="478"/>
      <c r="D58" s="479"/>
      <c r="E58" s="475"/>
      <c r="F58" s="476"/>
      <c r="G58" s="480"/>
      <c r="H58" s="480"/>
      <c r="I58" s="480"/>
      <c r="J58" s="480"/>
      <c r="K58" s="465"/>
      <c r="L58" s="10"/>
      <c r="M58" s="454"/>
      <c r="N58" s="478"/>
      <c r="O58" s="10"/>
      <c r="P58" s="4"/>
      <c r="Q58" s="4"/>
      <c r="R58" s="4"/>
      <c r="S58" s="4"/>
      <c r="T58" s="4"/>
      <c r="U58" s="4"/>
      <c r="V58" s="4"/>
      <c r="W58" s="4"/>
      <c r="X58" s="4"/>
      <c r="Y58" s="318"/>
      <c r="Z58" s="318"/>
      <c r="AA58" s="318"/>
      <c r="AB58" s="318"/>
      <c r="AC58" s="318"/>
      <c r="AD58" s="318"/>
      <c r="AE58" s="318"/>
      <c r="AF58" s="318"/>
      <c r="AG58" s="318"/>
      <c r="AH58" s="318"/>
      <c r="AI58" s="318"/>
      <c r="AJ58" s="318"/>
      <c r="AK58" s="318"/>
      <c r="AL58" s="318"/>
      <c r="AM58" s="318"/>
      <c r="AN58" s="318"/>
      <c r="AO58" s="318"/>
      <c r="AP58" s="318"/>
      <c r="AQ58" s="318"/>
      <c r="AR58" s="318"/>
      <c r="AS58" s="318"/>
      <c r="AT58" s="318"/>
      <c r="AU58" s="318"/>
      <c r="AV58" s="318"/>
      <c r="AW58" s="318"/>
      <c r="AX58" s="318"/>
      <c r="AY58" s="318"/>
      <c r="AZ58" s="318"/>
      <c r="BA58" s="318"/>
      <c r="BB58" s="318"/>
      <c r="BC58" s="318"/>
      <c r="BD58" s="318"/>
      <c r="BE58" s="318"/>
      <c r="BF58" s="318"/>
      <c r="BG58" s="318"/>
      <c r="BH58" s="318"/>
      <c r="BI58" s="318"/>
      <c r="BJ58" s="318"/>
      <c r="BK58" s="318"/>
      <c r="BL58" s="318"/>
      <c r="BM58" s="318"/>
      <c r="BN58" s="318"/>
      <c r="BO58" s="318"/>
      <c r="BP58" s="318"/>
      <c r="BQ58" s="318"/>
      <c r="BR58" s="318"/>
      <c r="BS58" s="318"/>
      <c r="BT58" s="318"/>
      <c r="BU58" s="318"/>
      <c r="BV58" s="318"/>
      <c r="BW58" s="318"/>
      <c r="BX58" s="318"/>
      <c r="BY58" s="318"/>
      <c r="BZ58" s="318"/>
      <c r="CA58" s="318"/>
      <c r="CB58" s="318"/>
      <c r="CC58" s="318"/>
      <c r="CD58" s="318"/>
      <c r="CE58" s="318"/>
      <c r="CF58" s="318"/>
      <c r="CG58" s="318"/>
      <c r="CH58" s="318"/>
      <c r="CI58" s="318"/>
      <c r="CJ58" s="318"/>
      <c r="CK58" s="318"/>
      <c r="CL58" s="318"/>
      <c r="CM58" s="318"/>
      <c r="CN58" s="318"/>
      <c r="CO58" s="318"/>
      <c r="CP58" s="318"/>
      <c r="CQ58" s="318"/>
      <c r="CR58" s="318"/>
      <c r="CS58" s="318"/>
      <c r="CT58" s="318"/>
      <c r="CU58" s="318"/>
      <c r="CV58" s="318"/>
      <c r="CW58" s="318"/>
      <c r="CX58" s="318"/>
      <c r="CY58" s="318"/>
      <c r="CZ58" s="318"/>
      <c r="DA58" s="318"/>
      <c r="DB58" s="318"/>
      <c r="DC58" s="318"/>
      <c r="DD58" s="318"/>
      <c r="DE58" s="318"/>
      <c r="DF58" s="318"/>
      <c r="DG58" s="318"/>
      <c r="DH58" s="318"/>
      <c r="DI58" s="318"/>
      <c r="DJ58" s="318"/>
      <c r="DK58" s="318"/>
      <c r="DL58" s="318"/>
      <c r="DM58" s="318"/>
      <c r="DN58" s="318"/>
      <c r="DO58" s="318"/>
      <c r="DP58" s="318"/>
      <c r="DQ58" s="318"/>
      <c r="DR58" s="318"/>
      <c r="DS58" s="318"/>
      <c r="DT58" s="318"/>
      <c r="DU58" s="318"/>
      <c r="DV58" s="318"/>
      <c r="DW58" s="318"/>
      <c r="DX58" s="318"/>
      <c r="DY58" s="318"/>
      <c r="DZ58" s="318"/>
      <c r="EA58" s="318"/>
      <c r="EB58" s="318"/>
      <c r="EC58" s="318"/>
      <c r="ED58" s="318"/>
      <c r="EE58" s="318"/>
      <c r="EF58" s="318"/>
      <c r="EG58" s="318"/>
      <c r="EH58" s="318"/>
      <c r="EI58" s="318"/>
      <c r="EJ58" s="318"/>
      <c r="EK58" s="318"/>
      <c r="EL58" s="318"/>
      <c r="EM58" s="318"/>
      <c r="EN58" s="318"/>
      <c r="EO58" s="318"/>
      <c r="EP58" s="318"/>
      <c r="EQ58" s="318"/>
      <c r="ER58" s="318"/>
      <c r="ES58" s="318"/>
      <c r="ET58" s="318"/>
      <c r="EU58" s="318"/>
      <c r="EV58" s="318"/>
      <c r="EW58" s="318"/>
      <c r="EX58" s="318"/>
      <c r="EY58" s="318"/>
      <c r="EZ58" s="318"/>
      <c r="FA58" s="318"/>
      <c r="FB58" s="318"/>
      <c r="FC58" s="318"/>
      <c r="FD58" s="318"/>
      <c r="FE58" s="318"/>
      <c r="FF58" s="318"/>
      <c r="FG58" s="318"/>
      <c r="FH58" s="318"/>
      <c r="FI58" s="318"/>
      <c r="FJ58" s="318"/>
      <c r="FK58" s="318"/>
      <c r="FL58" s="318"/>
      <c r="FM58" s="318"/>
      <c r="FN58" s="318"/>
      <c r="FO58" s="318"/>
      <c r="FP58" s="318"/>
      <c r="FQ58" s="318"/>
      <c r="FR58" s="318"/>
      <c r="FS58" s="318"/>
      <c r="FT58" s="318"/>
      <c r="FU58" s="318"/>
      <c r="FV58" s="318"/>
      <c r="FW58" s="318"/>
      <c r="FX58" s="318"/>
      <c r="FY58" s="318"/>
      <c r="FZ58" s="318"/>
      <c r="GA58" s="318"/>
      <c r="GB58" s="318"/>
      <c r="GC58" s="318"/>
      <c r="GD58" s="318"/>
      <c r="GE58" s="318"/>
      <c r="GF58" s="318"/>
      <c r="GG58" s="318"/>
      <c r="GH58" s="318"/>
      <c r="GI58" s="318"/>
      <c r="GJ58" s="318"/>
      <c r="GK58" s="318"/>
      <c r="GL58" s="318"/>
      <c r="GM58" s="318"/>
      <c r="GN58" s="318"/>
      <c r="GO58" s="318"/>
      <c r="GP58" s="318"/>
      <c r="GQ58" s="318"/>
      <c r="GR58" s="318"/>
      <c r="GS58" s="318"/>
      <c r="GT58" s="318"/>
      <c r="GU58" s="318"/>
      <c r="GV58" s="318"/>
      <c r="GW58" s="318"/>
      <c r="GX58" s="318"/>
      <c r="GY58" s="318"/>
      <c r="GZ58" s="318"/>
      <c r="HA58" s="318"/>
      <c r="HB58" s="318"/>
      <c r="HC58" s="318"/>
      <c r="HD58" s="318"/>
      <c r="HE58" s="318"/>
      <c r="HF58" s="318"/>
      <c r="HG58" s="318"/>
      <c r="HH58" s="318"/>
      <c r="HI58" s="318"/>
      <c r="HJ58" s="318"/>
      <c r="HK58" s="318"/>
      <c r="HL58" s="318"/>
      <c r="HM58" s="318"/>
      <c r="HN58" s="318"/>
      <c r="HO58" s="318"/>
      <c r="HP58" s="318"/>
      <c r="HQ58" s="318"/>
      <c r="HR58" s="318"/>
      <c r="HS58" s="318"/>
      <c r="HT58" s="318"/>
      <c r="HU58" s="318"/>
      <c r="HV58" s="318"/>
      <c r="HW58" s="318"/>
      <c r="HX58" s="318"/>
      <c r="HY58" s="318"/>
      <c r="HZ58" s="318"/>
      <c r="IA58" s="318"/>
      <c r="IB58" s="318"/>
      <c r="IC58" s="318"/>
      <c r="ID58" s="318"/>
      <c r="IE58" s="318"/>
      <c r="IF58" s="318"/>
      <c r="IG58" s="318"/>
      <c r="IH58" s="318"/>
      <c r="II58" s="318"/>
      <c r="IJ58" s="318"/>
      <c r="IK58" s="318"/>
      <c r="IL58" s="318"/>
      <c r="IM58" s="318"/>
      <c r="IN58" s="318"/>
      <c r="IO58" s="318"/>
      <c r="IP58" s="318"/>
      <c r="IQ58" s="318"/>
      <c r="IR58" s="318"/>
      <c r="IS58" s="318"/>
      <c r="IT58" s="318"/>
      <c r="IU58" s="318"/>
      <c r="IV58" s="318"/>
    </row>
    <row r="59" spans="1:256" s="470" customFormat="1" ht="13.5" customHeight="1" thickBot="1" x14ac:dyDescent="0.25">
      <c r="A59" s="472"/>
      <c r="B59" s="34"/>
      <c r="C59" s="478"/>
      <c r="D59" s="479"/>
      <c r="E59" s="475"/>
      <c r="F59" s="476"/>
      <c r="G59" s="480"/>
      <c r="H59" s="480"/>
      <c r="I59" s="480"/>
      <c r="J59" s="480"/>
      <c r="K59" s="465"/>
      <c r="L59" s="10"/>
      <c r="M59" s="454"/>
      <c r="N59" s="478"/>
      <c r="O59" s="10"/>
      <c r="P59" s="4"/>
      <c r="Q59" s="4"/>
      <c r="R59" s="4"/>
      <c r="S59" s="4"/>
      <c r="T59" s="4"/>
      <c r="U59" s="4"/>
      <c r="V59" s="4"/>
      <c r="W59" s="4"/>
      <c r="X59" s="4"/>
      <c r="Y59" s="318"/>
      <c r="Z59" s="318"/>
      <c r="AA59" s="318"/>
      <c r="AB59" s="318"/>
      <c r="AC59" s="318"/>
      <c r="AD59" s="318"/>
      <c r="AE59" s="318"/>
      <c r="AF59" s="318"/>
      <c r="AG59" s="318"/>
      <c r="AH59" s="318"/>
      <c r="AI59" s="318"/>
      <c r="AJ59" s="318"/>
      <c r="AK59" s="318"/>
      <c r="AL59" s="318"/>
      <c r="AM59" s="318"/>
      <c r="AN59" s="318"/>
      <c r="AO59" s="318"/>
      <c r="AP59" s="318"/>
      <c r="AQ59" s="318"/>
      <c r="AR59" s="318"/>
      <c r="AS59" s="318"/>
      <c r="AT59" s="318"/>
      <c r="AU59" s="318"/>
      <c r="AV59" s="318"/>
      <c r="AW59" s="318"/>
      <c r="AX59" s="318"/>
      <c r="AY59" s="318"/>
      <c r="AZ59" s="318"/>
      <c r="BA59" s="318"/>
      <c r="BB59" s="318"/>
      <c r="BC59" s="318"/>
      <c r="BD59" s="318"/>
      <c r="BE59" s="318"/>
      <c r="BF59" s="318"/>
      <c r="BG59" s="318"/>
      <c r="BH59" s="318"/>
      <c r="BI59" s="318"/>
      <c r="BJ59" s="318"/>
      <c r="BK59" s="318"/>
      <c r="BL59" s="318"/>
      <c r="BM59" s="318"/>
      <c r="BN59" s="318"/>
      <c r="BO59" s="318"/>
      <c r="BP59" s="318"/>
      <c r="BQ59" s="318"/>
      <c r="BR59" s="318"/>
      <c r="BS59" s="318"/>
      <c r="BT59" s="318"/>
      <c r="BU59" s="318"/>
      <c r="BV59" s="318"/>
      <c r="BW59" s="318"/>
      <c r="BX59" s="318"/>
      <c r="BY59" s="318"/>
      <c r="BZ59" s="318"/>
      <c r="CA59" s="318"/>
      <c r="CB59" s="318"/>
      <c r="CC59" s="318"/>
      <c r="CD59" s="318"/>
      <c r="CE59" s="318"/>
      <c r="CF59" s="318"/>
      <c r="CG59" s="318"/>
      <c r="CH59" s="318"/>
      <c r="CI59" s="318"/>
      <c r="CJ59" s="318"/>
      <c r="CK59" s="318"/>
      <c r="CL59" s="318"/>
      <c r="CM59" s="318"/>
      <c r="CN59" s="318"/>
      <c r="CO59" s="318"/>
      <c r="CP59" s="318"/>
      <c r="CQ59" s="318"/>
      <c r="CR59" s="318"/>
      <c r="CS59" s="318"/>
      <c r="CT59" s="318"/>
      <c r="CU59" s="318"/>
      <c r="CV59" s="318"/>
      <c r="CW59" s="318"/>
      <c r="CX59" s="318"/>
      <c r="CY59" s="318"/>
      <c r="CZ59" s="318"/>
      <c r="DA59" s="318"/>
      <c r="DB59" s="318"/>
      <c r="DC59" s="318"/>
      <c r="DD59" s="318"/>
      <c r="DE59" s="318"/>
      <c r="DF59" s="318"/>
      <c r="DG59" s="318"/>
      <c r="DH59" s="318"/>
      <c r="DI59" s="318"/>
      <c r="DJ59" s="318"/>
      <c r="DK59" s="318"/>
      <c r="DL59" s="318"/>
      <c r="DM59" s="318"/>
      <c r="DN59" s="318"/>
      <c r="DO59" s="318"/>
      <c r="DP59" s="318"/>
      <c r="DQ59" s="318"/>
      <c r="DR59" s="318"/>
      <c r="DS59" s="318"/>
      <c r="DT59" s="318"/>
      <c r="DU59" s="318"/>
      <c r="DV59" s="318"/>
      <c r="DW59" s="318"/>
      <c r="DX59" s="318"/>
      <c r="DY59" s="318"/>
      <c r="DZ59" s="318"/>
      <c r="EA59" s="318"/>
      <c r="EB59" s="318"/>
      <c r="EC59" s="318"/>
      <c r="ED59" s="318"/>
      <c r="EE59" s="318"/>
      <c r="EF59" s="318"/>
      <c r="EG59" s="318"/>
      <c r="EH59" s="318"/>
      <c r="EI59" s="318"/>
      <c r="EJ59" s="318"/>
      <c r="EK59" s="318"/>
      <c r="EL59" s="318"/>
      <c r="EM59" s="318"/>
      <c r="EN59" s="318"/>
      <c r="EO59" s="318"/>
      <c r="EP59" s="318"/>
      <c r="EQ59" s="318"/>
      <c r="ER59" s="318"/>
      <c r="ES59" s="318"/>
      <c r="ET59" s="318"/>
      <c r="EU59" s="318"/>
      <c r="EV59" s="318"/>
      <c r="EW59" s="318"/>
      <c r="EX59" s="318"/>
      <c r="EY59" s="318"/>
      <c r="EZ59" s="318"/>
      <c r="FA59" s="318"/>
      <c r="FB59" s="318"/>
      <c r="FC59" s="318"/>
      <c r="FD59" s="318"/>
      <c r="FE59" s="318"/>
      <c r="FF59" s="318"/>
      <c r="FG59" s="318"/>
      <c r="FH59" s="318"/>
      <c r="FI59" s="318"/>
      <c r="FJ59" s="318"/>
      <c r="FK59" s="318"/>
      <c r="FL59" s="318"/>
      <c r="FM59" s="318"/>
      <c r="FN59" s="318"/>
      <c r="FO59" s="318"/>
      <c r="FP59" s="318"/>
      <c r="FQ59" s="318"/>
      <c r="FR59" s="318"/>
      <c r="FS59" s="318"/>
      <c r="FT59" s="318"/>
      <c r="FU59" s="318"/>
      <c r="FV59" s="318"/>
      <c r="FW59" s="318"/>
      <c r="FX59" s="318"/>
      <c r="FY59" s="318"/>
      <c r="FZ59" s="318"/>
      <c r="GA59" s="318"/>
      <c r="GB59" s="318"/>
      <c r="GC59" s="318"/>
      <c r="GD59" s="318"/>
      <c r="GE59" s="318"/>
      <c r="GF59" s="318"/>
      <c r="GG59" s="318"/>
      <c r="GH59" s="318"/>
      <c r="GI59" s="318"/>
      <c r="GJ59" s="318"/>
      <c r="GK59" s="318"/>
      <c r="GL59" s="318"/>
      <c r="GM59" s="318"/>
      <c r="GN59" s="318"/>
      <c r="GO59" s="318"/>
      <c r="GP59" s="318"/>
      <c r="GQ59" s="318"/>
      <c r="GR59" s="318"/>
      <c r="GS59" s="318"/>
      <c r="GT59" s="318"/>
      <c r="GU59" s="318"/>
      <c r="GV59" s="318"/>
      <c r="GW59" s="318"/>
      <c r="GX59" s="318"/>
      <c r="GY59" s="318"/>
      <c r="GZ59" s="318"/>
      <c r="HA59" s="318"/>
      <c r="HB59" s="318"/>
      <c r="HC59" s="318"/>
      <c r="HD59" s="318"/>
      <c r="HE59" s="318"/>
      <c r="HF59" s="318"/>
      <c r="HG59" s="318"/>
      <c r="HH59" s="318"/>
      <c r="HI59" s="318"/>
      <c r="HJ59" s="318"/>
      <c r="HK59" s="318"/>
      <c r="HL59" s="318"/>
      <c r="HM59" s="318"/>
      <c r="HN59" s="318"/>
      <c r="HO59" s="318"/>
      <c r="HP59" s="318"/>
      <c r="HQ59" s="318"/>
      <c r="HR59" s="318"/>
      <c r="HS59" s="318"/>
      <c r="HT59" s="318"/>
      <c r="HU59" s="318"/>
      <c r="HV59" s="318"/>
      <c r="HW59" s="318"/>
      <c r="HX59" s="318"/>
      <c r="HY59" s="318"/>
      <c r="HZ59" s="318"/>
      <c r="IA59" s="318"/>
      <c r="IB59" s="318"/>
      <c r="IC59" s="318"/>
      <c r="ID59" s="318"/>
      <c r="IE59" s="318"/>
      <c r="IF59" s="318"/>
      <c r="IG59" s="318"/>
      <c r="IH59" s="318"/>
      <c r="II59" s="318"/>
      <c r="IJ59" s="318"/>
      <c r="IK59" s="318"/>
      <c r="IL59" s="318"/>
      <c r="IM59" s="318"/>
      <c r="IN59" s="318"/>
      <c r="IO59" s="318"/>
      <c r="IP59" s="318"/>
      <c r="IQ59" s="318"/>
      <c r="IR59" s="318"/>
      <c r="IS59" s="318"/>
      <c r="IT59" s="318"/>
      <c r="IU59" s="318"/>
      <c r="IV59" s="318"/>
    </row>
    <row r="60" spans="1:256" s="470" customFormat="1" ht="13.5" customHeight="1" thickBot="1" x14ac:dyDescent="0.25">
      <c r="A60" s="472"/>
      <c r="B60" s="34"/>
      <c r="C60" s="473"/>
      <c r="D60" s="474"/>
      <c r="E60" s="475"/>
      <c r="F60" s="476"/>
      <c r="G60" s="464"/>
      <c r="H60" s="464"/>
      <c r="I60" s="464"/>
      <c r="J60" s="464"/>
      <c r="K60" s="465"/>
      <c r="L60" s="10"/>
      <c r="M60" s="465"/>
      <c r="N60" s="465"/>
      <c r="O60" s="10"/>
      <c r="P60" s="4"/>
      <c r="Q60" s="4"/>
      <c r="R60" s="4"/>
      <c r="S60" s="4"/>
      <c r="T60" s="4"/>
      <c r="U60" s="4"/>
      <c r="V60" s="4"/>
      <c r="W60" s="4"/>
      <c r="X60" s="4"/>
      <c r="Y60" s="318"/>
      <c r="Z60" s="318"/>
      <c r="AA60" s="318"/>
      <c r="AB60" s="318"/>
      <c r="AC60" s="318"/>
      <c r="AD60" s="318"/>
      <c r="AE60" s="318"/>
      <c r="AF60" s="318"/>
      <c r="AG60" s="318"/>
      <c r="AH60" s="318"/>
      <c r="AI60" s="318"/>
      <c r="AJ60" s="318"/>
      <c r="AK60" s="318"/>
      <c r="AL60" s="318"/>
      <c r="AM60" s="318"/>
      <c r="AN60" s="318"/>
      <c r="AO60" s="318"/>
      <c r="AP60" s="318"/>
      <c r="AQ60" s="318"/>
      <c r="AR60" s="318"/>
      <c r="AS60" s="318"/>
      <c r="AT60" s="318"/>
      <c r="AU60" s="318"/>
      <c r="AV60" s="318"/>
      <c r="AW60" s="318"/>
      <c r="AX60" s="318"/>
      <c r="AY60" s="318"/>
      <c r="AZ60" s="318"/>
      <c r="BA60" s="318"/>
      <c r="BB60" s="318"/>
      <c r="BC60" s="318"/>
      <c r="BD60" s="318"/>
      <c r="BE60" s="318"/>
      <c r="BF60" s="318"/>
      <c r="BG60" s="318"/>
      <c r="BH60" s="318"/>
      <c r="BI60" s="318"/>
      <c r="BJ60" s="318"/>
      <c r="BK60" s="318"/>
      <c r="BL60" s="318"/>
      <c r="BM60" s="318"/>
      <c r="BN60" s="318"/>
      <c r="BO60" s="318"/>
      <c r="BP60" s="318"/>
      <c r="BQ60" s="318"/>
      <c r="BR60" s="318"/>
      <c r="BS60" s="318"/>
      <c r="BT60" s="318"/>
      <c r="BU60" s="318"/>
      <c r="BV60" s="318"/>
      <c r="BW60" s="318"/>
      <c r="BX60" s="318"/>
      <c r="BY60" s="318"/>
      <c r="BZ60" s="318"/>
      <c r="CA60" s="318"/>
      <c r="CB60" s="318"/>
      <c r="CC60" s="318"/>
      <c r="CD60" s="318"/>
      <c r="CE60" s="318"/>
      <c r="CF60" s="318"/>
      <c r="CG60" s="318"/>
      <c r="CH60" s="318"/>
      <c r="CI60" s="318"/>
      <c r="CJ60" s="318"/>
      <c r="CK60" s="318"/>
      <c r="CL60" s="318"/>
      <c r="CM60" s="318"/>
      <c r="CN60" s="318"/>
      <c r="CO60" s="318"/>
      <c r="CP60" s="318"/>
      <c r="CQ60" s="318"/>
      <c r="CR60" s="318"/>
      <c r="CS60" s="318"/>
      <c r="CT60" s="318"/>
      <c r="CU60" s="318"/>
      <c r="CV60" s="318"/>
      <c r="CW60" s="318"/>
      <c r="CX60" s="318"/>
      <c r="CY60" s="318"/>
      <c r="CZ60" s="318"/>
      <c r="DA60" s="318"/>
      <c r="DB60" s="318"/>
      <c r="DC60" s="318"/>
      <c r="DD60" s="318"/>
      <c r="DE60" s="318"/>
      <c r="DF60" s="318"/>
      <c r="DG60" s="318"/>
      <c r="DH60" s="318"/>
      <c r="DI60" s="318"/>
      <c r="DJ60" s="318"/>
      <c r="DK60" s="318"/>
      <c r="DL60" s="318"/>
      <c r="DM60" s="318"/>
      <c r="DN60" s="318"/>
      <c r="DO60" s="318"/>
      <c r="DP60" s="318"/>
      <c r="DQ60" s="318"/>
      <c r="DR60" s="318"/>
      <c r="DS60" s="318"/>
      <c r="DT60" s="318"/>
      <c r="DU60" s="318"/>
      <c r="DV60" s="318"/>
      <c r="DW60" s="318"/>
      <c r="DX60" s="318"/>
      <c r="DY60" s="318"/>
      <c r="DZ60" s="318"/>
      <c r="EA60" s="318"/>
      <c r="EB60" s="318"/>
      <c r="EC60" s="318"/>
      <c r="ED60" s="318"/>
      <c r="EE60" s="318"/>
      <c r="EF60" s="318"/>
      <c r="EG60" s="318"/>
      <c r="EH60" s="318"/>
      <c r="EI60" s="318"/>
      <c r="EJ60" s="318"/>
      <c r="EK60" s="318"/>
      <c r="EL60" s="318"/>
      <c r="EM60" s="318"/>
      <c r="EN60" s="318"/>
      <c r="EO60" s="318"/>
      <c r="EP60" s="318"/>
      <c r="EQ60" s="318"/>
      <c r="ER60" s="318"/>
      <c r="ES60" s="318"/>
      <c r="ET60" s="318"/>
      <c r="EU60" s="318"/>
      <c r="EV60" s="318"/>
      <c r="EW60" s="318"/>
      <c r="EX60" s="318"/>
      <c r="EY60" s="318"/>
      <c r="EZ60" s="318"/>
      <c r="FA60" s="318"/>
      <c r="FB60" s="318"/>
      <c r="FC60" s="318"/>
      <c r="FD60" s="318"/>
      <c r="FE60" s="318"/>
      <c r="FF60" s="318"/>
      <c r="FG60" s="318"/>
      <c r="FH60" s="318"/>
      <c r="FI60" s="318"/>
      <c r="FJ60" s="318"/>
      <c r="FK60" s="318"/>
      <c r="FL60" s="318"/>
      <c r="FM60" s="318"/>
      <c r="FN60" s="318"/>
      <c r="FO60" s="318"/>
      <c r="FP60" s="318"/>
      <c r="FQ60" s="318"/>
      <c r="FR60" s="318"/>
      <c r="FS60" s="318"/>
      <c r="FT60" s="318"/>
      <c r="FU60" s="318"/>
      <c r="FV60" s="318"/>
      <c r="FW60" s="318"/>
      <c r="FX60" s="318"/>
      <c r="FY60" s="318"/>
      <c r="FZ60" s="318"/>
      <c r="GA60" s="318"/>
      <c r="GB60" s="318"/>
      <c r="GC60" s="318"/>
      <c r="GD60" s="318"/>
      <c r="GE60" s="318"/>
      <c r="GF60" s="318"/>
      <c r="GG60" s="318"/>
      <c r="GH60" s="318"/>
      <c r="GI60" s="318"/>
      <c r="GJ60" s="318"/>
      <c r="GK60" s="318"/>
      <c r="GL60" s="318"/>
      <c r="GM60" s="318"/>
      <c r="GN60" s="318"/>
      <c r="GO60" s="318"/>
      <c r="GP60" s="318"/>
      <c r="GQ60" s="318"/>
      <c r="GR60" s="318"/>
      <c r="GS60" s="318"/>
      <c r="GT60" s="318"/>
      <c r="GU60" s="318"/>
      <c r="GV60" s="318"/>
      <c r="GW60" s="318"/>
      <c r="GX60" s="318"/>
      <c r="GY60" s="318"/>
      <c r="GZ60" s="318"/>
      <c r="HA60" s="318"/>
      <c r="HB60" s="318"/>
      <c r="HC60" s="318"/>
      <c r="HD60" s="318"/>
      <c r="HE60" s="318"/>
      <c r="HF60" s="318"/>
      <c r="HG60" s="318"/>
      <c r="HH60" s="318"/>
      <c r="HI60" s="318"/>
      <c r="HJ60" s="318"/>
      <c r="HK60" s="318"/>
      <c r="HL60" s="318"/>
      <c r="HM60" s="318"/>
      <c r="HN60" s="318"/>
      <c r="HO60" s="318"/>
      <c r="HP60" s="318"/>
      <c r="HQ60" s="318"/>
      <c r="HR60" s="318"/>
      <c r="HS60" s="318"/>
      <c r="HT60" s="318"/>
      <c r="HU60" s="318"/>
      <c r="HV60" s="318"/>
      <c r="HW60" s="318"/>
      <c r="HX60" s="318"/>
      <c r="HY60" s="318"/>
      <c r="HZ60" s="318"/>
      <c r="IA60" s="318"/>
      <c r="IB60" s="318"/>
      <c r="IC60" s="318"/>
      <c r="ID60" s="318"/>
      <c r="IE60" s="318"/>
      <c r="IF60" s="318"/>
      <c r="IG60" s="318"/>
      <c r="IH60" s="318"/>
      <c r="II60" s="318"/>
      <c r="IJ60" s="318"/>
      <c r="IK60" s="318"/>
      <c r="IL60" s="318"/>
      <c r="IM60" s="318"/>
      <c r="IN60" s="318"/>
      <c r="IO60" s="318"/>
      <c r="IP60" s="318"/>
      <c r="IQ60" s="318"/>
      <c r="IR60" s="318"/>
      <c r="IS60" s="318"/>
      <c r="IT60" s="318"/>
      <c r="IU60" s="318"/>
      <c r="IV60" s="318"/>
    </row>
    <row r="61" spans="1:256" s="470" customFormat="1" ht="13.5" customHeight="1" thickBot="1" x14ac:dyDescent="0.25">
      <c r="A61" s="472"/>
      <c r="B61" s="34"/>
      <c r="C61" s="473"/>
      <c r="D61" s="474"/>
      <c r="E61" s="475"/>
      <c r="F61" s="476"/>
      <c r="G61" s="464"/>
      <c r="H61" s="464"/>
      <c r="I61" s="464"/>
      <c r="J61" s="464"/>
      <c r="K61" s="465"/>
      <c r="L61" s="10"/>
      <c r="M61" s="465"/>
      <c r="N61" s="465"/>
      <c r="O61" s="10"/>
      <c r="P61" s="4"/>
      <c r="Q61" s="4"/>
      <c r="R61" s="4"/>
      <c r="S61" s="4"/>
      <c r="T61" s="4"/>
      <c r="U61" s="4"/>
      <c r="V61" s="4"/>
      <c r="W61" s="4"/>
      <c r="X61" s="4"/>
      <c r="Y61" s="318"/>
      <c r="Z61" s="318"/>
      <c r="AA61" s="318"/>
      <c r="AB61" s="318"/>
      <c r="AC61" s="318"/>
      <c r="AD61" s="318"/>
      <c r="AE61" s="318"/>
      <c r="AF61" s="318"/>
      <c r="AG61" s="318"/>
      <c r="AH61" s="318"/>
      <c r="AI61" s="318"/>
      <c r="AJ61" s="318"/>
      <c r="AK61" s="318"/>
      <c r="AL61" s="318"/>
      <c r="AM61" s="318"/>
      <c r="AN61" s="318"/>
      <c r="AO61" s="318"/>
      <c r="AP61" s="318"/>
      <c r="AQ61" s="318"/>
      <c r="AR61" s="318"/>
      <c r="AS61" s="318"/>
      <c r="AT61" s="318"/>
      <c r="AU61" s="318"/>
      <c r="AV61" s="318"/>
      <c r="AW61" s="318"/>
      <c r="AX61" s="318"/>
      <c r="AY61" s="318"/>
      <c r="AZ61" s="318"/>
      <c r="BA61" s="318"/>
      <c r="BB61" s="318"/>
      <c r="BC61" s="318"/>
      <c r="BD61" s="318"/>
      <c r="BE61" s="318"/>
      <c r="BF61" s="318"/>
      <c r="BG61" s="318"/>
      <c r="BH61" s="318"/>
      <c r="BI61" s="318"/>
      <c r="BJ61" s="318"/>
      <c r="BK61" s="318"/>
      <c r="BL61" s="318"/>
      <c r="BM61" s="318"/>
      <c r="BN61" s="318"/>
      <c r="BO61" s="318"/>
      <c r="BP61" s="318"/>
      <c r="BQ61" s="318"/>
      <c r="BR61" s="318"/>
      <c r="BS61" s="318"/>
      <c r="BT61" s="318"/>
      <c r="BU61" s="318"/>
      <c r="BV61" s="318"/>
      <c r="BW61" s="318"/>
      <c r="BX61" s="318"/>
      <c r="BY61" s="318"/>
      <c r="BZ61" s="318"/>
      <c r="CA61" s="318"/>
      <c r="CB61" s="318"/>
      <c r="CC61" s="318"/>
      <c r="CD61" s="318"/>
      <c r="CE61" s="318"/>
      <c r="CF61" s="318"/>
      <c r="CG61" s="318"/>
      <c r="CH61" s="318"/>
      <c r="CI61" s="318"/>
      <c r="CJ61" s="318"/>
      <c r="CK61" s="318"/>
      <c r="CL61" s="318"/>
      <c r="CM61" s="318"/>
      <c r="CN61" s="318"/>
      <c r="CO61" s="318"/>
      <c r="CP61" s="318"/>
      <c r="CQ61" s="318"/>
      <c r="CR61" s="318"/>
      <c r="CS61" s="318"/>
      <c r="CT61" s="318"/>
      <c r="CU61" s="318"/>
      <c r="CV61" s="318"/>
      <c r="CW61" s="318"/>
      <c r="CX61" s="318"/>
      <c r="CY61" s="318"/>
      <c r="CZ61" s="318"/>
      <c r="DA61" s="318"/>
      <c r="DB61" s="318"/>
      <c r="DC61" s="318"/>
      <c r="DD61" s="318"/>
      <c r="DE61" s="318"/>
      <c r="DF61" s="318"/>
      <c r="DG61" s="318"/>
      <c r="DH61" s="318"/>
      <c r="DI61" s="318"/>
      <c r="DJ61" s="318"/>
      <c r="DK61" s="318"/>
      <c r="DL61" s="318"/>
      <c r="DM61" s="318"/>
      <c r="DN61" s="318"/>
      <c r="DO61" s="318"/>
      <c r="DP61" s="318"/>
      <c r="DQ61" s="318"/>
      <c r="DR61" s="318"/>
      <c r="DS61" s="318"/>
      <c r="DT61" s="318"/>
      <c r="DU61" s="318"/>
      <c r="DV61" s="318"/>
      <c r="DW61" s="318"/>
      <c r="DX61" s="318"/>
      <c r="DY61" s="318"/>
      <c r="DZ61" s="318"/>
      <c r="EA61" s="318"/>
      <c r="EB61" s="318"/>
      <c r="EC61" s="318"/>
      <c r="ED61" s="318"/>
      <c r="EE61" s="318"/>
      <c r="EF61" s="318"/>
      <c r="EG61" s="318"/>
      <c r="EH61" s="318"/>
      <c r="EI61" s="318"/>
      <c r="EJ61" s="318"/>
      <c r="EK61" s="318"/>
      <c r="EL61" s="318"/>
      <c r="EM61" s="318"/>
      <c r="EN61" s="318"/>
      <c r="EO61" s="318"/>
      <c r="EP61" s="318"/>
      <c r="EQ61" s="318"/>
      <c r="ER61" s="318"/>
      <c r="ES61" s="318"/>
      <c r="ET61" s="318"/>
      <c r="EU61" s="318"/>
      <c r="EV61" s="318"/>
      <c r="EW61" s="318"/>
      <c r="EX61" s="318"/>
      <c r="EY61" s="318"/>
      <c r="EZ61" s="318"/>
      <c r="FA61" s="318"/>
      <c r="FB61" s="318"/>
      <c r="FC61" s="318"/>
      <c r="FD61" s="318"/>
      <c r="FE61" s="318"/>
      <c r="FF61" s="318"/>
      <c r="FG61" s="318"/>
      <c r="FH61" s="318"/>
      <c r="FI61" s="318"/>
      <c r="FJ61" s="318"/>
      <c r="FK61" s="318"/>
      <c r="FL61" s="318"/>
      <c r="FM61" s="318"/>
      <c r="FN61" s="318"/>
      <c r="FO61" s="318"/>
      <c r="FP61" s="318"/>
      <c r="FQ61" s="318"/>
      <c r="FR61" s="318"/>
      <c r="FS61" s="318"/>
      <c r="FT61" s="318"/>
      <c r="FU61" s="318"/>
      <c r="FV61" s="318"/>
      <c r="FW61" s="318"/>
      <c r="FX61" s="318"/>
      <c r="FY61" s="318"/>
      <c r="FZ61" s="318"/>
      <c r="GA61" s="318"/>
      <c r="GB61" s="318"/>
      <c r="GC61" s="318"/>
      <c r="GD61" s="318"/>
      <c r="GE61" s="318"/>
      <c r="GF61" s="318"/>
      <c r="GG61" s="318"/>
      <c r="GH61" s="318"/>
      <c r="GI61" s="318"/>
      <c r="GJ61" s="318"/>
      <c r="GK61" s="318"/>
      <c r="GL61" s="318"/>
      <c r="GM61" s="318"/>
      <c r="GN61" s="318"/>
      <c r="GO61" s="318"/>
      <c r="GP61" s="318"/>
      <c r="GQ61" s="318"/>
      <c r="GR61" s="318"/>
      <c r="GS61" s="318"/>
      <c r="GT61" s="318"/>
      <c r="GU61" s="318"/>
      <c r="GV61" s="318"/>
      <c r="GW61" s="318"/>
      <c r="GX61" s="318"/>
      <c r="GY61" s="318"/>
      <c r="GZ61" s="318"/>
      <c r="HA61" s="318"/>
      <c r="HB61" s="318"/>
      <c r="HC61" s="318"/>
      <c r="HD61" s="318"/>
      <c r="HE61" s="318"/>
      <c r="HF61" s="318"/>
      <c r="HG61" s="318"/>
      <c r="HH61" s="318"/>
      <c r="HI61" s="318"/>
      <c r="HJ61" s="318"/>
      <c r="HK61" s="318"/>
      <c r="HL61" s="318"/>
      <c r="HM61" s="318"/>
      <c r="HN61" s="318"/>
      <c r="HO61" s="318"/>
      <c r="HP61" s="318"/>
      <c r="HQ61" s="318"/>
      <c r="HR61" s="318"/>
      <c r="HS61" s="318"/>
      <c r="HT61" s="318"/>
      <c r="HU61" s="318"/>
      <c r="HV61" s="318"/>
      <c r="HW61" s="318"/>
      <c r="HX61" s="318"/>
      <c r="HY61" s="318"/>
      <c r="HZ61" s="318"/>
      <c r="IA61" s="318"/>
      <c r="IB61" s="318"/>
      <c r="IC61" s="318"/>
      <c r="ID61" s="318"/>
      <c r="IE61" s="318"/>
      <c r="IF61" s="318"/>
      <c r="IG61" s="318"/>
      <c r="IH61" s="318"/>
      <c r="II61" s="318"/>
      <c r="IJ61" s="318"/>
      <c r="IK61" s="318"/>
      <c r="IL61" s="318"/>
      <c r="IM61" s="318"/>
      <c r="IN61" s="318"/>
      <c r="IO61" s="318"/>
      <c r="IP61" s="318"/>
      <c r="IQ61" s="318"/>
      <c r="IR61" s="318"/>
      <c r="IS61" s="318"/>
      <c r="IT61" s="318"/>
      <c r="IU61" s="318"/>
      <c r="IV61" s="318"/>
    </row>
    <row r="62" spans="1:256" s="470" customFormat="1" ht="13.5" customHeight="1" thickBot="1" x14ac:dyDescent="0.25">
      <c r="A62" s="472"/>
      <c r="B62" s="34"/>
      <c r="C62" s="473"/>
      <c r="D62" s="474"/>
      <c r="E62" s="475"/>
      <c r="F62" s="476"/>
      <c r="G62" s="464"/>
      <c r="H62" s="464"/>
      <c r="I62" s="464"/>
      <c r="J62" s="464"/>
      <c r="K62" s="465"/>
      <c r="L62" s="10"/>
      <c r="M62" s="465"/>
      <c r="N62" s="465"/>
      <c r="O62" s="10"/>
      <c r="P62" s="4"/>
      <c r="Q62" s="4"/>
      <c r="R62" s="4"/>
      <c r="S62" s="4"/>
      <c r="T62" s="4"/>
      <c r="U62" s="4"/>
      <c r="V62" s="4"/>
      <c r="W62" s="4"/>
      <c r="X62" s="4"/>
      <c r="Y62" s="318"/>
      <c r="Z62" s="318"/>
      <c r="AA62" s="318"/>
      <c r="AB62" s="318"/>
      <c r="AC62" s="318"/>
      <c r="AD62" s="318"/>
      <c r="AE62" s="318"/>
      <c r="AF62" s="318"/>
      <c r="AG62" s="318"/>
      <c r="AH62" s="318"/>
      <c r="AI62" s="318"/>
      <c r="AJ62" s="318"/>
      <c r="AK62" s="318"/>
      <c r="AL62" s="318"/>
      <c r="AM62" s="318"/>
      <c r="AN62" s="318"/>
      <c r="AO62" s="318"/>
      <c r="AP62" s="318"/>
      <c r="AQ62" s="318"/>
      <c r="AR62" s="318"/>
      <c r="AS62" s="318"/>
      <c r="AT62" s="318"/>
      <c r="AU62" s="318"/>
      <c r="AV62" s="318"/>
      <c r="AW62" s="318"/>
      <c r="AX62" s="318"/>
      <c r="AY62" s="318"/>
      <c r="AZ62" s="318"/>
      <c r="BA62" s="318"/>
      <c r="BB62" s="318"/>
      <c r="BC62" s="318"/>
      <c r="BD62" s="318"/>
      <c r="BE62" s="318"/>
      <c r="BF62" s="318"/>
      <c r="BG62" s="318"/>
      <c r="BH62" s="318"/>
      <c r="BI62" s="318"/>
      <c r="BJ62" s="318"/>
      <c r="BK62" s="318"/>
      <c r="BL62" s="318"/>
      <c r="BM62" s="318"/>
      <c r="BN62" s="318"/>
      <c r="BO62" s="318"/>
      <c r="BP62" s="318"/>
      <c r="BQ62" s="318"/>
      <c r="BR62" s="318"/>
      <c r="BS62" s="318"/>
      <c r="BT62" s="318"/>
      <c r="BU62" s="318"/>
      <c r="BV62" s="318"/>
      <c r="BW62" s="318"/>
      <c r="BX62" s="318"/>
      <c r="BY62" s="318"/>
      <c r="BZ62" s="318"/>
      <c r="CA62" s="318"/>
      <c r="CB62" s="318"/>
      <c r="CC62" s="318"/>
      <c r="CD62" s="318"/>
      <c r="CE62" s="318"/>
      <c r="CF62" s="318"/>
      <c r="CG62" s="318"/>
      <c r="CH62" s="318"/>
      <c r="CI62" s="318"/>
      <c r="CJ62" s="318"/>
      <c r="CK62" s="318"/>
      <c r="CL62" s="318"/>
      <c r="CM62" s="318"/>
      <c r="CN62" s="318"/>
      <c r="CO62" s="318"/>
      <c r="CP62" s="318"/>
      <c r="CQ62" s="318"/>
      <c r="CR62" s="318"/>
      <c r="CS62" s="318"/>
      <c r="CT62" s="318"/>
      <c r="CU62" s="318"/>
      <c r="CV62" s="318"/>
      <c r="CW62" s="318"/>
      <c r="CX62" s="318"/>
      <c r="CY62" s="318"/>
      <c r="CZ62" s="318"/>
      <c r="DA62" s="318"/>
      <c r="DB62" s="318"/>
      <c r="DC62" s="318"/>
      <c r="DD62" s="318"/>
      <c r="DE62" s="318"/>
      <c r="DF62" s="318"/>
      <c r="DG62" s="318"/>
      <c r="DH62" s="318"/>
      <c r="DI62" s="318"/>
      <c r="DJ62" s="318"/>
      <c r="DK62" s="318"/>
      <c r="DL62" s="318"/>
      <c r="DM62" s="318"/>
      <c r="DN62" s="318"/>
      <c r="DO62" s="318"/>
      <c r="DP62" s="318"/>
      <c r="DQ62" s="318"/>
      <c r="DR62" s="318"/>
      <c r="DS62" s="318"/>
      <c r="DT62" s="318"/>
      <c r="DU62" s="318"/>
      <c r="DV62" s="318"/>
      <c r="DW62" s="318"/>
      <c r="DX62" s="318"/>
      <c r="DY62" s="318"/>
      <c r="DZ62" s="318"/>
      <c r="EA62" s="318"/>
      <c r="EB62" s="318"/>
      <c r="EC62" s="318"/>
      <c r="ED62" s="318"/>
      <c r="EE62" s="318"/>
      <c r="EF62" s="318"/>
      <c r="EG62" s="318"/>
      <c r="EH62" s="318"/>
      <c r="EI62" s="318"/>
      <c r="EJ62" s="318"/>
      <c r="EK62" s="318"/>
      <c r="EL62" s="318"/>
      <c r="EM62" s="318"/>
      <c r="EN62" s="318"/>
      <c r="EO62" s="318"/>
      <c r="EP62" s="318"/>
      <c r="EQ62" s="318"/>
      <c r="ER62" s="318"/>
      <c r="ES62" s="318"/>
      <c r="ET62" s="318"/>
      <c r="EU62" s="318"/>
      <c r="EV62" s="318"/>
      <c r="EW62" s="318"/>
      <c r="EX62" s="318"/>
      <c r="EY62" s="318"/>
      <c r="EZ62" s="318"/>
      <c r="FA62" s="318"/>
      <c r="FB62" s="318"/>
      <c r="FC62" s="318"/>
      <c r="FD62" s="318"/>
      <c r="FE62" s="318"/>
      <c r="FF62" s="318"/>
      <c r="FG62" s="318"/>
      <c r="FH62" s="318"/>
      <c r="FI62" s="318"/>
      <c r="FJ62" s="318"/>
      <c r="FK62" s="318"/>
      <c r="FL62" s="318"/>
      <c r="FM62" s="318"/>
      <c r="FN62" s="318"/>
      <c r="FO62" s="318"/>
      <c r="FP62" s="318"/>
      <c r="FQ62" s="318"/>
      <c r="FR62" s="318"/>
      <c r="FS62" s="318"/>
      <c r="FT62" s="318"/>
      <c r="FU62" s="318"/>
      <c r="FV62" s="318"/>
      <c r="FW62" s="318"/>
      <c r="FX62" s="318"/>
      <c r="FY62" s="318"/>
      <c r="FZ62" s="318"/>
      <c r="GA62" s="318"/>
      <c r="GB62" s="318"/>
      <c r="GC62" s="318"/>
      <c r="GD62" s="318"/>
      <c r="GE62" s="318"/>
      <c r="GF62" s="318"/>
      <c r="GG62" s="318"/>
      <c r="GH62" s="318"/>
      <c r="GI62" s="318"/>
      <c r="GJ62" s="318"/>
      <c r="GK62" s="318"/>
      <c r="GL62" s="318"/>
      <c r="GM62" s="318"/>
      <c r="GN62" s="318"/>
      <c r="GO62" s="318"/>
      <c r="GP62" s="318"/>
      <c r="GQ62" s="318"/>
      <c r="GR62" s="318"/>
      <c r="GS62" s="318"/>
      <c r="GT62" s="318"/>
      <c r="GU62" s="318"/>
      <c r="GV62" s="318"/>
      <c r="GW62" s="318"/>
      <c r="GX62" s="318"/>
      <c r="GY62" s="318"/>
      <c r="GZ62" s="318"/>
      <c r="HA62" s="318"/>
      <c r="HB62" s="318"/>
      <c r="HC62" s="318"/>
      <c r="HD62" s="318"/>
      <c r="HE62" s="318"/>
      <c r="HF62" s="318"/>
      <c r="HG62" s="318"/>
      <c r="HH62" s="318"/>
      <c r="HI62" s="318"/>
      <c r="HJ62" s="318"/>
      <c r="HK62" s="318"/>
      <c r="HL62" s="318"/>
      <c r="HM62" s="318"/>
      <c r="HN62" s="318"/>
      <c r="HO62" s="318"/>
      <c r="HP62" s="318"/>
      <c r="HQ62" s="318"/>
      <c r="HR62" s="318"/>
      <c r="HS62" s="318"/>
      <c r="HT62" s="318"/>
      <c r="HU62" s="318"/>
      <c r="HV62" s="318"/>
      <c r="HW62" s="318"/>
      <c r="HX62" s="318"/>
      <c r="HY62" s="318"/>
      <c r="HZ62" s="318"/>
      <c r="IA62" s="318"/>
      <c r="IB62" s="318"/>
      <c r="IC62" s="318"/>
      <c r="ID62" s="318"/>
      <c r="IE62" s="318"/>
      <c r="IF62" s="318"/>
      <c r="IG62" s="318"/>
      <c r="IH62" s="318"/>
      <c r="II62" s="318"/>
      <c r="IJ62" s="318"/>
      <c r="IK62" s="318"/>
      <c r="IL62" s="318"/>
      <c r="IM62" s="318"/>
      <c r="IN62" s="318"/>
      <c r="IO62" s="318"/>
      <c r="IP62" s="318"/>
      <c r="IQ62" s="318"/>
      <c r="IR62" s="318"/>
      <c r="IS62" s="318"/>
      <c r="IT62" s="318"/>
      <c r="IU62" s="318"/>
      <c r="IV62" s="318"/>
    </row>
    <row r="63" spans="1:256" s="470" customFormat="1" ht="13.5" customHeight="1" thickBot="1" x14ac:dyDescent="0.25">
      <c r="A63" s="472"/>
      <c r="B63" s="34"/>
      <c r="C63" s="473"/>
      <c r="D63" s="474"/>
      <c r="E63" s="475"/>
      <c r="F63" s="476"/>
      <c r="G63" s="464"/>
      <c r="H63" s="464"/>
      <c r="I63" s="464"/>
      <c r="J63" s="464"/>
      <c r="K63" s="465"/>
      <c r="L63" s="10"/>
      <c r="M63" s="465"/>
      <c r="N63" s="465"/>
      <c r="O63" s="10"/>
      <c r="P63" s="4"/>
      <c r="Q63" s="4"/>
      <c r="R63" s="4"/>
      <c r="S63" s="4"/>
      <c r="T63" s="4"/>
      <c r="U63" s="4"/>
      <c r="V63" s="4"/>
      <c r="W63" s="4"/>
      <c r="X63" s="4"/>
      <c r="Y63" s="318"/>
      <c r="Z63" s="318"/>
      <c r="AA63" s="318"/>
      <c r="AB63" s="318"/>
      <c r="AC63" s="318"/>
      <c r="AD63" s="318"/>
      <c r="AE63" s="318"/>
      <c r="AF63" s="318"/>
      <c r="AG63" s="318"/>
      <c r="AH63" s="318"/>
      <c r="AI63" s="318"/>
      <c r="AJ63" s="318"/>
      <c r="AK63" s="318"/>
      <c r="AL63" s="318"/>
      <c r="AM63" s="318"/>
      <c r="AN63" s="318"/>
      <c r="AO63" s="318"/>
      <c r="AP63" s="318"/>
      <c r="AQ63" s="318"/>
      <c r="AR63" s="318"/>
      <c r="AS63" s="318"/>
      <c r="AT63" s="318"/>
      <c r="AU63" s="318"/>
      <c r="AV63" s="318"/>
      <c r="AW63" s="318"/>
      <c r="AX63" s="318"/>
      <c r="AY63" s="318"/>
      <c r="AZ63" s="318"/>
      <c r="BA63" s="318"/>
      <c r="BB63" s="318"/>
      <c r="BC63" s="318"/>
      <c r="BD63" s="318"/>
      <c r="BE63" s="318"/>
      <c r="BF63" s="318"/>
      <c r="BG63" s="318"/>
      <c r="BH63" s="318"/>
      <c r="BI63" s="318"/>
      <c r="BJ63" s="318"/>
      <c r="BK63" s="318"/>
      <c r="BL63" s="318"/>
      <c r="BM63" s="318"/>
      <c r="BN63" s="318"/>
      <c r="BO63" s="318"/>
      <c r="BP63" s="318"/>
      <c r="BQ63" s="318"/>
      <c r="BR63" s="318"/>
      <c r="BS63" s="318"/>
      <c r="BT63" s="318"/>
      <c r="BU63" s="318"/>
      <c r="BV63" s="318"/>
      <c r="BW63" s="318"/>
      <c r="BX63" s="318"/>
      <c r="BY63" s="318"/>
      <c r="BZ63" s="318"/>
      <c r="CA63" s="318"/>
      <c r="CB63" s="318"/>
      <c r="CC63" s="318"/>
      <c r="CD63" s="318"/>
      <c r="CE63" s="318"/>
      <c r="CF63" s="318"/>
      <c r="CG63" s="318"/>
      <c r="CH63" s="318"/>
      <c r="CI63" s="318"/>
      <c r="CJ63" s="318"/>
      <c r="CK63" s="318"/>
      <c r="CL63" s="318"/>
      <c r="CM63" s="318"/>
      <c r="CN63" s="318"/>
      <c r="CO63" s="318"/>
      <c r="CP63" s="318"/>
      <c r="CQ63" s="318"/>
      <c r="CR63" s="318"/>
      <c r="CS63" s="318"/>
      <c r="CT63" s="318"/>
      <c r="CU63" s="318"/>
      <c r="CV63" s="318"/>
      <c r="CW63" s="318"/>
      <c r="CX63" s="318"/>
      <c r="CY63" s="318"/>
      <c r="CZ63" s="318"/>
      <c r="DA63" s="318"/>
      <c r="DB63" s="318"/>
      <c r="DC63" s="318"/>
      <c r="DD63" s="318"/>
      <c r="DE63" s="318"/>
      <c r="DF63" s="318"/>
      <c r="DG63" s="318"/>
      <c r="DH63" s="318"/>
      <c r="DI63" s="318"/>
      <c r="DJ63" s="318"/>
      <c r="DK63" s="318"/>
      <c r="DL63" s="318"/>
      <c r="DM63" s="318"/>
      <c r="DN63" s="318"/>
      <c r="DO63" s="318"/>
      <c r="DP63" s="318"/>
      <c r="DQ63" s="318"/>
      <c r="DR63" s="318"/>
      <c r="DS63" s="318"/>
      <c r="DT63" s="318"/>
      <c r="DU63" s="318"/>
      <c r="DV63" s="318"/>
      <c r="DW63" s="318"/>
      <c r="DX63" s="318"/>
      <c r="DY63" s="318"/>
      <c r="DZ63" s="318"/>
      <c r="EA63" s="318"/>
      <c r="EB63" s="318"/>
      <c r="EC63" s="318"/>
      <c r="ED63" s="318"/>
      <c r="EE63" s="318"/>
      <c r="EF63" s="318"/>
      <c r="EG63" s="318"/>
      <c r="EH63" s="318"/>
      <c r="EI63" s="318"/>
      <c r="EJ63" s="318"/>
      <c r="EK63" s="318"/>
      <c r="EL63" s="318"/>
      <c r="EM63" s="318"/>
      <c r="EN63" s="318"/>
      <c r="EO63" s="318"/>
      <c r="EP63" s="318"/>
      <c r="EQ63" s="318"/>
      <c r="ER63" s="318"/>
      <c r="ES63" s="318"/>
      <c r="ET63" s="318"/>
      <c r="EU63" s="318"/>
      <c r="EV63" s="318"/>
      <c r="EW63" s="318"/>
      <c r="EX63" s="318"/>
      <c r="EY63" s="318"/>
      <c r="EZ63" s="318"/>
      <c r="FA63" s="318"/>
      <c r="FB63" s="318"/>
      <c r="FC63" s="318"/>
      <c r="FD63" s="318"/>
      <c r="FE63" s="318"/>
      <c r="FF63" s="318"/>
      <c r="FG63" s="318"/>
      <c r="FH63" s="318"/>
      <c r="FI63" s="318"/>
      <c r="FJ63" s="318"/>
      <c r="FK63" s="318"/>
      <c r="FL63" s="318"/>
      <c r="FM63" s="318"/>
      <c r="FN63" s="318"/>
      <c r="FO63" s="318"/>
      <c r="FP63" s="318"/>
      <c r="FQ63" s="318"/>
      <c r="FR63" s="318"/>
      <c r="FS63" s="318"/>
      <c r="FT63" s="318"/>
      <c r="FU63" s="318"/>
      <c r="FV63" s="318"/>
      <c r="FW63" s="318"/>
      <c r="FX63" s="318"/>
      <c r="FY63" s="318"/>
      <c r="FZ63" s="318"/>
      <c r="GA63" s="318"/>
      <c r="GB63" s="318"/>
      <c r="GC63" s="318"/>
      <c r="GD63" s="318"/>
      <c r="GE63" s="318"/>
      <c r="GF63" s="318"/>
      <c r="GG63" s="318"/>
      <c r="GH63" s="318"/>
      <c r="GI63" s="318"/>
      <c r="GJ63" s="318"/>
      <c r="GK63" s="318"/>
      <c r="GL63" s="318"/>
      <c r="GM63" s="318"/>
      <c r="GN63" s="318"/>
      <c r="GO63" s="318"/>
      <c r="GP63" s="318"/>
      <c r="GQ63" s="318"/>
      <c r="GR63" s="318"/>
      <c r="GS63" s="318"/>
      <c r="GT63" s="318"/>
      <c r="GU63" s="318"/>
      <c r="GV63" s="318"/>
      <c r="GW63" s="318"/>
      <c r="GX63" s="318"/>
      <c r="GY63" s="318"/>
      <c r="GZ63" s="318"/>
      <c r="HA63" s="318"/>
      <c r="HB63" s="318"/>
      <c r="HC63" s="318"/>
      <c r="HD63" s="318"/>
      <c r="HE63" s="318"/>
      <c r="HF63" s="318"/>
      <c r="HG63" s="318"/>
      <c r="HH63" s="318"/>
      <c r="HI63" s="318"/>
      <c r="HJ63" s="318"/>
      <c r="HK63" s="318"/>
      <c r="HL63" s="318"/>
      <c r="HM63" s="318"/>
      <c r="HN63" s="318"/>
      <c r="HO63" s="318"/>
      <c r="HP63" s="318"/>
      <c r="HQ63" s="318"/>
      <c r="HR63" s="318"/>
      <c r="HS63" s="318"/>
      <c r="HT63" s="318"/>
      <c r="HU63" s="318"/>
      <c r="HV63" s="318"/>
      <c r="HW63" s="318"/>
      <c r="HX63" s="318"/>
      <c r="HY63" s="318"/>
      <c r="HZ63" s="318"/>
      <c r="IA63" s="318"/>
      <c r="IB63" s="318"/>
      <c r="IC63" s="318"/>
      <c r="ID63" s="318"/>
      <c r="IE63" s="318"/>
      <c r="IF63" s="318"/>
      <c r="IG63" s="318"/>
      <c r="IH63" s="318"/>
      <c r="II63" s="318"/>
      <c r="IJ63" s="318"/>
      <c r="IK63" s="318"/>
      <c r="IL63" s="318"/>
      <c r="IM63" s="318"/>
      <c r="IN63" s="318"/>
      <c r="IO63" s="318"/>
      <c r="IP63" s="318"/>
      <c r="IQ63" s="318"/>
      <c r="IR63" s="318"/>
      <c r="IS63" s="318"/>
      <c r="IT63" s="318"/>
      <c r="IU63" s="318"/>
      <c r="IV63" s="318"/>
    </row>
    <row r="64" spans="1:256" s="470" customFormat="1" ht="13.5" customHeight="1" thickBot="1" x14ac:dyDescent="0.25">
      <c r="A64" s="472"/>
      <c r="B64" s="34"/>
      <c r="C64" s="473"/>
      <c r="D64" s="474"/>
      <c r="E64" s="475"/>
      <c r="F64" s="476"/>
      <c r="G64" s="464"/>
      <c r="H64" s="464"/>
      <c r="I64" s="464"/>
      <c r="J64" s="464"/>
      <c r="K64" s="465"/>
      <c r="L64" s="10"/>
      <c r="M64" s="465"/>
      <c r="N64" s="465"/>
      <c r="O64" s="10"/>
      <c r="P64" s="4"/>
      <c r="Q64" s="4"/>
      <c r="R64" s="4"/>
      <c r="S64" s="4"/>
      <c r="T64" s="4"/>
      <c r="U64" s="4"/>
      <c r="V64" s="4"/>
      <c r="W64" s="4"/>
      <c r="X64" s="4"/>
      <c r="Y64" s="318"/>
      <c r="Z64" s="318"/>
      <c r="AA64" s="318"/>
      <c r="AB64" s="318"/>
      <c r="AC64" s="318"/>
      <c r="AD64" s="318"/>
      <c r="AE64" s="318"/>
      <c r="AF64" s="318"/>
      <c r="AG64" s="318"/>
      <c r="AH64" s="318"/>
      <c r="AI64" s="318"/>
      <c r="AJ64" s="318"/>
      <c r="AK64" s="318"/>
      <c r="AL64" s="318"/>
      <c r="AM64" s="318"/>
      <c r="AN64" s="318"/>
      <c r="AO64" s="318"/>
      <c r="AP64" s="318"/>
      <c r="AQ64" s="318"/>
      <c r="AR64" s="318"/>
      <c r="AS64" s="318"/>
      <c r="AT64" s="318"/>
      <c r="AU64" s="318"/>
      <c r="AV64" s="318"/>
      <c r="AW64" s="318"/>
      <c r="AX64" s="318"/>
      <c r="AY64" s="318"/>
      <c r="AZ64" s="318"/>
      <c r="BA64" s="318"/>
      <c r="BB64" s="318"/>
      <c r="BC64" s="318"/>
      <c r="BD64" s="318"/>
      <c r="BE64" s="318"/>
      <c r="BF64" s="318"/>
      <c r="BG64" s="318"/>
      <c r="BH64" s="318"/>
      <c r="BI64" s="318"/>
      <c r="BJ64" s="318"/>
      <c r="BK64" s="318"/>
      <c r="BL64" s="318"/>
      <c r="BM64" s="318"/>
      <c r="BN64" s="318"/>
      <c r="BO64" s="318"/>
      <c r="BP64" s="318"/>
      <c r="BQ64" s="318"/>
      <c r="BR64" s="318"/>
      <c r="BS64" s="318"/>
      <c r="BT64" s="318"/>
      <c r="BU64" s="318"/>
      <c r="BV64" s="318"/>
      <c r="BW64" s="318"/>
      <c r="BX64" s="318"/>
      <c r="BY64" s="318"/>
      <c r="BZ64" s="318"/>
      <c r="CA64" s="318"/>
      <c r="CB64" s="318"/>
      <c r="CC64" s="318"/>
      <c r="CD64" s="318"/>
      <c r="CE64" s="318"/>
      <c r="CF64" s="318"/>
      <c r="CG64" s="318"/>
      <c r="CH64" s="318"/>
      <c r="CI64" s="318"/>
      <c r="CJ64" s="318"/>
      <c r="CK64" s="318"/>
      <c r="CL64" s="318"/>
      <c r="CM64" s="318"/>
      <c r="CN64" s="318"/>
      <c r="CO64" s="318"/>
      <c r="CP64" s="318"/>
      <c r="CQ64" s="318"/>
      <c r="CR64" s="318"/>
      <c r="CS64" s="318"/>
      <c r="CT64" s="318"/>
      <c r="CU64" s="318"/>
      <c r="CV64" s="318"/>
      <c r="CW64" s="318"/>
      <c r="CX64" s="318"/>
      <c r="CY64" s="318"/>
      <c r="CZ64" s="318"/>
      <c r="DA64" s="318"/>
      <c r="DB64" s="318"/>
      <c r="DC64" s="318"/>
      <c r="DD64" s="318"/>
      <c r="DE64" s="318"/>
      <c r="DF64" s="318"/>
      <c r="DG64" s="318"/>
      <c r="DH64" s="318"/>
      <c r="DI64" s="318"/>
      <c r="DJ64" s="318"/>
      <c r="DK64" s="318"/>
      <c r="DL64" s="318"/>
      <c r="DM64" s="318"/>
      <c r="DN64" s="318"/>
      <c r="DO64" s="318"/>
      <c r="DP64" s="318"/>
      <c r="DQ64" s="318"/>
      <c r="DR64" s="318"/>
      <c r="DS64" s="318"/>
      <c r="DT64" s="318"/>
      <c r="DU64" s="318"/>
      <c r="DV64" s="318"/>
      <c r="DW64" s="318"/>
      <c r="DX64" s="318"/>
      <c r="DY64" s="318"/>
      <c r="DZ64" s="318"/>
      <c r="EA64" s="318"/>
      <c r="EB64" s="318"/>
      <c r="EC64" s="318"/>
      <c r="ED64" s="318"/>
      <c r="EE64" s="318"/>
      <c r="EF64" s="318"/>
      <c r="EG64" s="318"/>
      <c r="EH64" s="318"/>
      <c r="EI64" s="318"/>
      <c r="EJ64" s="318"/>
      <c r="EK64" s="318"/>
      <c r="EL64" s="318"/>
      <c r="EM64" s="318"/>
      <c r="EN64" s="318"/>
      <c r="EO64" s="318"/>
      <c r="EP64" s="318"/>
      <c r="EQ64" s="318"/>
      <c r="ER64" s="318"/>
      <c r="ES64" s="318"/>
      <c r="ET64" s="318"/>
      <c r="EU64" s="318"/>
      <c r="EV64" s="318"/>
      <c r="EW64" s="318"/>
      <c r="EX64" s="318"/>
      <c r="EY64" s="318"/>
      <c r="EZ64" s="318"/>
      <c r="FA64" s="318"/>
      <c r="FB64" s="318"/>
      <c r="FC64" s="318"/>
      <c r="FD64" s="318"/>
      <c r="FE64" s="318"/>
      <c r="FF64" s="318"/>
      <c r="FG64" s="318"/>
      <c r="FH64" s="318"/>
      <c r="FI64" s="318"/>
      <c r="FJ64" s="318"/>
      <c r="FK64" s="318"/>
      <c r="FL64" s="318"/>
      <c r="FM64" s="318"/>
      <c r="FN64" s="318"/>
      <c r="FO64" s="318"/>
      <c r="FP64" s="318"/>
      <c r="FQ64" s="318"/>
      <c r="FR64" s="318"/>
      <c r="FS64" s="318"/>
      <c r="FT64" s="318"/>
      <c r="FU64" s="318"/>
      <c r="FV64" s="318"/>
      <c r="FW64" s="318"/>
      <c r="FX64" s="318"/>
      <c r="FY64" s="318"/>
      <c r="FZ64" s="318"/>
      <c r="GA64" s="318"/>
      <c r="GB64" s="318"/>
      <c r="GC64" s="318"/>
      <c r="GD64" s="318"/>
      <c r="GE64" s="318"/>
      <c r="GF64" s="318"/>
      <c r="GG64" s="318"/>
      <c r="GH64" s="318"/>
      <c r="GI64" s="318"/>
      <c r="GJ64" s="318"/>
      <c r="GK64" s="318"/>
      <c r="GL64" s="318"/>
      <c r="GM64" s="318"/>
      <c r="GN64" s="318"/>
      <c r="GO64" s="318"/>
      <c r="GP64" s="318"/>
      <c r="GQ64" s="318"/>
      <c r="GR64" s="318"/>
      <c r="GS64" s="318"/>
      <c r="GT64" s="318"/>
      <c r="GU64" s="318"/>
      <c r="GV64" s="318"/>
      <c r="GW64" s="318"/>
      <c r="GX64" s="318"/>
      <c r="GY64" s="318"/>
      <c r="GZ64" s="318"/>
      <c r="HA64" s="318"/>
      <c r="HB64" s="318"/>
      <c r="HC64" s="318"/>
      <c r="HD64" s="318"/>
      <c r="HE64" s="318"/>
      <c r="HF64" s="318"/>
      <c r="HG64" s="318"/>
      <c r="HH64" s="318"/>
      <c r="HI64" s="318"/>
      <c r="HJ64" s="318"/>
      <c r="HK64" s="318"/>
      <c r="HL64" s="318"/>
      <c r="HM64" s="318"/>
      <c r="HN64" s="318"/>
      <c r="HO64" s="318"/>
      <c r="HP64" s="318"/>
      <c r="HQ64" s="318"/>
      <c r="HR64" s="318"/>
      <c r="HS64" s="318"/>
      <c r="HT64" s="318"/>
      <c r="HU64" s="318"/>
      <c r="HV64" s="318"/>
      <c r="HW64" s="318"/>
      <c r="HX64" s="318"/>
      <c r="HY64" s="318"/>
      <c r="HZ64" s="318"/>
      <c r="IA64" s="318"/>
      <c r="IB64" s="318"/>
      <c r="IC64" s="318"/>
      <c r="ID64" s="318"/>
      <c r="IE64" s="318"/>
      <c r="IF64" s="318"/>
      <c r="IG64" s="318"/>
      <c r="IH64" s="318"/>
      <c r="II64" s="318"/>
      <c r="IJ64" s="318"/>
      <c r="IK64" s="318"/>
      <c r="IL64" s="318"/>
      <c r="IM64" s="318"/>
      <c r="IN64" s="318"/>
      <c r="IO64" s="318"/>
      <c r="IP64" s="318"/>
      <c r="IQ64" s="318"/>
      <c r="IR64" s="318"/>
      <c r="IS64" s="318"/>
      <c r="IT64" s="318"/>
      <c r="IU64" s="318"/>
      <c r="IV64" s="318"/>
    </row>
    <row r="65" spans="1:256" s="470" customFormat="1" ht="13.5" customHeight="1" thickBot="1" x14ac:dyDescent="0.25">
      <c r="A65" s="472"/>
      <c r="B65" s="34"/>
      <c r="C65" s="473"/>
      <c r="D65" s="474"/>
      <c r="E65" s="475"/>
      <c r="F65" s="476"/>
      <c r="G65" s="464"/>
      <c r="H65" s="464"/>
      <c r="I65" s="464"/>
      <c r="J65" s="464"/>
      <c r="K65" s="465"/>
      <c r="L65" s="10"/>
      <c r="M65" s="465"/>
      <c r="N65" s="465"/>
      <c r="O65" s="10"/>
      <c r="P65" s="4"/>
      <c r="Q65" s="4"/>
      <c r="R65" s="4"/>
      <c r="S65" s="4"/>
      <c r="T65" s="4"/>
      <c r="U65" s="4"/>
      <c r="V65" s="4"/>
      <c r="W65" s="4"/>
      <c r="X65" s="4"/>
      <c r="Y65" s="318"/>
      <c r="Z65" s="318"/>
      <c r="AA65" s="318"/>
      <c r="AB65" s="318"/>
      <c r="AC65" s="318"/>
      <c r="AD65" s="318"/>
      <c r="AE65" s="318"/>
      <c r="AF65" s="318"/>
      <c r="AG65" s="318"/>
      <c r="AH65" s="318"/>
      <c r="AI65" s="318"/>
      <c r="AJ65" s="318"/>
      <c r="AK65" s="318"/>
      <c r="AL65" s="318"/>
      <c r="AM65" s="318"/>
      <c r="AN65" s="318"/>
      <c r="AO65" s="318"/>
      <c r="AP65" s="318"/>
      <c r="AQ65" s="318"/>
      <c r="AR65" s="318"/>
      <c r="AS65" s="318"/>
      <c r="AT65" s="318"/>
      <c r="AU65" s="318"/>
      <c r="AV65" s="318"/>
      <c r="AW65" s="318"/>
      <c r="AX65" s="318"/>
      <c r="AY65" s="318"/>
      <c r="AZ65" s="318"/>
      <c r="BA65" s="318"/>
      <c r="BB65" s="318"/>
      <c r="BC65" s="318"/>
      <c r="BD65" s="318"/>
      <c r="BE65" s="318"/>
      <c r="BF65" s="318"/>
      <c r="BG65" s="318"/>
      <c r="BH65" s="318"/>
      <c r="BI65" s="318"/>
      <c r="BJ65" s="318"/>
      <c r="BK65" s="318"/>
      <c r="BL65" s="318"/>
      <c r="BM65" s="318"/>
      <c r="BN65" s="318"/>
      <c r="BO65" s="318"/>
      <c r="BP65" s="318"/>
      <c r="BQ65" s="318"/>
      <c r="BR65" s="318"/>
      <c r="BS65" s="318"/>
      <c r="BT65" s="318"/>
      <c r="BU65" s="318"/>
      <c r="BV65" s="318"/>
      <c r="BW65" s="318"/>
      <c r="BX65" s="318"/>
      <c r="BY65" s="318"/>
      <c r="BZ65" s="318"/>
      <c r="CA65" s="318"/>
      <c r="CB65" s="318"/>
      <c r="CC65" s="318"/>
      <c r="CD65" s="318"/>
      <c r="CE65" s="318"/>
      <c r="CF65" s="318"/>
      <c r="CG65" s="318"/>
      <c r="CH65" s="318"/>
      <c r="CI65" s="318"/>
      <c r="CJ65" s="318"/>
      <c r="CK65" s="318"/>
      <c r="CL65" s="318"/>
      <c r="CM65" s="318"/>
      <c r="CN65" s="318"/>
      <c r="CO65" s="318"/>
      <c r="CP65" s="318"/>
      <c r="CQ65" s="318"/>
      <c r="CR65" s="318"/>
      <c r="CS65" s="318"/>
      <c r="CT65" s="318"/>
      <c r="CU65" s="318"/>
      <c r="CV65" s="318"/>
      <c r="CW65" s="318"/>
      <c r="CX65" s="318"/>
      <c r="CY65" s="318"/>
      <c r="CZ65" s="318"/>
      <c r="DA65" s="318"/>
      <c r="DB65" s="318"/>
      <c r="DC65" s="318"/>
      <c r="DD65" s="318"/>
      <c r="DE65" s="318"/>
      <c r="DF65" s="318"/>
      <c r="DG65" s="318"/>
      <c r="DH65" s="318"/>
      <c r="DI65" s="318"/>
      <c r="DJ65" s="318"/>
      <c r="DK65" s="318"/>
      <c r="DL65" s="318"/>
      <c r="DM65" s="318"/>
      <c r="DN65" s="318"/>
      <c r="DO65" s="318"/>
      <c r="DP65" s="318"/>
      <c r="DQ65" s="318"/>
      <c r="DR65" s="318"/>
      <c r="DS65" s="318"/>
      <c r="DT65" s="318"/>
      <c r="DU65" s="318"/>
      <c r="DV65" s="318"/>
      <c r="DW65" s="318"/>
      <c r="DX65" s="318"/>
      <c r="DY65" s="318"/>
      <c r="DZ65" s="318"/>
      <c r="EA65" s="318"/>
      <c r="EB65" s="318"/>
      <c r="EC65" s="318"/>
      <c r="ED65" s="318"/>
      <c r="EE65" s="318"/>
      <c r="EF65" s="318"/>
      <c r="EG65" s="318"/>
      <c r="EH65" s="318"/>
      <c r="EI65" s="318"/>
      <c r="EJ65" s="318"/>
      <c r="EK65" s="318"/>
      <c r="EL65" s="318"/>
      <c r="EM65" s="318"/>
      <c r="EN65" s="318"/>
      <c r="EO65" s="318"/>
      <c r="EP65" s="318"/>
      <c r="EQ65" s="318"/>
      <c r="ER65" s="318"/>
      <c r="ES65" s="318"/>
      <c r="ET65" s="318"/>
      <c r="EU65" s="318"/>
      <c r="EV65" s="318"/>
      <c r="EW65" s="318"/>
      <c r="EX65" s="318"/>
      <c r="EY65" s="318"/>
      <c r="EZ65" s="318"/>
      <c r="FA65" s="318"/>
      <c r="FB65" s="318"/>
      <c r="FC65" s="318"/>
      <c r="FD65" s="318"/>
      <c r="FE65" s="318"/>
      <c r="FF65" s="318"/>
      <c r="FG65" s="318"/>
      <c r="FH65" s="318"/>
      <c r="FI65" s="318"/>
      <c r="FJ65" s="318"/>
      <c r="FK65" s="318"/>
      <c r="FL65" s="318"/>
      <c r="FM65" s="318"/>
      <c r="FN65" s="318"/>
      <c r="FO65" s="318"/>
      <c r="FP65" s="318"/>
      <c r="FQ65" s="318"/>
      <c r="FR65" s="318"/>
      <c r="FS65" s="318"/>
      <c r="FT65" s="318"/>
      <c r="FU65" s="318"/>
      <c r="FV65" s="318"/>
      <c r="FW65" s="318"/>
      <c r="FX65" s="318"/>
      <c r="FY65" s="318"/>
      <c r="FZ65" s="318"/>
      <c r="GA65" s="318"/>
      <c r="GB65" s="318"/>
      <c r="GC65" s="318"/>
      <c r="GD65" s="318"/>
      <c r="GE65" s="318"/>
      <c r="GF65" s="318"/>
      <c r="GG65" s="318"/>
      <c r="GH65" s="318"/>
      <c r="GI65" s="318"/>
      <c r="GJ65" s="318"/>
      <c r="GK65" s="318"/>
      <c r="GL65" s="318"/>
      <c r="GM65" s="318"/>
      <c r="GN65" s="318"/>
      <c r="GO65" s="318"/>
      <c r="GP65" s="318"/>
      <c r="GQ65" s="318"/>
      <c r="GR65" s="318"/>
      <c r="GS65" s="318"/>
      <c r="GT65" s="318"/>
      <c r="GU65" s="318"/>
      <c r="GV65" s="318"/>
      <c r="GW65" s="318"/>
      <c r="GX65" s="318"/>
      <c r="GY65" s="318"/>
      <c r="GZ65" s="318"/>
      <c r="HA65" s="318"/>
      <c r="HB65" s="318"/>
      <c r="HC65" s="318"/>
      <c r="HD65" s="318"/>
      <c r="HE65" s="318"/>
      <c r="HF65" s="318"/>
      <c r="HG65" s="318"/>
      <c r="HH65" s="318"/>
      <c r="HI65" s="318"/>
      <c r="HJ65" s="318"/>
      <c r="HK65" s="318"/>
      <c r="HL65" s="318"/>
      <c r="HM65" s="318"/>
      <c r="HN65" s="318"/>
      <c r="HO65" s="318"/>
      <c r="HP65" s="318"/>
      <c r="HQ65" s="318"/>
      <c r="HR65" s="318"/>
      <c r="HS65" s="318"/>
      <c r="HT65" s="318"/>
      <c r="HU65" s="318"/>
      <c r="HV65" s="318"/>
      <c r="HW65" s="318"/>
      <c r="HX65" s="318"/>
      <c r="HY65" s="318"/>
      <c r="HZ65" s="318"/>
      <c r="IA65" s="318"/>
      <c r="IB65" s="318"/>
      <c r="IC65" s="318"/>
      <c r="ID65" s="318"/>
      <c r="IE65" s="318"/>
      <c r="IF65" s="318"/>
      <c r="IG65" s="318"/>
      <c r="IH65" s="318"/>
      <c r="II65" s="318"/>
      <c r="IJ65" s="318"/>
      <c r="IK65" s="318"/>
      <c r="IL65" s="318"/>
      <c r="IM65" s="318"/>
      <c r="IN65" s="318"/>
      <c r="IO65" s="318"/>
      <c r="IP65" s="318"/>
      <c r="IQ65" s="318"/>
      <c r="IR65" s="318"/>
      <c r="IS65" s="318"/>
      <c r="IT65" s="318"/>
      <c r="IU65" s="318"/>
      <c r="IV65" s="318"/>
    </row>
    <row r="66" spans="1:256" s="470" customFormat="1" ht="13.5" customHeight="1" thickBot="1" x14ac:dyDescent="0.25">
      <c r="A66" s="472"/>
      <c r="B66" s="34"/>
      <c r="C66" s="473"/>
      <c r="D66" s="474"/>
      <c r="E66" s="475"/>
      <c r="F66" s="476"/>
      <c r="G66" s="464"/>
      <c r="H66" s="464"/>
      <c r="I66" s="464"/>
      <c r="J66" s="464"/>
      <c r="K66" s="465"/>
      <c r="L66" s="10"/>
      <c r="M66" s="465"/>
      <c r="N66" s="465"/>
      <c r="O66" s="10"/>
      <c r="P66" s="4"/>
      <c r="Q66" s="4"/>
      <c r="R66" s="4"/>
      <c r="S66" s="4"/>
      <c r="T66" s="4"/>
      <c r="U66" s="4"/>
      <c r="V66" s="4"/>
      <c r="W66" s="4"/>
      <c r="X66" s="4"/>
      <c r="Y66" s="318"/>
      <c r="Z66" s="318"/>
      <c r="AA66" s="318"/>
      <c r="AB66" s="318"/>
      <c r="AC66" s="318"/>
      <c r="AD66" s="318"/>
      <c r="AE66" s="318"/>
      <c r="AF66" s="318"/>
      <c r="AG66" s="318"/>
      <c r="AH66" s="318"/>
      <c r="AI66" s="318"/>
      <c r="AJ66" s="318"/>
      <c r="AK66" s="318"/>
      <c r="AL66" s="318"/>
      <c r="AM66" s="318"/>
      <c r="AN66" s="318"/>
      <c r="AO66" s="318"/>
      <c r="AP66" s="318"/>
      <c r="AQ66" s="318"/>
      <c r="AR66" s="318"/>
      <c r="AS66" s="318"/>
      <c r="AT66" s="318"/>
      <c r="AU66" s="318"/>
      <c r="AV66" s="318"/>
      <c r="AW66" s="318"/>
      <c r="AX66" s="318"/>
      <c r="AY66" s="318"/>
      <c r="AZ66" s="318"/>
      <c r="BA66" s="318"/>
      <c r="BB66" s="318"/>
      <c r="BC66" s="318"/>
      <c r="BD66" s="318"/>
      <c r="BE66" s="318"/>
      <c r="BF66" s="318"/>
      <c r="BG66" s="318"/>
      <c r="BH66" s="318"/>
      <c r="BI66" s="318"/>
      <c r="BJ66" s="318"/>
      <c r="BK66" s="318"/>
      <c r="BL66" s="318"/>
      <c r="BM66" s="318"/>
      <c r="BN66" s="318"/>
      <c r="BO66" s="318"/>
      <c r="BP66" s="318"/>
      <c r="BQ66" s="318"/>
      <c r="BR66" s="318"/>
      <c r="BS66" s="318"/>
      <c r="BT66" s="318"/>
      <c r="BU66" s="318"/>
      <c r="BV66" s="318"/>
      <c r="BW66" s="318"/>
      <c r="BX66" s="318"/>
      <c r="BY66" s="318"/>
      <c r="BZ66" s="318"/>
      <c r="CA66" s="318"/>
      <c r="CB66" s="318"/>
      <c r="CC66" s="318"/>
      <c r="CD66" s="318"/>
      <c r="CE66" s="318"/>
      <c r="CF66" s="318"/>
      <c r="CG66" s="318"/>
      <c r="CH66" s="318"/>
      <c r="CI66" s="318"/>
      <c r="CJ66" s="318"/>
      <c r="CK66" s="318"/>
      <c r="CL66" s="318"/>
      <c r="CM66" s="318"/>
      <c r="CN66" s="318"/>
      <c r="CO66" s="318"/>
      <c r="CP66" s="318"/>
      <c r="CQ66" s="318"/>
      <c r="CR66" s="318"/>
      <c r="CS66" s="318"/>
      <c r="CT66" s="318"/>
      <c r="CU66" s="318"/>
      <c r="CV66" s="318"/>
      <c r="CW66" s="318"/>
      <c r="CX66" s="318"/>
      <c r="CY66" s="318"/>
      <c r="CZ66" s="318"/>
      <c r="DA66" s="318"/>
      <c r="DB66" s="318"/>
      <c r="DC66" s="318"/>
      <c r="DD66" s="318"/>
      <c r="DE66" s="318"/>
      <c r="DF66" s="318"/>
      <c r="DG66" s="318"/>
      <c r="DH66" s="318"/>
      <c r="DI66" s="318"/>
      <c r="DJ66" s="318"/>
      <c r="DK66" s="318"/>
      <c r="DL66" s="318"/>
      <c r="DM66" s="318"/>
      <c r="DN66" s="318"/>
      <c r="DO66" s="318"/>
      <c r="DP66" s="318"/>
      <c r="DQ66" s="318"/>
      <c r="DR66" s="318"/>
      <c r="DS66" s="318"/>
      <c r="DT66" s="318"/>
      <c r="DU66" s="318"/>
      <c r="DV66" s="318"/>
      <c r="DW66" s="318"/>
      <c r="DX66" s="318"/>
      <c r="DY66" s="318"/>
      <c r="DZ66" s="318"/>
      <c r="EA66" s="318"/>
      <c r="EB66" s="318"/>
      <c r="EC66" s="318"/>
      <c r="ED66" s="318"/>
      <c r="EE66" s="318"/>
      <c r="EF66" s="318"/>
      <c r="EG66" s="318"/>
      <c r="EH66" s="318"/>
      <c r="EI66" s="318"/>
      <c r="EJ66" s="318"/>
      <c r="EK66" s="318"/>
      <c r="EL66" s="318"/>
      <c r="EM66" s="318"/>
      <c r="EN66" s="318"/>
      <c r="EO66" s="318"/>
      <c r="EP66" s="318"/>
      <c r="EQ66" s="318"/>
      <c r="ER66" s="318"/>
      <c r="ES66" s="318"/>
      <c r="ET66" s="318"/>
      <c r="EU66" s="318"/>
      <c r="EV66" s="318"/>
      <c r="EW66" s="318"/>
      <c r="EX66" s="318"/>
      <c r="EY66" s="318"/>
      <c r="EZ66" s="318"/>
      <c r="FA66" s="318"/>
      <c r="FB66" s="318"/>
      <c r="FC66" s="318"/>
      <c r="FD66" s="318"/>
      <c r="FE66" s="318"/>
      <c r="FF66" s="318"/>
      <c r="FG66" s="318"/>
      <c r="FH66" s="318"/>
      <c r="FI66" s="318"/>
      <c r="FJ66" s="318"/>
      <c r="FK66" s="318"/>
      <c r="FL66" s="318"/>
      <c r="FM66" s="318"/>
      <c r="FN66" s="318"/>
      <c r="FO66" s="318"/>
      <c r="FP66" s="318"/>
      <c r="FQ66" s="318"/>
      <c r="FR66" s="318"/>
      <c r="FS66" s="318"/>
      <c r="FT66" s="318"/>
      <c r="FU66" s="318"/>
      <c r="FV66" s="318"/>
      <c r="FW66" s="318"/>
      <c r="FX66" s="318"/>
      <c r="FY66" s="318"/>
      <c r="FZ66" s="318"/>
      <c r="GA66" s="318"/>
      <c r="GB66" s="318"/>
      <c r="GC66" s="318"/>
      <c r="GD66" s="318"/>
      <c r="GE66" s="318"/>
      <c r="GF66" s="318"/>
      <c r="GG66" s="318"/>
      <c r="GH66" s="318"/>
      <c r="GI66" s="318"/>
      <c r="GJ66" s="318"/>
      <c r="GK66" s="318"/>
      <c r="GL66" s="318"/>
      <c r="GM66" s="318"/>
      <c r="GN66" s="318"/>
      <c r="GO66" s="318"/>
      <c r="GP66" s="318"/>
      <c r="GQ66" s="318"/>
      <c r="GR66" s="318"/>
      <c r="GS66" s="318"/>
      <c r="GT66" s="318"/>
      <c r="GU66" s="318"/>
      <c r="GV66" s="318"/>
      <c r="GW66" s="318"/>
      <c r="GX66" s="318"/>
      <c r="GY66" s="318"/>
      <c r="GZ66" s="318"/>
      <c r="HA66" s="318"/>
      <c r="HB66" s="318"/>
      <c r="HC66" s="318"/>
      <c r="HD66" s="318"/>
      <c r="HE66" s="318"/>
      <c r="HF66" s="318"/>
      <c r="HG66" s="318"/>
      <c r="HH66" s="318"/>
      <c r="HI66" s="318"/>
      <c r="HJ66" s="318"/>
      <c r="HK66" s="318"/>
      <c r="HL66" s="318"/>
      <c r="HM66" s="318"/>
      <c r="HN66" s="318"/>
      <c r="HO66" s="318"/>
      <c r="HP66" s="318"/>
      <c r="HQ66" s="318"/>
      <c r="HR66" s="318"/>
      <c r="HS66" s="318"/>
      <c r="HT66" s="318"/>
      <c r="HU66" s="318"/>
      <c r="HV66" s="318"/>
      <c r="HW66" s="318"/>
      <c r="HX66" s="318"/>
      <c r="HY66" s="318"/>
      <c r="HZ66" s="318"/>
      <c r="IA66" s="318"/>
      <c r="IB66" s="318"/>
      <c r="IC66" s="318"/>
      <c r="ID66" s="318"/>
      <c r="IE66" s="318"/>
      <c r="IF66" s="318"/>
      <c r="IG66" s="318"/>
      <c r="IH66" s="318"/>
      <c r="II66" s="318"/>
      <c r="IJ66" s="318"/>
      <c r="IK66" s="318"/>
      <c r="IL66" s="318"/>
      <c r="IM66" s="318"/>
      <c r="IN66" s="318"/>
      <c r="IO66" s="318"/>
      <c r="IP66" s="318"/>
      <c r="IQ66" s="318"/>
      <c r="IR66" s="318"/>
      <c r="IS66" s="318"/>
      <c r="IT66" s="318"/>
      <c r="IU66" s="318"/>
      <c r="IV66" s="318"/>
    </row>
    <row r="67" spans="1:256" s="470" customFormat="1" ht="13.5" customHeight="1" thickBot="1" x14ac:dyDescent="0.25">
      <c r="A67" s="472"/>
      <c r="B67" s="34"/>
      <c r="C67" s="473"/>
      <c r="D67" s="474"/>
      <c r="E67" s="475"/>
      <c r="F67" s="476"/>
      <c r="G67" s="464"/>
      <c r="H67" s="464"/>
      <c r="I67" s="464"/>
      <c r="J67" s="464"/>
      <c r="K67" s="465"/>
      <c r="L67" s="10"/>
      <c r="M67" s="465"/>
      <c r="N67" s="465"/>
      <c r="O67" s="10"/>
      <c r="P67" s="4"/>
      <c r="Q67" s="4"/>
      <c r="R67" s="4"/>
      <c r="S67" s="4"/>
      <c r="T67" s="4"/>
      <c r="U67" s="4"/>
      <c r="V67" s="4"/>
      <c r="W67" s="4"/>
      <c r="X67" s="4"/>
      <c r="Y67" s="318"/>
      <c r="Z67" s="318"/>
      <c r="AA67" s="318"/>
      <c r="AB67" s="318"/>
      <c r="AC67" s="318"/>
      <c r="AD67" s="318"/>
      <c r="AE67" s="318"/>
      <c r="AF67" s="318"/>
      <c r="AG67" s="318"/>
      <c r="AH67" s="318"/>
      <c r="AI67" s="318"/>
      <c r="AJ67" s="318"/>
      <c r="AK67" s="318"/>
      <c r="AL67" s="318"/>
      <c r="AM67" s="318"/>
      <c r="AN67" s="318"/>
      <c r="AO67" s="318"/>
      <c r="AP67" s="318"/>
      <c r="AQ67" s="318"/>
      <c r="AR67" s="318"/>
      <c r="AS67" s="318"/>
      <c r="AT67" s="318"/>
      <c r="AU67" s="318"/>
      <c r="AV67" s="318"/>
      <c r="AW67" s="318"/>
      <c r="AX67" s="318"/>
      <c r="AY67" s="318"/>
      <c r="AZ67" s="318"/>
      <c r="BA67" s="318"/>
      <c r="BB67" s="318"/>
      <c r="BC67" s="318"/>
      <c r="BD67" s="318"/>
      <c r="BE67" s="318"/>
      <c r="BF67" s="318"/>
      <c r="BG67" s="318"/>
      <c r="BH67" s="318"/>
      <c r="BI67" s="318"/>
      <c r="BJ67" s="318"/>
      <c r="BK67" s="318"/>
      <c r="BL67" s="318"/>
      <c r="BM67" s="318"/>
      <c r="BN67" s="318"/>
      <c r="BO67" s="318"/>
      <c r="BP67" s="318"/>
      <c r="BQ67" s="318"/>
      <c r="BR67" s="318"/>
      <c r="BS67" s="318"/>
      <c r="BT67" s="318"/>
      <c r="BU67" s="318"/>
      <c r="BV67" s="318"/>
      <c r="BW67" s="318"/>
      <c r="BX67" s="318"/>
      <c r="BY67" s="318"/>
      <c r="BZ67" s="318"/>
      <c r="CA67" s="318"/>
      <c r="CB67" s="318"/>
      <c r="CC67" s="318"/>
      <c r="CD67" s="318"/>
      <c r="CE67" s="318"/>
      <c r="CF67" s="318"/>
      <c r="CG67" s="318"/>
      <c r="CH67" s="318"/>
      <c r="CI67" s="318"/>
      <c r="CJ67" s="318"/>
      <c r="CK67" s="318"/>
      <c r="CL67" s="318"/>
      <c r="CM67" s="318"/>
      <c r="CN67" s="318"/>
      <c r="CO67" s="318"/>
      <c r="CP67" s="318"/>
      <c r="CQ67" s="318"/>
      <c r="CR67" s="318"/>
      <c r="CS67" s="318"/>
      <c r="CT67" s="318"/>
      <c r="CU67" s="318"/>
      <c r="CV67" s="318"/>
      <c r="CW67" s="318"/>
      <c r="CX67" s="318"/>
      <c r="CY67" s="318"/>
      <c r="CZ67" s="318"/>
      <c r="DA67" s="318"/>
      <c r="DB67" s="318"/>
      <c r="DC67" s="318"/>
      <c r="DD67" s="318"/>
      <c r="DE67" s="318"/>
      <c r="DF67" s="318"/>
      <c r="DG67" s="318"/>
      <c r="DH67" s="318"/>
      <c r="DI67" s="318"/>
      <c r="DJ67" s="318"/>
      <c r="DK67" s="318"/>
      <c r="DL67" s="318"/>
      <c r="DM67" s="318"/>
      <c r="DN67" s="318"/>
      <c r="DO67" s="318"/>
      <c r="DP67" s="318"/>
      <c r="DQ67" s="318"/>
      <c r="DR67" s="318"/>
      <c r="DS67" s="318"/>
      <c r="DT67" s="318"/>
      <c r="DU67" s="318"/>
      <c r="DV67" s="318"/>
      <c r="DW67" s="318"/>
      <c r="DX67" s="318"/>
      <c r="DY67" s="318"/>
      <c r="DZ67" s="318"/>
      <c r="EA67" s="318"/>
      <c r="EB67" s="318"/>
      <c r="EC67" s="318"/>
      <c r="ED67" s="318"/>
      <c r="EE67" s="318"/>
      <c r="EF67" s="318"/>
      <c r="EG67" s="318"/>
      <c r="EH67" s="318"/>
      <c r="EI67" s="318"/>
      <c r="EJ67" s="318"/>
      <c r="EK67" s="318"/>
      <c r="EL67" s="318"/>
      <c r="EM67" s="318"/>
      <c r="EN67" s="318"/>
      <c r="EO67" s="318"/>
      <c r="EP67" s="318"/>
      <c r="EQ67" s="318"/>
      <c r="ER67" s="318"/>
      <c r="ES67" s="318"/>
      <c r="ET67" s="318"/>
      <c r="EU67" s="318"/>
      <c r="EV67" s="318"/>
      <c r="EW67" s="318"/>
      <c r="EX67" s="318"/>
      <c r="EY67" s="318"/>
      <c r="EZ67" s="318"/>
      <c r="FA67" s="318"/>
      <c r="FB67" s="318"/>
      <c r="FC67" s="318"/>
      <c r="FD67" s="318"/>
      <c r="FE67" s="318"/>
      <c r="FF67" s="318"/>
      <c r="FG67" s="318"/>
      <c r="FH67" s="318"/>
      <c r="FI67" s="318"/>
      <c r="FJ67" s="318"/>
      <c r="FK67" s="318"/>
      <c r="FL67" s="318"/>
      <c r="FM67" s="318"/>
      <c r="FN67" s="318"/>
      <c r="FO67" s="318"/>
      <c r="FP67" s="318"/>
      <c r="FQ67" s="318"/>
      <c r="FR67" s="318"/>
      <c r="FS67" s="318"/>
      <c r="FT67" s="318"/>
      <c r="FU67" s="318"/>
      <c r="FV67" s="318"/>
      <c r="FW67" s="318"/>
      <c r="FX67" s="318"/>
      <c r="FY67" s="318"/>
      <c r="FZ67" s="318"/>
      <c r="GA67" s="318"/>
      <c r="GB67" s="318"/>
      <c r="GC67" s="318"/>
      <c r="GD67" s="318"/>
      <c r="GE67" s="318"/>
      <c r="GF67" s="318"/>
      <c r="GG67" s="318"/>
      <c r="GH67" s="318"/>
      <c r="GI67" s="318"/>
      <c r="GJ67" s="318"/>
      <c r="GK67" s="318"/>
      <c r="GL67" s="318"/>
      <c r="GM67" s="318"/>
      <c r="GN67" s="318"/>
      <c r="GO67" s="318"/>
      <c r="GP67" s="318"/>
      <c r="GQ67" s="318"/>
      <c r="GR67" s="318"/>
      <c r="GS67" s="318"/>
      <c r="GT67" s="318"/>
      <c r="GU67" s="318"/>
      <c r="GV67" s="318"/>
      <c r="GW67" s="318"/>
      <c r="GX67" s="318"/>
      <c r="GY67" s="318"/>
      <c r="GZ67" s="318"/>
      <c r="HA67" s="318"/>
      <c r="HB67" s="318"/>
      <c r="HC67" s="318"/>
      <c r="HD67" s="318"/>
      <c r="HE67" s="318"/>
      <c r="HF67" s="318"/>
      <c r="HG67" s="318"/>
      <c r="HH67" s="318"/>
      <c r="HI67" s="318"/>
      <c r="HJ67" s="318"/>
      <c r="HK67" s="318"/>
      <c r="HL67" s="318"/>
      <c r="HM67" s="318"/>
      <c r="HN67" s="318"/>
      <c r="HO67" s="318"/>
      <c r="HP67" s="318"/>
      <c r="HQ67" s="318"/>
      <c r="HR67" s="318"/>
      <c r="HS67" s="318"/>
      <c r="HT67" s="318"/>
      <c r="HU67" s="318"/>
      <c r="HV67" s="318"/>
      <c r="HW67" s="318"/>
      <c r="HX67" s="318"/>
      <c r="HY67" s="318"/>
      <c r="HZ67" s="318"/>
      <c r="IA67" s="318"/>
      <c r="IB67" s="318"/>
      <c r="IC67" s="318"/>
      <c r="ID67" s="318"/>
      <c r="IE67" s="318"/>
      <c r="IF67" s="318"/>
      <c r="IG67" s="318"/>
      <c r="IH67" s="318"/>
      <c r="II67" s="318"/>
      <c r="IJ67" s="318"/>
      <c r="IK67" s="318"/>
      <c r="IL67" s="318"/>
      <c r="IM67" s="318"/>
      <c r="IN67" s="318"/>
      <c r="IO67" s="318"/>
      <c r="IP67" s="318"/>
      <c r="IQ67" s="318"/>
      <c r="IR67" s="318"/>
      <c r="IS67" s="318"/>
      <c r="IT67" s="318"/>
      <c r="IU67" s="318"/>
      <c r="IV67" s="318"/>
    </row>
    <row r="68" spans="1:256" s="470" customFormat="1" ht="13.5" customHeight="1" thickBot="1" x14ac:dyDescent="0.25">
      <c r="A68" s="472"/>
      <c r="B68" s="34"/>
      <c r="C68" s="473"/>
      <c r="D68" s="474"/>
      <c r="E68" s="475"/>
      <c r="F68" s="476"/>
      <c r="G68" s="464"/>
      <c r="H68" s="464"/>
      <c r="I68" s="464"/>
      <c r="J68" s="464"/>
      <c r="K68" s="465"/>
      <c r="L68" s="10"/>
      <c r="M68" s="465"/>
      <c r="N68" s="465"/>
      <c r="O68" s="10"/>
      <c r="P68" s="4"/>
      <c r="Q68" s="4"/>
      <c r="R68" s="4"/>
      <c r="S68" s="4"/>
      <c r="T68" s="4"/>
      <c r="U68" s="4"/>
      <c r="V68" s="4"/>
      <c r="W68" s="4"/>
      <c r="X68" s="4"/>
      <c r="Y68" s="318"/>
      <c r="Z68" s="318"/>
      <c r="AA68" s="318"/>
      <c r="AB68" s="318"/>
      <c r="AC68" s="318"/>
      <c r="AD68" s="318"/>
      <c r="AE68" s="318"/>
      <c r="AF68" s="318"/>
      <c r="AG68" s="318"/>
      <c r="AH68" s="318"/>
      <c r="AI68" s="318"/>
      <c r="AJ68" s="318"/>
      <c r="AK68" s="318"/>
      <c r="AL68" s="318"/>
      <c r="AM68" s="318"/>
      <c r="AN68" s="318"/>
      <c r="AO68" s="318"/>
      <c r="AP68" s="318"/>
      <c r="AQ68" s="318"/>
      <c r="AR68" s="318"/>
      <c r="AS68" s="318"/>
      <c r="AT68" s="318"/>
      <c r="AU68" s="318"/>
      <c r="AV68" s="318"/>
      <c r="AW68" s="318"/>
      <c r="AX68" s="318"/>
      <c r="AY68" s="318"/>
      <c r="AZ68" s="318"/>
      <c r="BA68" s="318"/>
      <c r="BB68" s="318"/>
      <c r="BC68" s="318"/>
      <c r="BD68" s="318"/>
      <c r="BE68" s="318"/>
      <c r="BF68" s="318"/>
      <c r="BG68" s="318"/>
      <c r="BH68" s="318"/>
      <c r="BI68" s="318"/>
      <c r="BJ68" s="318"/>
      <c r="BK68" s="318"/>
      <c r="BL68" s="318"/>
      <c r="BM68" s="318"/>
      <c r="BN68" s="318"/>
      <c r="BO68" s="318"/>
      <c r="BP68" s="318"/>
      <c r="BQ68" s="318"/>
      <c r="BR68" s="318"/>
      <c r="BS68" s="318"/>
      <c r="BT68" s="318"/>
      <c r="BU68" s="318"/>
      <c r="BV68" s="318"/>
      <c r="BW68" s="318"/>
      <c r="BX68" s="318"/>
      <c r="BY68" s="318"/>
      <c r="BZ68" s="318"/>
      <c r="CA68" s="318"/>
      <c r="CB68" s="318"/>
      <c r="CC68" s="318"/>
      <c r="CD68" s="318"/>
      <c r="CE68" s="318"/>
      <c r="CF68" s="318"/>
      <c r="CG68" s="318"/>
      <c r="CH68" s="318"/>
      <c r="CI68" s="318"/>
      <c r="CJ68" s="318"/>
      <c r="CK68" s="318"/>
      <c r="CL68" s="318"/>
      <c r="CM68" s="318"/>
      <c r="CN68" s="318"/>
      <c r="CO68" s="318"/>
      <c r="CP68" s="318"/>
      <c r="CQ68" s="318"/>
      <c r="CR68" s="318"/>
      <c r="CS68" s="318"/>
      <c r="CT68" s="318"/>
      <c r="CU68" s="318"/>
      <c r="CV68" s="318"/>
      <c r="CW68" s="318"/>
      <c r="CX68" s="318"/>
      <c r="CY68" s="318"/>
      <c r="CZ68" s="318"/>
      <c r="DA68" s="318"/>
      <c r="DB68" s="318"/>
      <c r="DC68" s="318"/>
      <c r="DD68" s="318"/>
      <c r="DE68" s="318"/>
      <c r="DF68" s="318"/>
      <c r="DG68" s="318"/>
      <c r="DH68" s="318"/>
      <c r="DI68" s="318"/>
      <c r="DJ68" s="318"/>
      <c r="DK68" s="318"/>
      <c r="DL68" s="318"/>
      <c r="DM68" s="318"/>
      <c r="DN68" s="318"/>
      <c r="DO68" s="318"/>
      <c r="DP68" s="318"/>
      <c r="DQ68" s="318"/>
      <c r="DR68" s="318"/>
      <c r="DS68" s="318"/>
      <c r="DT68" s="318"/>
      <c r="DU68" s="318"/>
      <c r="DV68" s="318"/>
      <c r="DW68" s="318"/>
      <c r="DX68" s="318"/>
      <c r="DY68" s="318"/>
      <c r="DZ68" s="318"/>
      <c r="EA68" s="318"/>
      <c r="EB68" s="318"/>
      <c r="EC68" s="318"/>
      <c r="ED68" s="318"/>
      <c r="EE68" s="318"/>
      <c r="EF68" s="318"/>
      <c r="EG68" s="318"/>
      <c r="EH68" s="318"/>
      <c r="EI68" s="318"/>
      <c r="EJ68" s="318"/>
      <c r="EK68" s="318"/>
      <c r="EL68" s="318"/>
      <c r="EM68" s="318"/>
      <c r="EN68" s="318"/>
      <c r="EO68" s="318"/>
      <c r="EP68" s="318"/>
      <c r="EQ68" s="318"/>
      <c r="ER68" s="318"/>
      <c r="ES68" s="318"/>
      <c r="ET68" s="318"/>
      <c r="EU68" s="318"/>
      <c r="EV68" s="318"/>
      <c r="EW68" s="318"/>
      <c r="EX68" s="318"/>
      <c r="EY68" s="318"/>
      <c r="EZ68" s="318"/>
      <c r="FA68" s="318"/>
      <c r="FB68" s="318"/>
      <c r="FC68" s="318"/>
      <c r="FD68" s="318"/>
      <c r="FE68" s="318"/>
      <c r="FF68" s="318"/>
      <c r="FG68" s="318"/>
      <c r="FH68" s="318"/>
      <c r="FI68" s="318"/>
      <c r="FJ68" s="318"/>
      <c r="FK68" s="318"/>
      <c r="FL68" s="318"/>
      <c r="FM68" s="318"/>
      <c r="FN68" s="318"/>
      <c r="FO68" s="318"/>
      <c r="FP68" s="318"/>
      <c r="FQ68" s="318"/>
      <c r="FR68" s="318"/>
      <c r="FS68" s="318"/>
      <c r="FT68" s="318"/>
      <c r="FU68" s="318"/>
      <c r="FV68" s="318"/>
      <c r="FW68" s="318"/>
      <c r="FX68" s="318"/>
      <c r="FY68" s="318"/>
      <c r="FZ68" s="318"/>
      <c r="GA68" s="318"/>
      <c r="GB68" s="318"/>
      <c r="GC68" s="318"/>
      <c r="GD68" s="318"/>
      <c r="GE68" s="318"/>
      <c r="GF68" s="318"/>
      <c r="GG68" s="318"/>
      <c r="GH68" s="318"/>
      <c r="GI68" s="318"/>
      <c r="GJ68" s="318"/>
      <c r="GK68" s="318"/>
      <c r="GL68" s="318"/>
      <c r="GM68" s="318"/>
      <c r="GN68" s="318"/>
      <c r="GO68" s="318"/>
      <c r="GP68" s="318"/>
      <c r="GQ68" s="318"/>
      <c r="GR68" s="318"/>
      <c r="GS68" s="318"/>
      <c r="GT68" s="318"/>
      <c r="GU68" s="318"/>
      <c r="GV68" s="318"/>
      <c r="GW68" s="318"/>
      <c r="GX68" s="318"/>
      <c r="GY68" s="318"/>
      <c r="GZ68" s="318"/>
      <c r="HA68" s="318"/>
      <c r="HB68" s="318"/>
      <c r="HC68" s="318"/>
      <c r="HD68" s="318"/>
      <c r="HE68" s="318"/>
      <c r="HF68" s="318"/>
      <c r="HG68" s="318"/>
      <c r="HH68" s="318"/>
      <c r="HI68" s="318"/>
      <c r="HJ68" s="318"/>
      <c r="HK68" s="318"/>
      <c r="HL68" s="318"/>
      <c r="HM68" s="318"/>
      <c r="HN68" s="318"/>
      <c r="HO68" s="318"/>
      <c r="HP68" s="318"/>
      <c r="HQ68" s="318"/>
      <c r="HR68" s="318"/>
      <c r="HS68" s="318"/>
      <c r="HT68" s="318"/>
      <c r="HU68" s="318"/>
      <c r="HV68" s="318"/>
      <c r="HW68" s="318"/>
      <c r="HX68" s="318"/>
      <c r="HY68" s="318"/>
      <c r="HZ68" s="318"/>
      <c r="IA68" s="318"/>
      <c r="IB68" s="318"/>
      <c r="IC68" s="318"/>
      <c r="ID68" s="318"/>
      <c r="IE68" s="318"/>
      <c r="IF68" s="318"/>
      <c r="IG68" s="318"/>
      <c r="IH68" s="318"/>
      <c r="II68" s="318"/>
      <c r="IJ68" s="318"/>
      <c r="IK68" s="318"/>
      <c r="IL68" s="318"/>
      <c r="IM68" s="318"/>
      <c r="IN68" s="318"/>
      <c r="IO68" s="318"/>
      <c r="IP68" s="318"/>
      <c r="IQ68" s="318"/>
      <c r="IR68" s="318"/>
      <c r="IS68" s="318"/>
      <c r="IT68" s="318"/>
      <c r="IU68" s="318"/>
      <c r="IV68" s="318"/>
    </row>
    <row r="69" spans="1:256" s="470" customFormat="1" ht="13.5" customHeight="1" thickBot="1" x14ac:dyDescent="0.25">
      <c r="A69" s="472"/>
      <c r="B69" s="34"/>
      <c r="C69" s="473"/>
      <c r="D69" s="474"/>
      <c r="E69" s="475"/>
      <c r="F69" s="476"/>
      <c r="G69" s="464"/>
      <c r="H69" s="464"/>
      <c r="I69" s="464"/>
      <c r="J69" s="464"/>
      <c r="K69" s="465"/>
      <c r="L69" s="10"/>
      <c r="M69" s="465"/>
      <c r="N69" s="465"/>
      <c r="O69" s="10"/>
      <c r="P69" s="4"/>
      <c r="Q69" s="4"/>
      <c r="R69" s="4"/>
      <c r="S69" s="4"/>
      <c r="T69" s="4"/>
      <c r="U69" s="4"/>
      <c r="V69" s="4"/>
      <c r="W69" s="4"/>
      <c r="X69" s="4"/>
      <c r="Y69" s="318"/>
      <c r="Z69" s="318"/>
      <c r="AA69" s="318"/>
      <c r="AB69" s="318"/>
      <c r="AC69" s="318"/>
      <c r="AD69" s="318"/>
      <c r="AE69" s="318"/>
      <c r="AF69" s="318"/>
      <c r="AG69" s="318"/>
      <c r="AH69" s="318"/>
      <c r="AI69" s="318"/>
      <c r="AJ69" s="318"/>
      <c r="AK69" s="318"/>
      <c r="AL69" s="318"/>
      <c r="AM69" s="318"/>
      <c r="AN69" s="318"/>
      <c r="AO69" s="318"/>
      <c r="AP69" s="318"/>
      <c r="AQ69" s="318"/>
      <c r="AR69" s="318"/>
      <c r="AS69" s="318"/>
      <c r="AT69" s="318"/>
      <c r="AU69" s="318"/>
      <c r="AV69" s="318"/>
      <c r="AW69" s="318"/>
      <c r="AX69" s="318"/>
      <c r="AY69" s="318"/>
      <c r="AZ69" s="318"/>
      <c r="BA69" s="318"/>
      <c r="BB69" s="318"/>
      <c r="BC69" s="318"/>
      <c r="BD69" s="318"/>
      <c r="BE69" s="318"/>
      <c r="BF69" s="318"/>
      <c r="BG69" s="318"/>
      <c r="BH69" s="318"/>
      <c r="BI69" s="318"/>
      <c r="BJ69" s="318"/>
      <c r="BK69" s="318"/>
      <c r="BL69" s="318"/>
      <c r="BM69" s="318"/>
      <c r="BN69" s="318"/>
      <c r="BO69" s="318"/>
      <c r="BP69" s="318"/>
      <c r="BQ69" s="318"/>
      <c r="BR69" s="318"/>
      <c r="BS69" s="318"/>
      <c r="BT69" s="318"/>
      <c r="BU69" s="318"/>
      <c r="BV69" s="318"/>
      <c r="BW69" s="318"/>
      <c r="BX69" s="318"/>
      <c r="BY69" s="318"/>
      <c r="BZ69" s="318"/>
      <c r="CA69" s="318"/>
      <c r="CB69" s="318"/>
      <c r="CC69" s="318"/>
      <c r="CD69" s="318"/>
      <c r="CE69" s="318"/>
      <c r="CF69" s="318"/>
      <c r="CG69" s="318"/>
      <c r="CH69" s="318"/>
      <c r="CI69" s="318"/>
      <c r="CJ69" s="318"/>
      <c r="CK69" s="318"/>
      <c r="CL69" s="318"/>
      <c r="CM69" s="318"/>
      <c r="CN69" s="318"/>
      <c r="CO69" s="318"/>
      <c r="CP69" s="318"/>
      <c r="CQ69" s="318"/>
      <c r="CR69" s="318"/>
      <c r="CS69" s="318"/>
      <c r="CT69" s="318"/>
      <c r="CU69" s="318"/>
      <c r="CV69" s="318"/>
      <c r="CW69" s="318"/>
      <c r="CX69" s="318"/>
      <c r="CY69" s="318"/>
      <c r="CZ69" s="318"/>
      <c r="DA69" s="318"/>
      <c r="DB69" s="318"/>
      <c r="DC69" s="318"/>
      <c r="DD69" s="318"/>
      <c r="DE69" s="318"/>
      <c r="DF69" s="318"/>
      <c r="DG69" s="318"/>
      <c r="DH69" s="318"/>
      <c r="DI69" s="318"/>
      <c r="DJ69" s="318"/>
      <c r="DK69" s="318"/>
      <c r="DL69" s="318"/>
      <c r="DM69" s="318"/>
      <c r="DN69" s="318"/>
      <c r="DO69" s="318"/>
      <c r="DP69" s="318"/>
      <c r="DQ69" s="318"/>
      <c r="DR69" s="318"/>
      <c r="DS69" s="318"/>
      <c r="DT69" s="318"/>
      <c r="DU69" s="318"/>
      <c r="DV69" s="318"/>
      <c r="DW69" s="318"/>
      <c r="DX69" s="318"/>
      <c r="DY69" s="318"/>
      <c r="DZ69" s="318"/>
      <c r="EA69" s="318"/>
      <c r="EB69" s="318"/>
      <c r="EC69" s="318"/>
      <c r="ED69" s="318"/>
      <c r="EE69" s="318"/>
      <c r="EF69" s="318"/>
      <c r="EG69" s="318"/>
      <c r="EH69" s="318"/>
      <c r="EI69" s="318"/>
      <c r="EJ69" s="318"/>
      <c r="EK69" s="318"/>
      <c r="EL69" s="318"/>
      <c r="EM69" s="318"/>
      <c r="EN69" s="318"/>
      <c r="EO69" s="318"/>
      <c r="EP69" s="318"/>
      <c r="EQ69" s="318"/>
      <c r="ER69" s="318"/>
      <c r="ES69" s="318"/>
      <c r="ET69" s="318"/>
      <c r="EU69" s="318"/>
      <c r="EV69" s="318"/>
      <c r="EW69" s="318"/>
      <c r="EX69" s="318"/>
      <c r="EY69" s="318"/>
      <c r="EZ69" s="318"/>
      <c r="FA69" s="318"/>
      <c r="FB69" s="318"/>
      <c r="FC69" s="318"/>
      <c r="FD69" s="318"/>
      <c r="FE69" s="318"/>
      <c r="FF69" s="318"/>
      <c r="FG69" s="318"/>
      <c r="FH69" s="318"/>
      <c r="FI69" s="318"/>
      <c r="FJ69" s="318"/>
      <c r="FK69" s="318"/>
      <c r="FL69" s="318"/>
      <c r="FM69" s="318"/>
      <c r="FN69" s="318"/>
      <c r="FO69" s="318"/>
      <c r="FP69" s="318"/>
      <c r="FQ69" s="318"/>
      <c r="FR69" s="318"/>
      <c r="FS69" s="318"/>
      <c r="FT69" s="318"/>
      <c r="FU69" s="318"/>
      <c r="FV69" s="318"/>
      <c r="FW69" s="318"/>
      <c r="FX69" s="318"/>
      <c r="FY69" s="318"/>
      <c r="FZ69" s="318"/>
      <c r="GA69" s="318"/>
      <c r="GB69" s="318"/>
      <c r="GC69" s="318"/>
      <c r="GD69" s="318"/>
      <c r="GE69" s="318"/>
      <c r="GF69" s="318"/>
      <c r="GG69" s="318"/>
      <c r="GH69" s="318"/>
      <c r="GI69" s="318"/>
      <c r="GJ69" s="318"/>
      <c r="GK69" s="318"/>
      <c r="GL69" s="318"/>
      <c r="GM69" s="318"/>
      <c r="GN69" s="318"/>
      <c r="GO69" s="318"/>
      <c r="GP69" s="318"/>
      <c r="GQ69" s="318"/>
      <c r="GR69" s="318"/>
      <c r="GS69" s="318"/>
      <c r="GT69" s="318"/>
      <c r="GU69" s="318"/>
      <c r="GV69" s="318"/>
      <c r="GW69" s="318"/>
      <c r="GX69" s="318"/>
      <c r="GY69" s="318"/>
      <c r="GZ69" s="318"/>
      <c r="HA69" s="318"/>
      <c r="HB69" s="318"/>
      <c r="HC69" s="318"/>
      <c r="HD69" s="318"/>
      <c r="HE69" s="318"/>
      <c r="HF69" s="318"/>
      <c r="HG69" s="318"/>
      <c r="HH69" s="318"/>
      <c r="HI69" s="318"/>
      <c r="HJ69" s="318"/>
      <c r="HK69" s="318"/>
      <c r="HL69" s="318"/>
      <c r="HM69" s="318"/>
      <c r="HN69" s="318"/>
      <c r="HO69" s="318"/>
      <c r="HP69" s="318"/>
      <c r="HQ69" s="318"/>
      <c r="HR69" s="318"/>
      <c r="HS69" s="318"/>
      <c r="HT69" s="318"/>
      <c r="HU69" s="318"/>
      <c r="HV69" s="318"/>
      <c r="HW69" s="318"/>
      <c r="HX69" s="318"/>
      <c r="HY69" s="318"/>
      <c r="HZ69" s="318"/>
      <c r="IA69" s="318"/>
      <c r="IB69" s="318"/>
      <c r="IC69" s="318"/>
      <c r="ID69" s="318"/>
      <c r="IE69" s="318"/>
      <c r="IF69" s="318"/>
      <c r="IG69" s="318"/>
      <c r="IH69" s="318"/>
      <c r="II69" s="318"/>
      <c r="IJ69" s="318"/>
      <c r="IK69" s="318"/>
      <c r="IL69" s="318"/>
      <c r="IM69" s="318"/>
      <c r="IN69" s="318"/>
      <c r="IO69" s="318"/>
      <c r="IP69" s="318"/>
      <c r="IQ69" s="318"/>
      <c r="IR69" s="318"/>
      <c r="IS69" s="318"/>
      <c r="IT69" s="318"/>
      <c r="IU69" s="318"/>
      <c r="IV69" s="318"/>
    </row>
    <row r="70" spans="1:256" s="470" customFormat="1" ht="13.5" customHeight="1" thickBot="1" x14ac:dyDescent="0.25">
      <c r="A70" s="472"/>
      <c r="B70" s="34"/>
      <c r="C70" s="473"/>
      <c r="D70" s="474"/>
      <c r="E70" s="475"/>
      <c r="F70" s="476"/>
      <c r="G70" s="464"/>
      <c r="H70" s="464"/>
      <c r="I70" s="464"/>
      <c r="J70" s="464"/>
      <c r="K70" s="465"/>
      <c r="L70" s="10"/>
      <c r="M70" s="465"/>
      <c r="N70" s="465"/>
      <c r="O70" s="10"/>
      <c r="P70" s="4"/>
      <c r="Q70" s="4"/>
      <c r="R70" s="4"/>
      <c r="S70" s="4"/>
      <c r="T70" s="4"/>
      <c r="U70" s="4"/>
      <c r="V70" s="4"/>
      <c r="W70" s="4"/>
      <c r="X70" s="4"/>
      <c r="Y70" s="318"/>
      <c r="Z70" s="318"/>
      <c r="AA70" s="318"/>
      <c r="AB70" s="318"/>
      <c r="AC70" s="318"/>
      <c r="AD70" s="318"/>
      <c r="AE70" s="318"/>
      <c r="AF70" s="318"/>
      <c r="AG70" s="318"/>
      <c r="AH70" s="318"/>
      <c r="AI70" s="318"/>
      <c r="AJ70" s="318"/>
      <c r="AK70" s="318"/>
      <c r="AL70" s="318"/>
      <c r="AM70" s="318"/>
      <c r="AN70" s="318"/>
      <c r="AO70" s="318"/>
      <c r="AP70" s="318"/>
      <c r="AQ70" s="318"/>
      <c r="AR70" s="318"/>
      <c r="AS70" s="318"/>
      <c r="AT70" s="318"/>
      <c r="AU70" s="318"/>
      <c r="AV70" s="318"/>
      <c r="AW70" s="318"/>
      <c r="AX70" s="318"/>
      <c r="AY70" s="318"/>
      <c r="AZ70" s="318"/>
      <c r="BA70" s="318"/>
      <c r="BB70" s="318"/>
      <c r="BC70" s="318"/>
      <c r="BD70" s="318"/>
      <c r="BE70" s="318"/>
      <c r="BF70" s="318"/>
      <c r="BG70" s="318"/>
      <c r="BH70" s="318"/>
      <c r="BI70" s="318"/>
      <c r="BJ70" s="318"/>
      <c r="BK70" s="318"/>
      <c r="BL70" s="318"/>
      <c r="BM70" s="318"/>
      <c r="BN70" s="318"/>
      <c r="BO70" s="318"/>
      <c r="BP70" s="318"/>
      <c r="BQ70" s="318"/>
      <c r="BR70" s="318"/>
      <c r="BS70" s="318"/>
      <c r="BT70" s="318"/>
      <c r="BU70" s="318"/>
      <c r="BV70" s="318"/>
      <c r="BW70" s="318"/>
      <c r="BX70" s="318"/>
      <c r="BY70" s="318"/>
      <c r="BZ70" s="318"/>
      <c r="CA70" s="318"/>
      <c r="CB70" s="318"/>
      <c r="CC70" s="318"/>
      <c r="CD70" s="318"/>
      <c r="CE70" s="318"/>
      <c r="CF70" s="318"/>
      <c r="CG70" s="318"/>
      <c r="CH70" s="318"/>
      <c r="CI70" s="318"/>
      <c r="CJ70" s="318"/>
      <c r="CK70" s="318"/>
      <c r="CL70" s="318"/>
      <c r="CM70" s="318"/>
      <c r="CN70" s="318"/>
      <c r="CO70" s="318"/>
      <c r="CP70" s="318"/>
      <c r="CQ70" s="318"/>
      <c r="CR70" s="318"/>
      <c r="CS70" s="318"/>
      <c r="CT70" s="318"/>
      <c r="CU70" s="318"/>
      <c r="CV70" s="318"/>
      <c r="CW70" s="318"/>
      <c r="CX70" s="318"/>
      <c r="CY70" s="318"/>
      <c r="CZ70" s="318"/>
      <c r="DA70" s="318"/>
      <c r="DB70" s="318"/>
      <c r="DC70" s="318"/>
      <c r="DD70" s="318"/>
      <c r="DE70" s="318"/>
      <c r="DF70" s="318"/>
      <c r="DG70" s="318"/>
      <c r="DH70" s="318"/>
      <c r="DI70" s="318"/>
      <c r="DJ70" s="318"/>
      <c r="DK70" s="318"/>
      <c r="DL70" s="318"/>
      <c r="DM70" s="318"/>
      <c r="DN70" s="318"/>
      <c r="DO70" s="318"/>
      <c r="DP70" s="318"/>
      <c r="DQ70" s="318"/>
      <c r="DR70" s="318"/>
      <c r="DS70" s="318"/>
      <c r="DT70" s="318"/>
      <c r="DU70" s="318"/>
      <c r="DV70" s="318"/>
      <c r="DW70" s="318"/>
      <c r="DX70" s="318"/>
      <c r="DY70" s="318"/>
      <c r="DZ70" s="318"/>
      <c r="EA70" s="318"/>
      <c r="EB70" s="318"/>
      <c r="EC70" s="318"/>
      <c r="ED70" s="318"/>
      <c r="EE70" s="318"/>
      <c r="EF70" s="318"/>
      <c r="EG70" s="318"/>
      <c r="EH70" s="318"/>
      <c r="EI70" s="318"/>
      <c r="EJ70" s="318"/>
      <c r="EK70" s="318"/>
      <c r="EL70" s="318"/>
      <c r="EM70" s="318"/>
      <c r="EN70" s="318"/>
      <c r="EO70" s="318"/>
      <c r="EP70" s="318"/>
      <c r="EQ70" s="318"/>
      <c r="ER70" s="318"/>
      <c r="ES70" s="318"/>
      <c r="ET70" s="318"/>
      <c r="EU70" s="318"/>
      <c r="EV70" s="318"/>
      <c r="EW70" s="318"/>
      <c r="EX70" s="318"/>
      <c r="EY70" s="318"/>
      <c r="EZ70" s="318"/>
      <c r="FA70" s="318"/>
      <c r="FB70" s="318"/>
      <c r="FC70" s="318"/>
      <c r="FD70" s="318"/>
      <c r="FE70" s="318"/>
      <c r="FF70" s="318"/>
      <c r="FG70" s="318"/>
      <c r="FH70" s="318"/>
      <c r="FI70" s="318"/>
      <c r="FJ70" s="318"/>
      <c r="FK70" s="318"/>
      <c r="FL70" s="318"/>
      <c r="FM70" s="318"/>
      <c r="FN70" s="318"/>
      <c r="FO70" s="318"/>
      <c r="FP70" s="318"/>
      <c r="FQ70" s="318"/>
      <c r="FR70" s="318"/>
      <c r="FS70" s="318"/>
      <c r="FT70" s="318"/>
      <c r="FU70" s="318"/>
      <c r="FV70" s="318"/>
      <c r="FW70" s="318"/>
      <c r="FX70" s="318"/>
      <c r="FY70" s="318"/>
      <c r="FZ70" s="318"/>
      <c r="GA70" s="318"/>
      <c r="GB70" s="318"/>
      <c r="GC70" s="318"/>
      <c r="GD70" s="318"/>
      <c r="GE70" s="318"/>
      <c r="GF70" s="318"/>
      <c r="GG70" s="318"/>
      <c r="GH70" s="318"/>
      <c r="GI70" s="318"/>
      <c r="GJ70" s="318"/>
      <c r="GK70" s="318"/>
      <c r="GL70" s="318"/>
      <c r="GM70" s="318"/>
      <c r="GN70" s="318"/>
      <c r="GO70" s="318"/>
      <c r="GP70" s="318"/>
      <c r="GQ70" s="318"/>
      <c r="GR70" s="318"/>
      <c r="GS70" s="318"/>
      <c r="GT70" s="318"/>
      <c r="GU70" s="318"/>
      <c r="GV70" s="318"/>
      <c r="GW70" s="318"/>
      <c r="GX70" s="318"/>
      <c r="GY70" s="318"/>
      <c r="GZ70" s="318"/>
      <c r="HA70" s="318"/>
      <c r="HB70" s="318"/>
      <c r="HC70" s="318"/>
      <c r="HD70" s="318"/>
      <c r="HE70" s="318"/>
      <c r="HF70" s="318"/>
      <c r="HG70" s="318"/>
      <c r="HH70" s="318"/>
      <c r="HI70" s="318"/>
      <c r="HJ70" s="318"/>
      <c r="HK70" s="318"/>
      <c r="HL70" s="318"/>
      <c r="HM70" s="318"/>
      <c r="HN70" s="318"/>
      <c r="HO70" s="318"/>
      <c r="HP70" s="318"/>
      <c r="HQ70" s="318"/>
      <c r="HR70" s="318"/>
      <c r="HS70" s="318"/>
      <c r="HT70" s="318"/>
      <c r="HU70" s="318"/>
      <c r="HV70" s="318"/>
      <c r="HW70" s="318"/>
      <c r="HX70" s="318"/>
      <c r="HY70" s="318"/>
      <c r="HZ70" s="318"/>
      <c r="IA70" s="318"/>
      <c r="IB70" s="318"/>
      <c r="IC70" s="318"/>
      <c r="ID70" s="318"/>
      <c r="IE70" s="318"/>
      <c r="IF70" s="318"/>
      <c r="IG70" s="318"/>
      <c r="IH70" s="318"/>
      <c r="II70" s="318"/>
      <c r="IJ70" s="318"/>
      <c r="IK70" s="318"/>
      <c r="IL70" s="318"/>
      <c r="IM70" s="318"/>
      <c r="IN70" s="318"/>
      <c r="IO70" s="318"/>
      <c r="IP70" s="318"/>
      <c r="IQ70" s="318"/>
      <c r="IR70" s="318"/>
      <c r="IS70" s="318"/>
      <c r="IT70" s="318"/>
      <c r="IU70" s="318"/>
      <c r="IV70" s="318"/>
    </row>
    <row r="71" spans="1:256" s="470" customFormat="1" ht="13.5" customHeight="1" thickBot="1" x14ac:dyDescent="0.25">
      <c r="A71" s="472"/>
      <c r="B71" s="34"/>
      <c r="C71" s="473"/>
      <c r="D71" s="474"/>
      <c r="E71" s="475"/>
      <c r="F71" s="476"/>
      <c r="G71" s="464"/>
      <c r="H71" s="464"/>
      <c r="I71" s="464"/>
      <c r="J71" s="464"/>
      <c r="K71" s="465"/>
      <c r="L71" s="10"/>
      <c r="M71" s="465"/>
      <c r="N71" s="465"/>
      <c r="O71" s="10"/>
      <c r="P71" s="4"/>
      <c r="Q71" s="4"/>
      <c r="R71" s="4"/>
      <c r="S71" s="4"/>
      <c r="T71" s="4"/>
      <c r="U71" s="4"/>
      <c r="V71" s="4"/>
      <c r="W71" s="4"/>
      <c r="X71" s="4"/>
      <c r="Y71" s="318"/>
      <c r="Z71" s="318"/>
      <c r="AA71" s="318"/>
      <c r="AB71" s="318"/>
      <c r="AC71" s="318"/>
      <c r="AD71" s="318"/>
      <c r="AE71" s="318"/>
      <c r="AF71" s="318"/>
      <c r="AG71" s="318"/>
      <c r="AH71" s="318"/>
      <c r="AI71" s="318"/>
      <c r="AJ71" s="318"/>
      <c r="AK71" s="318"/>
      <c r="AL71" s="318"/>
      <c r="AM71" s="318"/>
      <c r="AN71" s="318"/>
      <c r="AO71" s="318"/>
      <c r="AP71" s="318"/>
      <c r="AQ71" s="318"/>
      <c r="AR71" s="318"/>
      <c r="AS71" s="318"/>
      <c r="AT71" s="318"/>
      <c r="AU71" s="318"/>
      <c r="AV71" s="318"/>
      <c r="AW71" s="318"/>
      <c r="AX71" s="318"/>
      <c r="AY71" s="318"/>
      <c r="AZ71" s="318"/>
      <c r="BA71" s="318"/>
      <c r="BB71" s="318"/>
      <c r="BC71" s="318"/>
      <c r="BD71" s="318"/>
      <c r="BE71" s="318"/>
      <c r="BF71" s="318"/>
      <c r="BG71" s="318"/>
      <c r="BH71" s="318"/>
      <c r="BI71" s="318"/>
      <c r="BJ71" s="318"/>
      <c r="BK71" s="318"/>
      <c r="BL71" s="318"/>
      <c r="BM71" s="318"/>
      <c r="BN71" s="318"/>
      <c r="BO71" s="318"/>
      <c r="BP71" s="318"/>
      <c r="BQ71" s="318"/>
      <c r="BR71" s="318"/>
      <c r="BS71" s="318"/>
      <c r="BT71" s="318"/>
      <c r="BU71" s="318"/>
      <c r="BV71" s="318"/>
      <c r="BW71" s="318"/>
      <c r="BX71" s="318"/>
      <c r="BY71" s="318"/>
      <c r="BZ71" s="318"/>
      <c r="CA71" s="318"/>
      <c r="CB71" s="318"/>
      <c r="CC71" s="318"/>
      <c r="CD71" s="318"/>
      <c r="CE71" s="318"/>
      <c r="CF71" s="318"/>
      <c r="CG71" s="318"/>
      <c r="CH71" s="318"/>
      <c r="CI71" s="318"/>
      <c r="CJ71" s="318"/>
      <c r="CK71" s="318"/>
      <c r="CL71" s="318"/>
      <c r="CM71" s="318"/>
      <c r="CN71" s="318"/>
      <c r="CO71" s="318"/>
      <c r="CP71" s="318"/>
      <c r="CQ71" s="318"/>
      <c r="CR71" s="318"/>
      <c r="CS71" s="318"/>
      <c r="CT71" s="318"/>
      <c r="CU71" s="318"/>
      <c r="CV71" s="318"/>
      <c r="CW71" s="318"/>
      <c r="CX71" s="318"/>
      <c r="CY71" s="318"/>
      <c r="CZ71" s="318"/>
      <c r="DA71" s="318"/>
      <c r="DB71" s="318"/>
      <c r="DC71" s="318"/>
      <c r="DD71" s="318"/>
      <c r="DE71" s="318"/>
      <c r="DF71" s="318"/>
      <c r="DG71" s="318"/>
      <c r="DH71" s="318"/>
      <c r="DI71" s="318"/>
      <c r="DJ71" s="318"/>
      <c r="DK71" s="318"/>
      <c r="DL71" s="318"/>
      <c r="DM71" s="318"/>
      <c r="DN71" s="318"/>
      <c r="DO71" s="318"/>
      <c r="DP71" s="318"/>
      <c r="DQ71" s="318"/>
      <c r="DR71" s="318"/>
      <c r="DS71" s="318"/>
      <c r="DT71" s="318"/>
      <c r="DU71" s="318"/>
      <c r="DV71" s="318"/>
      <c r="DW71" s="318"/>
      <c r="DX71" s="318"/>
      <c r="DY71" s="318"/>
      <c r="DZ71" s="318"/>
      <c r="EA71" s="318"/>
      <c r="EB71" s="318"/>
      <c r="EC71" s="318"/>
      <c r="ED71" s="318"/>
      <c r="EE71" s="318"/>
      <c r="EF71" s="318"/>
      <c r="EG71" s="318"/>
      <c r="EH71" s="318"/>
      <c r="EI71" s="318"/>
      <c r="EJ71" s="318"/>
      <c r="EK71" s="318"/>
      <c r="EL71" s="318"/>
      <c r="EM71" s="318"/>
      <c r="EN71" s="318"/>
      <c r="EO71" s="318"/>
      <c r="EP71" s="318"/>
      <c r="EQ71" s="318"/>
      <c r="ER71" s="318"/>
      <c r="ES71" s="318"/>
      <c r="ET71" s="318"/>
      <c r="EU71" s="318"/>
      <c r="EV71" s="318"/>
      <c r="EW71" s="318"/>
      <c r="EX71" s="318"/>
      <c r="EY71" s="318"/>
      <c r="EZ71" s="318"/>
      <c r="FA71" s="318"/>
      <c r="FB71" s="318"/>
      <c r="FC71" s="318"/>
      <c r="FD71" s="318"/>
      <c r="FE71" s="318"/>
      <c r="FF71" s="318"/>
      <c r="FG71" s="318"/>
      <c r="FH71" s="318"/>
      <c r="FI71" s="318"/>
      <c r="FJ71" s="318"/>
      <c r="FK71" s="318"/>
      <c r="FL71" s="318"/>
      <c r="FM71" s="318"/>
      <c r="FN71" s="318"/>
      <c r="FO71" s="318"/>
      <c r="FP71" s="318"/>
      <c r="FQ71" s="318"/>
      <c r="FR71" s="318"/>
      <c r="FS71" s="318"/>
      <c r="FT71" s="318"/>
      <c r="FU71" s="318"/>
      <c r="FV71" s="318"/>
      <c r="FW71" s="318"/>
      <c r="FX71" s="318"/>
      <c r="FY71" s="318"/>
      <c r="FZ71" s="318"/>
      <c r="GA71" s="318"/>
      <c r="GB71" s="318"/>
      <c r="GC71" s="318"/>
      <c r="GD71" s="318"/>
      <c r="GE71" s="318"/>
      <c r="GF71" s="318"/>
      <c r="GG71" s="318"/>
      <c r="GH71" s="318"/>
      <c r="GI71" s="318"/>
      <c r="GJ71" s="318"/>
      <c r="GK71" s="318"/>
      <c r="GL71" s="318"/>
      <c r="GM71" s="318"/>
      <c r="GN71" s="318"/>
      <c r="GO71" s="318"/>
      <c r="GP71" s="318"/>
      <c r="GQ71" s="318"/>
      <c r="GR71" s="318"/>
      <c r="GS71" s="318"/>
      <c r="GT71" s="318"/>
      <c r="GU71" s="318"/>
      <c r="GV71" s="318"/>
      <c r="GW71" s="318"/>
      <c r="GX71" s="318"/>
      <c r="GY71" s="318"/>
      <c r="GZ71" s="318"/>
      <c r="HA71" s="318"/>
      <c r="HB71" s="318"/>
      <c r="HC71" s="318"/>
      <c r="HD71" s="318"/>
      <c r="HE71" s="318"/>
      <c r="HF71" s="318"/>
      <c r="HG71" s="318"/>
      <c r="HH71" s="318"/>
      <c r="HI71" s="318"/>
      <c r="HJ71" s="318"/>
      <c r="HK71" s="318"/>
      <c r="HL71" s="318"/>
      <c r="HM71" s="318"/>
      <c r="HN71" s="318"/>
      <c r="HO71" s="318"/>
      <c r="HP71" s="318"/>
      <c r="HQ71" s="318"/>
      <c r="HR71" s="318"/>
      <c r="HS71" s="318"/>
      <c r="HT71" s="318"/>
      <c r="HU71" s="318"/>
      <c r="HV71" s="318"/>
      <c r="HW71" s="318"/>
      <c r="HX71" s="318"/>
      <c r="HY71" s="318"/>
      <c r="HZ71" s="318"/>
      <c r="IA71" s="318"/>
      <c r="IB71" s="318"/>
      <c r="IC71" s="318"/>
      <c r="ID71" s="318"/>
      <c r="IE71" s="318"/>
      <c r="IF71" s="318"/>
      <c r="IG71" s="318"/>
      <c r="IH71" s="318"/>
      <c r="II71" s="318"/>
      <c r="IJ71" s="318"/>
      <c r="IK71" s="318"/>
      <c r="IL71" s="318"/>
      <c r="IM71" s="318"/>
      <c r="IN71" s="318"/>
      <c r="IO71" s="318"/>
      <c r="IP71" s="318"/>
      <c r="IQ71" s="318"/>
      <c r="IR71" s="318"/>
      <c r="IS71" s="318"/>
      <c r="IT71" s="318"/>
      <c r="IU71" s="318"/>
      <c r="IV71" s="318"/>
    </row>
    <row r="72" spans="1:256" s="470" customFormat="1" ht="13.5" customHeight="1" thickBot="1" x14ac:dyDescent="0.25">
      <c r="A72" s="472"/>
      <c r="B72" s="34"/>
      <c r="C72" s="473"/>
      <c r="D72" s="474"/>
      <c r="E72" s="475"/>
      <c r="F72" s="476"/>
      <c r="G72" s="464"/>
      <c r="H72" s="464"/>
      <c r="I72" s="464"/>
      <c r="J72" s="464"/>
      <c r="K72" s="465"/>
      <c r="L72" s="10"/>
      <c r="M72" s="465"/>
      <c r="N72" s="465"/>
      <c r="O72" s="10"/>
      <c r="P72" s="4"/>
      <c r="Q72" s="4"/>
      <c r="R72" s="4"/>
      <c r="S72" s="4"/>
      <c r="T72" s="4"/>
      <c r="U72" s="4"/>
      <c r="V72" s="4"/>
      <c r="W72" s="4"/>
      <c r="X72" s="4"/>
      <c r="Y72" s="318"/>
      <c r="Z72" s="318"/>
      <c r="AA72" s="318"/>
      <c r="AB72" s="318"/>
      <c r="AC72" s="318"/>
      <c r="AD72" s="318"/>
      <c r="AE72" s="318"/>
      <c r="AF72" s="318"/>
      <c r="AG72" s="318"/>
      <c r="AH72" s="318"/>
      <c r="AI72" s="318"/>
      <c r="AJ72" s="318"/>
      <c r="AK72" s="318"/>
      <c r="AL72" s="318"/>
      <c r="AM72" s="318"/>
      <c r="AN72" s="318"/>
      <c r="AO72" s="318"/>
      <c r="AP72" s="318"/>
      <c r="AQ72" s="318"/>
      <c r="AR72" s="318"/>
      <c r="AS72" s="318"/>
      <c r="AT72" s="318"/>
      <c r="AU72" s="318"/>
      <c r="AV72" s="318"/>
      <c r="AW72" s="318"/>
      <c r="AX72" s="318"/>
      <c r="AY72" s="318"/>
      <c r="AZ72" s="318"/>
      <c r="BA72" s="318"/>
      <c r="BB72" s="318"/>
      <c r="BC72" s="318"/>
      <c r="BD72" s="318"/>
      <c r="BE72" s="318"/>
      <c r="BF72" s="318"/>
      <c r="BG72" s="318"/>
      <c r="BH72" s="318"/>
      <c r="BI72" s="318"/>
      <c r="BJ72" s="318"/>
      <c r="BK72" s="318"/>
      <c r="BL72" s="318"/>
      <c r="BM72" s="318"/>
      <c r="BN72" s="318"/>
      <c r="BO72" s="318"/>
      <c r="BP72" s="318"/>
      <c r="BQ72" s="318"/>
      <c r="BR72" s="318"/>
      <c r="BS72" s="318"/>
      <c r="BT72" s="318"/>
      <c r="BU72" s="318"/>
      <c r="BV72" s="318"/>
      <c r="BW72" s="318"/>
      <c r="BX72" s="318"/>
      <c r="BY72" s="318"/>
      <c r="BZ72" s="318"/>
      <c r="CA72" s="318"/>
      <c r="CB72" s="318"/>
      <c r="CC72" s="318"/>
      <c r="CD72" s="318"/>
      <c r="CE72" s="318"/>
      <c r="CF72" s="318"/>
      <c r="CG72" s="318"/>
      <c r="CH72" s="318"/>
      <c r="CI72" s="318"/>
      <c r="CJ72" s="318"/>
      <c r="CK72" s="318"/>
      <c r="CL72" s="318"/>
      <c r="CM72" s="318"/>
      <c r="CN72" s="318"/>
      <c r="CO72" s="318"/>
      <c r="CP72" s="318"/>
      <c r="CQ72" s="318"/>
      <c r="CR72" s="318"/>
      <c r="CS72" s="318"/>
      <c r="CT72" s="318"/>
      <c r="CU72" s="318"/>
      <c r="CV72" s="318"/>
      <c r="CW72" s="318"/>
      <c r="CX72" s="318"/>
      <c r="CY72" s="318"/>
      <c r="CZ72" s="318"/>
      <c r="DA72" s="318"/>
      <c r="DB72" s="318"/>
      <c r="DC72" s="318"/>
      <c r="DD72" s="318"/>
      <c r="DE72" s="318"/>
      <c r="DF72" s="318"/>
      <c r="DG72" s="318"/>
      <c r="DH72" s="318"/>
      <c r="DI72" s="318"/>
      <c r="DJ72" s="318"/>
      <c r="DK72" s="318"/>
      <c r="DL72" s="318"/>
      <c r="DM72" s="318"/>
      <c r="DN72" s="318"/>
      <c r="DO72" s="318"/>
      <c r="DP72" s="318"/>
      <c r="DQ72" s="318"/>
      <c r="DR72" s="318"/>
      <c r="DS72" s="318"/>
      <c r="DT72" s="318"/>
      <c r="DU72" s="318"/>
      <c r="DV72" s="318"/>
      <c r="DW72" s="318"/>
      <c r="DX72" s="318"/>
      <c r="DY72" s="318"/>
      <c r="DZ72" s="318"/>
      <c r="EA72" s="318"/>
      <c r="EB72" s="318"/>
      <c r="EC72" s="318"/>
      <c r="ED72" s="318"/>
      <c r="EE72" s="318"/>
      <c r="EF72" s="318"/>
      <c r="EG72" s="318"/>
      <c r="EH72" s="318"/>
      <c r="EI72" s="318"/>
      <c r="EJ72" s="318"/>
      <c r="EK72" s="318"/>
      <c r="EL72" s="318"/>
      <c r="EM72" s="318"/>
      <c r="EN72" s="318"/>
      <c r="EO72" s="318"/>
      <c r="EP72" s="318"/>
      <c r="EQ72" s="318"/>
      <c r="ER72" s="318"/>
      <c r="ES72" s="318"/>
      <c r="ET72" s="318"/>
      <c r="EU72" s="318"/>
      <c r="EV72" s="318"/>
      <c r="EW72" s="318"/>
      <c r="EX72" s="318"/>
      <c r="EY72" s="318"/>
      <c r="EZ72" s="318"/>
      <c r="FA72" s="318"/>
      <c r="FB72" s="318"/>
      <c r="FC72" s="318"/>
      <c r="FD72" s="318"/>
      <c r="FE72" s="318"/>
      <c r="FF72" s="318"/>
      <c r="FG72" s="318"/>
      <c r="FH72" s="318"/>
      <c r="FI72" s="318"/>
      <c r="FJ72" s="318"/>
      <c r="FK72" s="318"/>
      <c r="FL72" s="318"/>
      <c r="FM72" s="318"/>
      <c r="FN72" s="318"/>
      <c r="FO72" s="318"/>
      <c r="FP72" s="318"/>
      <c r="FQ72" s="318"/>
      <c r="FR72" s="318"/>
      <c r="FS72" s="318"/>
      <c r="FT72" s="318"/>
      <c r="FU72" s="318"/>
      <c r="FV72" s="318"/>
      <c r="FW72" s="318"/>
      <c r="FX72" s="318"/>
      <c r="FY72" s="318"/>
      <c r="FZ72" s="318"/>
      <c r="GA72" s="318"/>
      <c r="GB72" s="318"/>
      <c r="GC72" s="318"/>
      <c r="GD72" s="318"/>
      <c r="GE72" s="318"/>
      <c r="GF72" s="318"/>
      <c r="GG72" s="318"/>
      <c r="GH72" s="318"/>
      <c r="GI72" s="318"/>
      <c r="GJ72" s="318"/>
      <c r="GK72" s="318"/>
      <c r="GL72" s="318"/>
      <c r="GM72" s="318"/>
      <c r="GN72" s="318"/>
      <c r="GO72" s="318"/>
      <c r="GP72" s="318"/>
      <c r="GQ72" s="318"/>
      <c r="GR72" s="318"/>
      <c r="GS72" s="318"/>
      <c r="GT72" s="318"/>
      <c r="GU72" s="318"/>
      <c r="GV72" s="318"/>
      <c r="GW72" s="318"/>
      <c r="GX72" s="318"/>
      <c r="GY72" s="318"/>
      <c r="GZ72" s="318"/>
      <c r="HA72" s="318"/>
      <c r="HB72" s="318"/>
      <c r="HC72" s="318"/>
      <c r="HD72" s="318"/>
      <c r="HE72" s="318"/>
      <c r="HF72" s="318"/>
      <c r="HG72" s="318"/>
      <c r="HH72" s="318"/>
      <c r="HI72" s="318"/>
      <c r="HJ72" s="318"/>
      <c r="HK72" s="318"/>
      <c r="HL72" s="318"/>
      <c r="HM72" s="318"/>
      <c r="HN72" s="318"/>
      <c r="HO72" s="318"/>
      <c r="HP72" s="318"/>
      <c r="HQ72" s="318"/>
      <c r="HR72" s="318"/>
      <c r="HS72" s="318"/>
      <c r="HT72" s="318"/>
      <c r="HU72" s="318"/>
      <c r="HV72" s="318"/>
      <c r="HW72" s="318"/>
      <c r="HX72" s="318"/>
      <c r="HY72" s="318"/>
      <c r="HZ72" s="318"/>
      <c r="IA72" s="318"/>
      <c r="IB72" s="318"/>
      <c r="IC72" s="318"/>
      <c r="ID72" s="318"/>
      <c r="IE72" s="318"/>
      <c r="IF72" s="318"/>
      <c r="IG72" s="318"/>
      <c r="IH72" s="318"/>
      <c r="II72" s="318"/>
      <c r="IJ72" s="318"/>
      <c r="IK72" s="318"/>
      <c r="IL72" s="318"/>
      <c r="IM72" s="318"/>
      <c r="IN72" s="318"/>
      <c r="IO72" s="318"/>
      <c r="IP72" s="318"/>
      <c r="IQ72" s="318"/>
      <c r="IR72" s="318"/>
      <c r="IS72" s="318"/>
      <c r="IT72" s="318"/>
      <c r="IU72" s="318"/>
      <c r="IV72" s="318"/>
    </row>
    <row r="73" spans="1:256" s="470" customFormat="1" ht="13.5" customHeight="1" thickBot="1" x14ac:dyDescent="0.25">
      <c r="A73" s="472"/>
      <c r="B73" s="34"/>
      <c r="C73" s="473"/>
      <c r="D73" s="474"/>
      <c r="E73" s="475"/>
      <c r="F73" s="476"/>
      <c r="G73" s="464"/>
      <c r="H73" s="464"/>
      <c r="I73" s="464"/>
      <c r="J73" s="464"/>
      <c r="K73" s="465"/>
      <c r="L73" s="10"/>
      <c r="M73" s="465"/>
      <c r="N73" s="465"/>
      <c r="O73" s="10"/>
      <c r="P73" s="4"/>
      <c r="Q73" s="4"/>
      <c r="R73" s="4"/>
      <c r="S73" s="4"/>
      <c r="T73" s="4"/>
      <c r="U73" s="4"/>
      <c r="V73" s="4"/>
      <c r="W73" s="4"/>
      <c r="X73" s="4"/>
      <c r="Y73" s="318"/>
      <c r="Z73" s="318"/>
      <c r="AA73" s="318"/>
      <c r="AB73" s="318"/>
      <c r="AC73" s="318"/>
      <c r="AD73" s="318"/>
      <c r="AE73" s="318"/>
      <c r="AF73" s="318"/>
      <c r="AG73" s="318"/>
      <c r="AH73" s="318"/>
      <c r="AI73" s="318"/>
      <c r="AJ73" s="318"/>
      <c r="AK73" s="318"/>
      <c r="AL73" s="318"/>
      <c r="AM73" s="318"/>
      <c r="AN73" s="318"/>
      <c r="AO73" s="318"/>
      <c r="AP73" s="318"/>
      <c r="AQ73" s="318"/>
      <c r="AR73" s="318"/>
      <c r="AS73" s="318"/>
      <c r="AT73" s="318"/>
      <c r="AU73" s="318"/>
      <c r="AV73" s="318"/>
      <c r="AW73" s="318"/>
      <c r="AX73" s="318"/>
      <c r="AY73" s="318"/>
      <c r="AZ73" s="318"/>
      <c r="BA73" s="318"/>
      <c r="BB73" s="318"/>
      <c r="BC73" s="318"/>
      <c r="BD73" s="318"/>
      <c r="BE73" s="318"/>
      <c r="BF73" s="318"/>
      <c r="BG73" s="318"/>
      <c r="BH73" s="318"/>
      <c r="BI73" s="318"/>
      <c r="BJ73" s="318"/>
      <c r="BK73" s="318"/>
      <c r="BL73" s="318"/>
      <c r="BM73" s="318"/>
      <c r="BN73" s="318"/>
      <c r="BO73" s="318"/>
      <c r="BP73" s="318"/>
      <c r="BQ73" s="318"/>
      <c r="BR73" s="318"/>
      <c r="BS73" s="318"/>
      <c r="BT73" s="318"/>
      <c r="BU73" s="318"/>
      <c r="BV73" s="318"/>
      <c r="BW73" s="318"/>
      <c r="BX73" s="318"/>
      <c r="BY73" s="318"/>
      <c r="BZ73" s="318"/>
      <c r="CA73" s="318"/>
      <c r="CB73" s="318"/>
      <c r="CC73" s="318"/>
      <c r="CD73" s="318"/>
      <c r="CE73" s="318"/>
      <c r="CF73" s="318"/>
      <c r="CG73" s="318"/>
      <c r="CH73" s="318"/>
      <c r="CI73" s="318"/>
      <c r="CJ73" s="318"/>
      <c r="CK73" s="318"/>
      <c r="CL73" s="318"/>
      <c r="CM73" s="318"/>
      <c r="CN73" s="318"/>
      <c r="CO73" s="318"/>
      <c r="CP73" s="318"/>
      <c r="CQ73" s="318"/>
      <c r="CR73" s="318"/>
      <c r="CS73" s="318"/>
      <c r="CT73" s="318"/>
      <c r="CU73" s="318"/>
      <c r="CV73" s="318"/>
      <c r="CW73" s="318"/>
      <c r="CX73" s="318"/>
      <c r="CY73" s="318"/>
      <c r="CZ73" s="318"/>
      <c r="DA73" s="318"/>
      <c r="DB73" s="318"/>
      <c r="DC73" s="318"/>
      <c r="DD73" s="318"/>
      <c r="DE73" s="318"/>
      <c r="DF73" s="318"/>
      <c r="DG73" s="318"/>
      <c r="DH73" s="318"/>
      <c r="DI73" s="318"/>
      <c r="DJ73" s="318"/>
      <c r="DK73" s="318"/>
      <c r="DL73" s="318"/>
      <c r="DM73" s="318"/>
      <c r="DN73" s="318"/>
      <c r="DO73" s="318"/>
      <c r="DP73" s="318"/>
      <c r="DQ73" s="318"/>
      <c r="DR73" s="318"/>
      <c r="DS73" s="318"/>
      <c r="DT73" s="318"/>
      <c r="DU73" s="318"/>
      <c r="DV73" s="318"/>
      <c r="DW73" s="318"/>
      <c r="DX73" s="318"/>
      <c r="DY73" s="318"/>
      <c r="DZ73" s="318"/>
      <c r="EA73" s="318"/>
      <c r="EB73" s="318"/>
      <c r="EC73" s="318"/>
      <c r="ED73" s="318"/>
      <c r="EE73" s="318"/>
      <c r="EF73" s="318"/>
      <c r="EG73" s="318"/>
      <c r="EH73" s="318"/>
      <c r="EI73" s="318"/>
      <c r="EJ73" s="318"/>
      <c r="EK73" s="318"/>
      <c r="EL73" s="318"/>
      <c r="EM73" s="318"/>
      <c r="EN73" s="318"/>
      <c r="EO73" s="318"/>
      <c r="EP73" s="318"/>
      <c r="EQ73" s="318"/>
      <c r="ER73" s="318"/>
      <c r="ES73" s="318"/>
      <c r="ET73" s="318"/>
      <c r="EU73" s="318"/>
      <c r="EV73" s="318"/>
      <c r="EW73" s="318"/>
      <c r="EX73" s="318"/>
      <c r="EY73" s="318"/>
      <c r="EZ73" s="318"/>
      <c r="FA73" s="318"/>
      <c r="FB73" s="318"/>
      <c r="FC73" s="318"/>
      <c r="FD73" s="318"/>
      <c r="FE73" s="318"/>
      <c r="FF73" s="318"/>
      <c r="FG73" s="318"/>
      <c r="FH73" s="318"/>
      <c r="FI73" s="318"/>
      <c r="FJ73" s="318"/>
      <c r="FK73" s="318"/>
      <c r="FL73" s="318"/>
      <c r="FM73" s="318"/>
      <c r="FN73" s="318"/>
      <c r="FO73" s="318"/>
      <c r="FP73" s="318"/>
      <c r="FQ73" s="318"/>
      <c r="FR73" s="318"/>
      <c r="FS73" s="318"/>
      <c r="FT73" s="318"/>
      <c r="FU73" s="318"/>
      <c r="FV73" s="318"/>
      <c r="FW73" s="318"/>
      <c r="FX73" s="318"/>
      <c r="FY73" s="318"/>
      <c r="FZ73" s="318"/>
      <c r="GA73" s="318"/>
      <c r="GB73" s="318"/>
      <c r="GC73" s="318"/>
      <c r="GD73" s="318"/>
      <c r="GE73" s="318"/>
      <c r="GF73" s="318"/>
      <c r="GG73" s="318"/>
      <c r="GH73" s="318"/>
      <c r="GI73" s="318"/>
      <c r="GJ73" s="318"/>
      <c r="GK73" s="318"/>
      <c r="GL73" s="318"/>
      <c r="GM73" s="318"/>
      <c r="GN73" s="318"/>
      <c r="GO73" s="318"/>
      <c r="GP73" s="318"/>
      <c r="GQ73" s="318"/>
      <c r="GR73" s="318"/>
      <c r="GS73" s="318"/>
      <c r="GT73" s="318"/>
      <c r="GU73" s="318"/>
      <c r="GV73" s="318"/>
      <c r="GW73" s="318"/>
      <c r="GX73" s="318"/>
      <c r="GY73" s="318"/>
      <c r="GZ73" s="318"/>
      <c r="HA73" s="318"/>
      <c r="HB73" s="318"/>
      <c r="HC73" s="318"/>
      <c r="HD73" s="318"/>
      <c r="HE73" s="318"/>
      <c r="HF73" s="318"/>
      <c r="HG73" s="318"/>
      <c r="HH73" s="318"/>
      <c r="HI73" s="318"/>
      <c r="HJ73" s="318"/>
      <c r="HK73" s="318"/>
      <c r="HL73" s="318"/>
      <c r="HM73" s="318"/>
      <c r="HN73" s="318"/>
      <c r="HO73" s="318"/>
      <c r="HP73" s="318"/>
      <c r="HQ73" s="318"/>
      <c r="HR73" s="318"/>
      <c r="HS73" s="318"/>
      <c r="HT73" s="318"/>
      <c r="HU73" s="318"/>
      <c r="HV73" s="318"/>
      <c r="HW73" s="318"/>
      <c r="HX73" s="318"/>
      <c r="HY73" s="318"/>
      <c r="HZ73" s="318"/>
      <c r="IA73" s="318"/>
      <c r="IB73" s="318"/>
      <c r="IC73" s="318"/>
      <c r="ID73" s="318"/>
      <c r="IE73" s="318"/>
      <c r="IF73" s="318"/>
      <c r="IG73" s="318"/>
      <c r="IH73" s="318"/>
      <c r="II73" s="318"/>
      <c r="IJ73" s="318"/>
      <c r="IK73" s="318"/>
      <c r="IL73" s="318"/>
      <c r="IM73" s="318"/>
      <c r="IN73" s="318"/>
      <c r="IO73" s="318"/>
      <c r="IP73" s="318"/>
      <c r="IQ73" s="318"/>
      <c r="IR73" s="318"/>
      <c r="IS73" s="318"/>
      <c r="IT73" s="318"/>
      <c r="IU73" s="318"/>
      <c r="IV73" s="318"/>
    </row>
    <row r="74" spans="1:256" s="470" customFormat="1" ht="13.5" customHeight="1" thickBot="1" x14ac:dyDescent="0.25">
      <c r="A74" s="472"/>
      <c r="B74" s="34"/>
      <c r="C74" s="473"/>
      <c r="D74" s="474"/>
      <c r="E74" s="475"/>
      <c r="F74" s="476"/>
      <c r="G74" s="464"/>
      <c r="H74" s="464"/>
      <c r="I74" s="464"/>
      <c r="J74" s="464"/>
      <c r="K74" s="465"/>
      <c r="L74" s="10"/>
      <c r="M74" s="465"/>
      <c r="N74" s="465"/>
      <c r="O74" s="10"/>
      <c r="P74" s="4"/>
      <c r="Q74" s="4"/>
      <c r="R74" s="4"/>
      <c r="S74" s="4"/>
      <c r="T74" s="4"/>
      <c r="U74" s="4"/>
      <c r="V74" s="4"/>
      <c r="W74" s="4"/>
      <c r="X74" s="4"/>
      <c r="Y74" s="318"/>
      <c r="Z74" s="318"/>
      <c r="AA74" s="318"/>
      <c r="AB74" s="318"/>
      <c r="AC74" s="318"/>
      <c r="AD74" s="318"/>
      <c r="AE74" s="318"/>
      <c r="AF74" s="318"/>
      <c r="AG74" s="318"/>
      <c r="AH74" s="318"/>
      <c r="AI74" s="318"/>
      <c r="AJ74" s="318"/>
      <c r="AK74" s="318"/>
      <c r="AL74" s="318"/>
      <c r="AM74" s="318"/>
      <c r="AN74" s="318"/>
      <c r="AO74" s="318"/>
      <c r="AP74" s="318"/>
      <c r="AQ74" s="318"/>
      <c r="AR74" s="318"/>
      <c r="AS74" s="318"/>
      <c r="AT74" s="318"/>
      <c r="AU74" s="318"/>
      <c r="AV74" s="318"/>
      <c r="AW74" s="318"/>
      <c r="AX74" s="318"/>
      <c r="AY74" s="318"/>
      <c r="AZ74" s="318"/>
      <c r="BA74" s="318"/>
      <c r="BB74" s="318"/>
      <c r="BC74" s="318"/>
      <c r="BD74" s="318"/>
      <c r="BE74" s="318"/>
      <c r="BF74" s="318"/>
      <c r="BG74" s="318"/>
      <c r="BH74" s="318"/>
      <c r="BI74" s="318"/>
      <c r="BJ74" s="318"/>
      <c r="BK74" s="318"/>
      <c r="BL74" s="318"/>
      <c r="BM74" s="318"/>
      <c r="BN74" s="318"/>
      <c r="BO74" s="318"/>
      <c r="BP74" s="318"/>
      <c r="BQ74" s="318"/>
      <c r="BR74" s="318"/>
      <c r="BS74" s="318"/>
      <c r="BT74" s="318"/>
      <c r="BU74" s="318"/>
      <c r="BV74" s="318"/>
      <c r="BW74" s="318"/>
      <c r="BX74" s="318"/>
      <c r="BY74" s="318"/>
      <c r="BZ74" s="318"/>
      <c r="CA74" s="318"/>
      <c r="CB74" s="318"/>
      <c r="CC74" s="318"/>
      <c r="CD74" s="318"/>
      <c r="CE74" s="318"/>
      <c r="CF74" s="318"/>
      <c r="CG74" s="318"/>
      <c r="CH74" s="318"/>
      <c r="CI74" s="318"/>
      <c r="CJ74" s="318"/>
      <c r="CK74" s="318"/>
      <c r="CL74" s="318"/>
      <c r="CM74" s="318"/>
      <c r="CN74" s="318"/>
      <c r="CO74" s="318"/>
      <c r="CP74" s="318"/>
      <c r="CQ74" s="318"/>
      <c r="CR74" s="318"/>
      <c r="CS74" s="318"/>
      <c r="CT74" s="318"/>
      <c r="CU74" s="318"/>
      <c r="CV74" s="318"/>
      <c r="CW74" s="318"/>
      <c r="CX74" s="318"/>
      <c r="CY74" s="318"/>
      <c r="CZ74" s="318"/>
      <c r="DA74" s="318"/>
      <c r="DB74" s="318"/>
      <c r="DC74" s="318"/>
      <c r="DD74" s="318"/>
      <c r="DE74" s="318"/>
      <c r="DF74" s="318"/>
      <c r="DG74" s="318"/>
      <c r="DH74" s="318"/>
      <c r="DI74" s="318"/>
      <c r="DJ74" s="318"/>
      <c r="DK74" s="318"/>
      <c r="DL74" s="318"/>
      <c r="DM74" s="318"/>
      <c r="DN74" s="318"/>
      <c r="DO74" s="318"/>
      <c r="DP74" s="318"/>
      <c r="DQ74" s="318"/>
      <c r="DR74" s="318"/>
      <c r="DS74" s="318"/>
      <c r="DT74" s="318"/>
      <c r="DU74" s="318"/>
      <c r="DV74" s="318"/>
      <c r="DW74" s="318"/>
      <c r="DX74" s="318"/>
      <c r="DY74" s="318"/>
      <c r="DZ74" s="318"/>
      <c r="EA74" s="318"/>
      <c r="EB74" s="318"/>
      <c r="EC74" s="318"/>
      <c r="ED74" s="318"/>
      <c r="EE74" s="318"/>
      <c r="EF74" s="318"/>
      <c r="EG74" s="318"/>
      <c r="EH74" s="318"/>
      <c r="EI74" s="318"/>
      <c r="EJ74" s="318"/>
      <c r="EK74" s="318"/>
      <c r="EL74" s="318"/>
      <c r="EM74" s="318"/>
      <c r="EN74" s="318"/>
      <c r="EO74" s="318"/>
      <c r="EP74" s="318"/>
      <c r="EQ74" s="318"/>
      <c r="ER74" s="318"/>
      <c r="ES74" s="318"/>
      <c r="ET74" s="318"/>
      <c r="EU74" s="318"/>
      <c r="EV74" s="318"/>
      <c r="EW74" s="318"/>
      <c r="EX74" s="318"/>
      <c r="EY74" s="318"/>
      <c r="EZ74" s="318"/>
      <c r="FA74" s="318"/>
      <c r="FB74" s="318"/>
      <c r="FC74" s="318"/>
      <c r="FD74" s="318"/>
      <c r="FE74" s="318"/>
      <c r="FF74" s="318"/>
      <c r="FG74" s="318"/>
      <c r="FH74" s="318"/>
      <c r="FI74" s="318"/>
      <c r="FJ74" s="318"/>
      <c r="FK74" s="318"/>
      <c r="FL74" s="318"/>
      <c r="FM74" s="318"/>
      <c r="FN74" s="318"/>
      <c r="FO74" s="318"/>
      <c r="FP74" s="318"/>
      <c r="FQ74" s="318"/>
      <c r="FR74" s="318"/>
      <c r="FS74" s="318"/>
      <c r="FT74" s="318"/>
      <c r="FU74" s="318"/>
      <c r="FV74" s="318"/>
      <c r="FW74" s="318"/>
      <c r="FX74" s="318"/>
      <c r="FY74" s="318"/>
      <c r="FZ74" s="318"/>
      <c r="GA74" s="318"/>
      <c r="GB74" s="318"/>
      <c r="GC74" s="318"/>
      <c r="GD74" s="318"/>
      <c r="GE74" s="318"/>
      <c r="GF74" s="318"/>
      <c r="GG74" s="318"/>
      <c r="GH74" s="318"/>
      <c r="GI74" s="318"/>
      <c r="GJ74" s="318"/>
      <c r="GK74" s="318"/>
      <c r="GL74" s="318"/>
      <c r="GM74" s="318"/>
      <c r="GN74" s="318"/>
      <c r="GO74" s="318"/>
      <c r="GP74" s="318"/>
      <c r="GQ74" s="318"/>
      <c r="GR74" s="318"/>
      <c r="GS74" s="318"/>
      <c r="GT74" s="318"/>
      <c r="GU74" s="318"/>
      <c r="GV74" s="318"/>
      <c r="GW74" s="318"/>
      <c r="GX74" s="318"/>
      <c r="GY74" s="318"/>
      <c r="GZ74" s="318"/>
      <c r="HA74" s="318"/>
      <c r="HB74" s="318"/>
      <c r="HC74" s="318"/>
      <c r="HD74" s="318"/>
      <c r="HE74" s="318"/>
      <c r="HF74" s="318"/>
      <c r="HG74" s="318"/>
      <c r="HH74" s="318"/>
      <c r="HI74" s="318"/>
      <c r="HJ74" s="318"/>
      <c r="HK74" s="318"/>
      <c r="HL74" s="318"/>
      <c r="HM74" s="318"/>
      <c r="HN74" s="318"/>
      <c r="HO74" s="318"/>
      <c r="HP74" s="318"/>
      <c r="HQ74" s="318"/>
      <c r="HR74" s="318"/>
      <c r="HS74" s="318"/>
      <c r="HT74" s="318"/>
      <c r="HU74" s="318"/>
      <c r="HV74" s="318"/>
      <c r="HW74" s="318"/>
      <c r="HX74" s="318"/>
      <c r="HY74" s="318"/>
      <c r="HZ74" s="318"/>
      <c r="IA74" s="318"/>
      <c r="IB74" s="318"/>
      <c r="IC74" s="318"/>
      <c r="ID74" s="318"/>
      <c r="IE74" s="318"/>
      <c r="IF74" s="318"/>
      <c r="IG74" s="318"/>
      <c r="IH74" s="318"/>
      <c r="II74" s="318"/>
      <c r="IJ74" s="318"/>
      <c r="IK74" s="318"/>
      <c r="IL74" s="318"/>
      <c r="IM74" s="318"/>
      <c r="IN74" s="318"/>
      <c r="IO74" s="318"/>
      <c r="IP74" s="318"/>
      <c r="IQ74" s="318"/>
      <c r="IR74" s="318"/>
      <c r="IS74" s="318"/>
      <c r="IT74" s="318"/>
      <c r="IU74" s="318"/>
      <c r="IV74" s="318"/>
    </row>
    <row r="75" spans="1:256" s="470" customFormat="1" ht="13.5" customHeight="1" thickBot="1" x14ac:dyDescent="0.25">
      <c r="A75" s="472"/>
      <c r="B75" s="34"/>
      <c r="C75" s="473"/>
      <c r="D75" s="474"/>
      <c r="E75" s="475"/>
      <c r="F75" s="476"/>
      <c r="G75" s="464"/>
      <c r="H75" s="464"/>
      <c r="I75" s="464"/>
      <c r="J75" s="464"/>
      <c r="K75" s="465"/>
      <c r="L75" s="10"/>
      <c r="M75" s="465"/>
      <c r="N75" s="465"/>
      <c r="O75" s="10"/>
      <c r="P75" s="4"/>
      <c r="Q75" s="4"/>
      <c r="R75" s="4"/>
      <c r="S75" s="4"/>
      <c r="T75" s="4"/>
      <c r="U75" s="4"/>
      <c r="V75" s="4"/>
      <c r="W75" s="4"/>
      <c r="X75" s="4"/>
      <c r="Y75" s="318"/>
      <c r="Z75" s="318"/>
      <c r="AA75" s="318"/>
      <c r="AB75" s="318"/>
      <c r="AC75" s="318"/>
      <c r="AD75" s="318"/>
      <c r="AE75" s="318"/>
      <c r="AF75" s="318"/>
      <c r="AG75" s="318"/>
      <c r="AH75" s="318"/>
      <c r="AI75" s="318"/>
      <c r="AJ75" s="318"/>
      <c r="AK75" s="318"/>
      <c r="AL75" s="318"/>
      <c r="AM75" s="318"/>
      <c r="AN75" s="318"/>
      <c r="AO75" s="318"/>
      <c r="AP75" s="318"/>
      <c r="AQ75" s="318"/>
      <c r="AR75" s="318"/>
      <c r="AS75" s="318"/>
      <c r="AT75" s="318"/>
      <c r="AU75" s="318"/>
      <c r="AV75" s="318"/>
      <c r="AW75" s="318"/>
      <c r="AX75" s="318"/>
      <c r="AY75" s="318"/>
      <c r="AZ75" s="318"/>
      <c r="BA75" s="318"/>
      <c r="BB75" s="318"/>
      <c r="BC75" s="318"/>
      <c r="BD75" s="318"/>
      <c r="BE75" s="318"/>
      <c r="BF75" s="318"/>
      <c r="BG75" s="318"/>
      <c r="BH75" s="318"/>
      <c r="BI75" s="318"/>
      <c r="BJ75" s="318"/>
      <c r="BK75" s="318"/>
      <c r="BL75" s="318"/>
      <c r="BM75" s="318"/>
      <c r="BN75" s="318"/>
      <c r="BO75" s="318"/>
      <c r="BP75" s="318"/>
      <c r="BQ75" s="318"/>
      <c r="BR75" s="318"/>
      <c r="BS75" s="318"/>
      <c r="BT75" s="318"/>
      <c r="BU75" s="318"/>
      <c r="BV75" s="318"/>
      <c r="BW75" s="318"/>
      <c r="BX75" s="318"/>
      <c r="BY75" s="318"/>
      <c r="BZ75" s="318"/>
      <c r="CA75" s="318"/>
      <c r="CB75" s="318"/>
      <c r="CC75" s="318"/>
      <c r="CD75" s="318"/>
      <c r="CE75" s="318"/>
      <c r="CF75" s="318"/>
      <c r="CG75" s="318"/>
      <c r="CH75" s="318"/>
      <c r="CI75" s="318"/>
      <c r="CJ75" s="318"/>
      <c r="CK75" s="318"/>
      <c r="CL75" s="318"/>
      <c r="CM75" s="318"/>
      <c r="CN75" s="318"/>
      <c r="CO75" s="318"/>
      <c r="CP75" s="318"/>
      <c r="CQ75" s="318"/>
      <c r="CR75" s="318"/>
      <c r="CS75" s="318"/>
      <c r="CT75" s="318"/>
      <c r="CU75" s="318"/>
      <c r="CV75" s="318"/>
      <c r="CW75" s="318"/>
      <c r="CX75" s="318"/>
      <c r="CY75" s="318"/>
      <c r="CZ75" s="318"/>
      <c r="DA75" s="318"/>
      <c r="DB75" s="318"/>
      <c r="DC75" s="318"/>
      <c r="DD75" s="318"/>
      <c r="DE75" s="318"/>
      <c r="DF75" s="318"/>
      <c r="DG75" s="318"/>
      <c r="DH75" s="318"/>
      <c r="DI75" s="318"/>
      <c r="DJ75" s="318"/>
      <c r="DK75" s="318"/>
      <c r="DL75" s="318"/>
      <c r="DM75" s="318"/>
      <c r="DN75" s="318"/>
      <c r="DO75" s="318"/>
      <c r="DP75" s="318"/>
      <c r="DQ75" s="318"/>
      <c r="DR75" s="318"/>
      <c r="DS75" s="318"/>
      <c r="DT75" s="318"/>
      <c r="DU75" s="318"/>
      <c r="DV75" s="318"/>
      <c r="DW75" s="318"/>
      <c r="DX75" s="318"/>
      <c r="DY75" s="318"/>
      <c r="DZ75" s="318"/>
      <c r="EA75" s="318"/>
      <c r="EB75" s="318"/>
      <c r="EC75" s="318"/>
      <c r="ED75" s="318"/>
      <c r="EE75" s="318"/>
      <c r="EF75" s="318"/>
      <c r="EG75" s="318"/>
      <c r="EH75" s="318"/>
      <c r="EI75" s="318"/>
      <c r="EJ75" s="318"/>
      <c r="EK75" s="318"/>
      <c r="EL75" s="318"/>
      <c r="EM75" s="318"/>
      <c r="EN75" s="318"/>
      <c r="EO75" s="318"/>
      <c r="EP75" s="318"/>
      <c r="EQ75" s="318"/>
      <c r="ER75" s="318"/>
      <c r="ES75" s="318"/>
      <c r="ET75" s="318"/>
      <c r="EU75" s="318"/>
      <c r="EV75" s="318"/>
      <c r="EW75" s="318"/>
      <c r="EX75" s="318"/>
      <c r="EY75" s="318"/>
      <c r="EZ75" s="318"/>
      <c r="FA75" s="318"/>
      <c r="FB75" s="318"/>
      <c r="FC75" s="318"/>
      <c r="FD75" s="318"/>
      <c r="FE75" s="318"/>
      <c r="FF75" s="318"/>
      <c r="FG75" s="318"/>
      <c r="FH75" s="318"/>
      <c r="FI75" s="318"/>
      <c r="FJ75" s="318"/>
      <c r="FK75" s="318"/>
      <c r="FL75" s="318"/>
      <c r="FM75" s="318"/>
      <c r="FN75" s="318"/>
      <c r="FO75" s="318"/>
      <c r="FP75" s="318"/>
      <c r="FQ75" s="318"/>
      <c r="FR75" s="318"/>
      <c r="FS75" s="318"/>
      <c r="FT75" s="318"/>
      <c r="FU75" s="318"/>
      <c r="FV75" s="318"/>
      <c r="FW75" s="318"/>
      <c r="FX75" s="318"/>
      <c r="FY75" s="318"/>
      <c r="FZ75" s="318"/>
      <c r="GA75" s="318"/>
      <c r="GB75" s="318"/>
      <c r="GC75" s="318"/>
      <c r="GD75" s="318"/>
      <c r="GE75" s="318"/>
      <c r="GF75" s="318"/>
      <c r="GG75" s="318"/>
      <c r="GH75" s="318"/>
      <c r="GI75" s="318"/>
      <c r="GJ75" s="318"/>
      <c r="GK75" s="318"/>
      <c r="GL75" s="318"/>
      <c r="GM75" s="318"/>
      <c r="GN75" s="318"/>
      <c r="GO75" s="318"/>
      <c r="GP75" s="318"/>
      <c r="GQ75" s="318"/>
      <c r="GR75" s="318"/>
      <c r="GS75" s="318"/>
      <c r="GT75" s="318"/>
      <c r="GU75" s="318"/>
      <c r="GV75" s="318"/>
      <c r="GW75" s="318"/>
      <c r="GX75" s="318"/>
      <c r="GY75" s="318"/>
      <c r="GZ75" s="318"/>
      <c r="HA75" s="318"/>
      <c r="HB75" s="318"/>
      <c r="HC75" s="318"/>
      <c r="HD75" s="318"/>
      <c r="HE75" s="318"/>
      <c r="HF75" s="318"/>
      <c r="HG75" s="318"/>
      <c r="HH75" s="318"/>
      <c r="HI75" s="318"/>
      <c r="HJ75" s="318"/>
      <c r="HK75" s="318"/>
      <c r="HL75" s="318"/>
      <c r="HM75" s="318"/>
      <c r="HN75" s="318"/>
      <c r="HO75" s="318"/>
      <c r="HP75" s="318"/>
      <c r="HQ75" s="318"/>
      <c r="HR75" s="318"/>
      <c r="HS75" s="318"/>
      <c r="HT75" s="318"/>
      <c r="HU75" s="318"/>
      <c r="HV75" s="318"/>
      <c r="HW75" s="318"/>
      <c r="HX75" s="318"/>
      <c r="HY75" s="318"/>
      <c r="HZ75" s="318"/>
      <c r="IA75" s="318"/>
      <c r="IB75" s="318"/>
      <c r="IC75" s="318"/>
      <c r="ID75" s="318"/>
      <c r="IE75" s="318"/>
      <c r="IF75" s="318"/>
      <c r="IG75" s="318"/>
      <c r="IH75" s="318"/>
      <c r="II75" s="318"/>
      <c r="IJ75" s="318"/>
      <c r="IK75" s="318"/>
      <c r="IL75" s="318"/>
      <c r="IM75" s="318"/>
      <c r="IN75" s="318"/>
      <c r="IO75" s="318"/>
      <c r="IP75" s="318"/>
      <c r="IQ75" s="318"/>
      <c r="IR75" s="318"/>
      <c r="IS75" s="318"/>
      <c r="IT75" s="318"/>
      <c r="IU75" s="318"/>
      <c r="IV75" s="318"/>
    </row>
    <row r="76" spans="1:256" s="470" customFormat="1" ht="13.5" customHeight="1" thickBot="1" x14ac:dyDescent="0.25">
      <c r="A76" s="472"/>
      <c r="B76" s="34"/>
      <c r="C76" s="473"/>
      <c r="D76" s="474"/>
      <c r="E76" s="475"/>
      <c r="F76" s="476"/>
      <c r="G76" s="464"/>
      <c r="H76" s="464"/>
      <c r="I76" s="464"/>
      <c r="J76" s="464"/>
      <c r="K76" s="465"/>
      <c r="L76" s="10"/>
      <c r="M76" s="465"/>
      <c r="N76" s="465"/>
      <c r="O76" s="10"/>
      <c r="P76" s="4"/>
      <c r="Q76" s="4"/>
      <c r="R76" s="4"/>
      <c r="S76" s="4"/>
      <c r="T76" s="4"/>
      <c r="U76" s="4"/>
      <c r="V76" s="4"/>
      <c r="W76" s="4"/>
      <c r="X76" s="4"/>
      <c r="Y76" s="318"/>
      <c r="Z76" s="318"/>
      <c r="AA76" s="318"/>
      <c r="AB76" s="318"/>
      <c r="AC76" s="318"/>
      <c r="AD76" s="318"/>
      <c r="AE76" s="318"/>
      <c r="AF76" s="318"/>
      <c r="AG76" s="318"/>
      <c r="AH76" s="318"/>
      <c r="AI76" s="318"/>
      <c r="AJ76" s="318"/>
      <c r="AK76" s="318"/>
      <c r="AL76" s="318"/>
      <c r="AM76" s="318"/>
      <c r="AN76" s="318"/>
      <c r="AO76" s="318"/>
      <c r="AP76" s="318"/>
      <c r="AQ76" s="318"/>
      <c r="AR76" s="318"/>
      <c r="AS76" s="318"/>
      <c r="AT76" s="318"/>
      <c r="AU76" s="318"/>
      <c r="AV76" s="318"/>
      <c r="AW76" s="318"/>
      <c r="AX76" s="318"/>
      <c r="AY76" s="318"/>
      <c r="AZ76" s="318"/>
      <c r="BA76" s="318"/>
      <c r="BB76" s="318"/>
      <c r="BC76" s="318"/>
      <c r="BD76" s="318"/>
      <c r="BE76" s="318"/>
      <c r="BF76" s="318"/>
      <c r="BG76" s="318"/>
      <c r="BH76" s="318"/>
      <c r="BI76" s="318"/>
      <c r="BJ76" s="318"/>
      <c r="BK76" s="318"/>
      <c r="BL76" s="318"/>
      <c r="BM76" s="318"/>
      <c r="BN76" s="318"/>
      <c r="BO76" s="318"/>
      <c r="BP76" s="318"/>
      <c r="BQ76" s="318"/>
      <c r="BR76" s="318"/>
      <c r="BS76" s="318"/>
      <c r="BT76" s="318"/>
      <c r="BU76" s="318"/>
      <c r="BV76" s="318"/>
      <c r="BW76" s="318"/>
      <c r="BX76" s="318"/>
      <c r="BY76" s="318"/>
      <c r="BZ76" s="318"/>
      <c r="CA76" s="318"/>
      <c r="CB76" s="318"/>
      <c r="CC76" s="318"/>
      <c r="CD76" s="318"/>
      <c r="CE76" s="318"/>
      <c r="CF76" s="318"/>
      <c r="CG76" s="318"/>
      <c r="CH76" s="318"/>
      <c r="CI76" s="318"/>
      <c r="CJ76" s="318"/>
      <c r="CK76" s="318"/>
      <c r="CL76" s="318"/>
      <c r="CM76" s="318"/>
      <c r="CN76" s="318"/>
      <c r="CO76" s="318"/>
      <c r="CP76" s="318"/>
      <c r="CQ76" s="318"/>
      <c r="CR76" s="318"/>
      <c r="CS76" s="318"/>
      <c r="CT76" s="318"/>
      <c r="CU76" s="318"/>
      <c r="CV76" s="318"/>
      <c r="CW76" s="318"/>
      <c r="CX76" s="318"/>
      <c r="CY76" s="318"/>
      <c r="CZ76" s="318"/>
      <c r="DA76" s="318"/>
      <c r="DB76" s="318"/>
      <c r="DC76" s="318"/>
      <c r="DD76" s="318"/>
      <c r="DE76" s="318"/>
      <c r="DF76" s="318"/>
      <c r="DG76" s="318"/>
      <c r="DH76" s="318"/>
      <c r="DI76" s="318"/>
      <c r="DJ76" s="318"/>
      <c r="DK76" s="318"/>
      <c r="DL76" s="318"/>
      <c r="DM76" s="318"/>
      <c r="DN76" s="318"/>
      <c r="DO76" s="318"/>
      <c r="DP76" s="318"/>
      <c r="DQ76" s="318"/>
      <c r="DR76" s="318"/>
      <c r="DS76" s="318"/>
      <c r="DT76" s="318"/>
      <c r="DU76" s="318"/>
      <c r="DV76" s="318"/>
      <c r="DW76" s="318"/>
      <c r="DX76" s="318"/>
      <c r="DY76" s="318"/>
      <c r="DZ76" s="318"/>
      <c r="EA76" s="318"/>
      <c r="EB76" s="318"/>
      <c r="EC76" s="318"/>
      <c r="ED76" s="318"/>
      <c r="EE76" s="318"/>
      <c r="EF76" s="318"/>
      <c r="EG76" s="318"/>
      <c r="EH76" s="318"/>
      <c r="EI76" s="318"/>
      <c r="EJ76" s="318"/>
      <c r="EK76" s="318"/>
      <c r="EL76" s="318"/>
      <c r="EM76" s="318"/>
      <c r="EN76" s="318"/>
      <c r="EO76" s="318"/>
      <c r="EP76" s="318"/>
      <c r="EQ76" s="318"/>
      <c r="ER76" s="318"/>
      <c r="ES76" s="318"/>
      <c r="ET76" s="318"/>
      <c r="EU76" s="318"/>
      <c r="EV76" s="318"/>
      <c r="EW76" s="318"/>
      <c r="EX76" s="318"/>
      <c r="EY76" s="318"/>
      <c r="EZ76" s="318"/>
      <c r="FA76" s="318"/>
      <c r="FB76" s="318"/>
      <c r="FC76" s="318"/>
      <c r="FD76" s="318"/>
      <c r="FE76" s="318"/>
      <c r="FF76" s="318"/>
      <c r="FG76" s="318"/>
      <c r="FH76" s="318"/>
      <c r="FI76" s="318"/>
      <c r="FJ76" s="318"/>
      <c r="FK76" s="318"/>
      <c r="FL76" s="318"/>
      <c r="FM76" s="318"/>
      <c r="FN76" s="318"/>
      <c r="FO76" s="318"/>
      <c r="FP76" s="318"/>
      <c r="FQ76" s="318"/>
      <c r="FR76" s="318"/>
      <c r="FS76" s="318"/>
      <c r="FT76" s="318"/>
      <c r="FU76" s="318"/>
      <c r="FV76" s="318"/>
      <c r="FW76" s="318"/>
      <c r="FX76" s="318"/>
      <c r="FY76" s="318"/>
      <c r="FZ76" s="318"/>
      <c r="GA76" s="318"/>
      <c r="GB76" s="318"/>
      <c r="GC76" s="318"/>
      <c r="GD76" s="318"/>
      <c r="GE76" s="318"/>
      <c r="GF76" s="318"/>
      <c r="GG76" s="318"/>
      <c r="GH76" s="318"/>
      <c r="GI76" s="318"/>
      <c r="GJ76" s="318"/>
      <c r="GK76" s="318"/>
      <c r="GL76" s="318"/>
      <c r="GM76" s="318"/>
      <c r="GN76" s="318"/>
      <c r="GO76" s="318"/>
      <c r="GP76" s="318"/>
      <c r="GQ76" s="318"/>
      <c r="GR76" s="318"/>
      <c r="GS76" s="318"/>
      <c r="GT76" s="318"/>
      <c r="GU76" s="318"/>
      <c r="GV76" s="318"/>
      <c r="GW76" s="318"/>
      <c r="GX76" s="318"/>
      <c r="GY76" s="318"/>
      <c r="GZ76" s="318"/>
      <c r="HA76" s="318"/>
      <c r="HB76" s="318"/>
      <c r="HC76" s="318"/>
      <c r="HD76" s="318"/>
      <c r="HE76" s="318"/>
      <c r="HF76" s="318"/>
      <c r="HG76" s="318"/>
      <c r="HH76" s="318"/>
      <c r="HI76" s="318"/>
      <c r="HJ76" s="318"/>
      <c r="HK76" s="318"/>
      <c r="HL76" s="318"/>
      <c r="HM76" s="318"/>
      <c r="HN76" s="318"/>
      <c r="HO76" s="318"/>
      <c r="HP76" s="318"/>
      <c r="HQ76" s="318"/>
      <c r="HR76" s="318"/>
      <c r="HS76" s="318"/>
      <c r="HT76" s="318"/>
      <c r="HU76" s="318"/>
      <c r="HV76" s="318"/>
      <c r="HW76" s="318"/>
      <c r="HX76" s="318"/>
      <c r="HY76" s="318"/>
      <c r="HZ76" s="318"/>
      <c r="IA76" s="318"/>
      <c r="IB76" s="318"/>
      <c r="IC76" s="318"/>
      <c r="ID76" s="318"/>
      <c r="IE76" s="318"/>
      <c r="IF76" s="318"/>
      <c r="IG76" s="318"/>
      <c r="IH76" s="318"/>
      <c r="II76" s="318"/>
      <c r="IJ76" s="318"/>
      <c r="IK76" s="318"/>
      <c r="IL76" s="318"/>
      <c r="IM76" s="318"/>
      <c r="IN76" s="318"/>
      <c r="IO76" s="318"/>
      <c r="IP76" s="318"/>
      <c r="IQ76" s="318"/>
      <c r="IR76" s="318"/>
      <c r="IS76" s="318"/>
      <c r="IT76" s="318"/>
      <c r="IU76" s="318"/>
      <c r="IV76" s="318"/>
    </row>
    <row r="77" spans="1:256" s="470" customFormat="1" ht="13.5" customHeight="1" thickBot="1" x14ac:dyDescent="0.25">
      <c r="A77" s="472"/>
      <c r="B77" s="34"/>
      <c r="C77" s="473"/>
      <c r="D77" s="474"/>
      <c r="E77" s="475"/>
      <c r="F77" s="476"/>
      <c r="G77" s="464"/>
      <c r="H77" s="464"/>
      <c r="I77" s="464"/>
      <c r="J77" s="464"/>
      <c r="K77" s="465"/>
      <c r="L77" s="10"/>
      <c r="M77" s="465"/>
      <c r="N77" s="465"/>
      <c r="O77" s="10"/>
      <c r="P77" s="4"/>
      <c r="Q77" s="4"/>
      <c r="R77" s="4"/>
      <c r="S77" s="4"/>
      <c r="T77" s="4"/>
      <c r="U77" s="4"/>
      <c r="V77" s="4"/>
      <c r="W77" s="4"/>
      <c r="X77" s="4"/>
      <c r="Y77" s="318"/>
      <c r="Z77" s="318"/>
      <c r="AA77" s="318"/>
      <c r="AB77" s="318"/>
      <c r="AC77" s="318"/>
      <c r="AD77" s="318"/>
      <c r="AE77" s="318"/>
      <c r="AF77" s="318"/>
      <c r="AG77" s="318"/>
      <c r="AH77" s="318"/>
      <c r="AI77" s="318"/>
      <c r="AJ77" s="318"/>
      <c r="AK77" s="318"/>
      <c r="AL77" s="318"/>
      <c r="AM77" s="318"/>
      <c r="AN77" s="318"/>
      <c r="AO77" s="318"/>
      <c r="AP77" s="318"/>
      <c r="AQ77" s="318"/>
      <c r="AR77" s="318"/>
      <c r="AS77" s="318"/>
      <c r="AT77" s="318"/>
      <c r="AU77" s="318"/>
      <c r="AV77" s="318"/>
      <c r="AW77" s="318"/>
      <c r="AX77" s="318"/>
      <c r="AY77" s="318"/>
      <c r="AZ77" s="318"/>
      <c r="BA77" s="318"/>
      <c r="BB77" s="318"/>
      <c r="BC77" s="318"/>
      <c r="BD77" s="318"/>
      <c r="BE77" s="318"/>
      <c r="BF77" s="318"/>
      <c r="BG77" s="318"/>
      <c r="BH77" s="318"/>
      <c r="BI77" s="318"/>
      <c r="BJ77" s="318"/>
      <c r="BK77" s="318"/>
      <c r="BL77" s="318"/>
      <c r="BM77" s="318"/>
      <c r="BN77" s="318"/>
      <c r="BO77" s="318"/>
      <c r="BP77" s="318"/>
      <c r="BQ77" s="318"/>
      <c r="BR77" s="318"/>
      <c r="BS77" s="318"/>
      <c r="BT77" s="318"/>
      <c r="BU77" s="318"/>
      <c r="BV77" s="318"/>
      <c r="BW77" s="318"/>
      <c r="BX77" s="318"/>
      <c r="BY77" s="318"/>
      <c r="BZ77" s="318"/>
      <c r="CA77" s="318"/>
      <c r="CB77" s="318"/>
      <c r="CC77" s="318"/>
      <c r="CD77" s="318"/>
      <c r="CE77" s="318"/>
      <c r="CF77" s="318"/>
      <c r="CG77" s="318"/>
      <c r="CH77" s="318"/>
      <c r="CI77" s="318"/>
      <c r="CJ77" s="318"/>
      <c r="CK77" s="318"/>
      <c r="CL77" s="318"/>
      <c r="CM77" s="318"/>
      <c r="CN77" s="318"/>
      <c r="CO77" s="318"/>
      <c r="CP77" s="318"/>
      <c r="CQ77" s="318"/>
      <c r="CR77" s="318"/>
      <c r="CS77" s="318"/>
      <c r="CT77" s="318"/>
      <c r="CU77" s="318"/>
      <c r="CV77" s="318"/>
      <c r="CW77" s="318"/>
      <c r="CX77" s="318"/>
      <c r="CY77" s="318"/>
      <c r="CZ77" s="318"/>
      <c r="DA77" s="318"/>
      <c r="DB77" s="318"/>
      <c r="DC77" s="318"/>
      <c r="DD77" s="318"/>
      <c r="DE77" s="318"/>
      <c r="DF77" s="318"/>
      <c r="DG77" s="318"/>
      <c r="DH77" s="318"/>
      <c r="DI77" s="318"/>
      <c r="DJ77" s="318"/>
      <c r="DK77" s="318"/>
      <c r="DL77" s="318"/>
      <c r="DM77" s="318"/>
      <c r="DN77" s="318"/>
      <c r="DO77" s="318"/>
      <c r="DP77" s="318"/>
      <c r="DQ77" s="318"/>
      <c r="DR77" s="318"/>
      <c r="DS77" s="318"/>
      <c r="DT77" s="318"/>
      <c r="DU77" s="318"/>
      <c r="DV77" s="318"/>
      <c r="DW77" s="318"/>
      <c r="DX77" s="318"/>
      <c r="DY77" s="318"/>
      <c r="DZ77" s="318"/>
      <c r="EA77" s="318"/>
      <c r="EB77" s="318"/>
      <c r="EC77" s="318"/>
      <c r="ED77" s="318"/>
      <c r="EE77" s="318"/>
      <c r="EF77" s="318"/>
      <c r="EG77" s="318"/>
      <c r="EH77" s="318"/>
      <c r="EI77" s="318"/>
      <c r="EJ77" s="318"/>
      <c r="EK77" s="318"/>
      <c r="EL77" s="318"/>
      <c r="EM77" s="318"/>
      <c r="EN77" s="318"/>
      <c r="EO77" s="318"/>
      <c r="EP77" s="318"/>
      <c r="EQ77" s="318"/>
      <c r="ER77" s="318"/>
      <c r="ES77" s="318"/>
      <c r="ET77" s="318"/>
      <c r="EU77" s="318"/>
      <c r="EV77" s="318"/>
      <c r="EW77" s="318"/>
      <c r="EX77" s="318"/>
      <c r="EY77" s="318"/>
      <c r="EZ77" s="318"/>
      <c r="FA77" s="318"/>
      <c r="FB77" s="318"/>
      <c r="FC77" s="318"/>
      <c r="FD77" s="318"/>
      <c r="FE77" s="318"/>
      <c r="FF77" s="318"/>
      <c r="FG77" s="318"/>
      <c r="FH77" s="318"/>
      <c r="FI77" s="318"/>
      <c r="FJ77" s="318"/>
      <c r="FK77" s="318"/>
      <c r="FL77" s="318"/>
      <c r="FM77" s="318"/>
      <c r="FN77" s="318"/>
      <c r="FO77" s="318"/>
      <c r="FP77" s="318"/>
      <c r="FQ77" s="318"/>
      <c r="FR77" s="318"/>
      <c r="FS77" s="318"/>
      <c r="FT77" s="318"/>
      <c r="FU77" s="318"/>
      <c r="FV77" s="318"/>
      <c r="FW77" s="318"/>
      <c r="FX77" s="318"/>
      <c r="FY77" s="318"/>
      <c r="FZ77" s="318"/>
      <c r="GA77" s="318"/>
      <c r="GB77" s="318"/>
      <c r="GC77" s="318"/>
      <c r="GD77" s="318"/>
      <c r="GE77" s="318"/>
      <c r="GF77" s="318"/>
      <c r="GG77" s="318"/>
      <c r="GH77" s="318"/>
      <c r="GI77" s="318"/>
      <c r="GJ77" s="318"/>
      <c r="GK77" s="318"/>
      <c r="GL77" s="318"/>
      <c r="GM77" s="318"/>
      <c r="GN77" s="318"/>
      <c r="GO77" s="318"/>
      <c r="GP77" s="318"/>
      <c r="GQ77" s="318"/>
      <c r="GR77" s="318"/>
      <c r="GS77" s="318"/>
      <c r="GT77" s="318"/>
      <c r="GU77" s="318"/>
      <c r="GV77" s="318"/>
      <c r="GW77" s="318"/>
      <c r="GX77" s="318"/>
      <c r="GY77" s="318"/>
      <c r="GZ77" s="318"/>
      <c r="HA77" s="318"/>
      <c r="HB77" s="318"/>
      <c r="HC77" s="318"/>
      <c r="HD77" s="318"/>
      <c r="HE77" s="318"/>
      <c r="HF77" s="318"/>
      <c r="HG77" s="318"/>
      <c r="HH77" s="318"/>
      <c r="HI77" s="318"/>
      <c r="HJ77" s="318"/>
      <c r="HK77" s="318"/>
      <c r="HL77" s="318"/>
      <c r="HM77" s="318"/>
      <c r="HN77" s="318"/>
      <c r="HO77" s="318"/>
      <c r="HP77" s="318"/>
      <c r="HQ77" s="318"/>
      <c r="HR77" s="318"/>
      <c r="HS77" s="318"/>
      <c r="HT77" s="318"/>
      <c r="HU77" s="318"/>
      <c r="HV77" s="318"/>
      <c r="HW77" s="318"/>
      <c r="HX77" s="318"/>
      <c r="HY77" s="318"/>
      <c r="HZ77" s="318"/>
      <c r="IA77" s="318"/>
      <c r="IB77" s="318"/>
      <c r="IC77" s="318"/>
      <c r="ID77" s="318"/>
      <c r="IE77" s="318"/>
      <c r="IF77" s="318"/>
      <c r="IG77" s="318"/>
      <c r="IH77" s="318"/>
      <c r="II77" s="318"/>
      <c r="IJ77" s="318"/>
      <c r="IK77" s="318"/>
      <c r="IL77" s="318"/>
      <c r="IM77" s="318"/>
      <c r="IN77" s="318"/>
      <c r="IO77" s="318"/>
      <c r="IP77" s="318"/>
      <c r="IQ77" s="318"/>
      <c r="IR77" s="318"/>
      <c r="IS77" s="318"/>
      <c r="IT77" s="318"/>
      <c r="IU77" s="318"/>
      <c r="IV77" s="318"/>
    </row>
    <row r="78" spans="1:256" s="470" customFormat="1" ht="13.5" customHeight="1" thickBot="1" x14ac:dyDescent="0.25">
      <c r="A78" s="472"/>
      <c r="B78" s="34"/>
      <c r="C78" s="473"/>
      <c r="D78" s="474"/>
      <c r="E78" s="475"/>
      <c r="F78" s="476"/>
      <c r="G78" s="464"/>
      <c r="H78" s="464"/>
      <c r="I78" s="464"/>
      <c r="J78" s="464"/>
      <c r="K78" s="465"/>
      <c r="L78" s="10"/>
      <c r="M78" s="465"/>
      <c r="N78" s="465"/>
      <c r="O78" s="10"/>
      <c r="P78" s="4"/>
      <c r="Q78" s="4"/>
      <c r="R78" s="4"/>
      <c r="S78" s="4"/>
      <c r="T78" s="4"/>
      <c r="U78" s="4"/>
      <c r="V78" s="4"/>
      <c r="W78" s="4"/>
      <c r="X78" s="4"/>
      <c r="Y78" s="318"/>
      <c r="Z78" s="318"/>
      <c r="AA78" s="318"/>
      <c r="AB78" s="318"/>
      <c r="AC78" s="318"/>
      <c r="AD78" s="318"/>
      <c r="AE78" s="318"/>
      <c r="AF78" s="318"/>
      <c r="AG78" s="318"/>
      <c r="AH78" s="318"/>
      <c r="AI78" s="318"/>
      <c r="AJ78" s="318"/>
      <c r="AK78" s="318"/>
      <c r="AL78" s="318"/>
      <c r="AM78" s="318"/>
      <c r="AN78" s="318"/>
      <c r="AO78" s="318"/>
      <c r="AP78" s="318"/>
      <c r="AQ78" s="318"/>
      <c r="AR78" s="318"/>
      <c r="AS78" s="318"/>
      <c r="AT78" s="318"/>
      <c r="AU78" s="318"/>
      <c r="AV78" s="318"/>
      <c r="AW78" s="318"/>
      <c r="AX78" s="318"/>
      <c r="AY78" s="318"/>
      <c r="AZ78" s="318"/>
      <c r="BA78" s="318"/>
      <c r="BB78" s="318"/>
      <c r="BC78" s="318"/>
      <c r="BD78" s="318"/>
      <c r="BE78" s="318"/>
      <c r="BF78" s="318"/>
      <c r="BG78" s="318"/>
      <c r="BH78" s="318"/>
      <c r="BI78" s="318"/>
      <c r="BJ78" s="318"/>
      <c r="BK78" s="318"/>
      <c r="BL78" s="318"/>
      <c r="BM78" s="318"/>
      <c r="BN78" s="318"/>
      <c r="BO78" s="318"/>
      <c r="BP78" s="318"/>
      <c r="BQ78" s="318"/>
      <c r="BR78" s="318"/>
      <c r="BS78" s="318"/>
      <c r="BT78" s="318"/>
      <c r="BU78" s="318"/>
      <c r="BV78" s="318"/>
      <c r="BW78" s="318"/>
      <c r="BX78" s="318"/>
      <c r="BY78" s="318"/>
      <c r="BZ78" s="318"/>
      <c r="CA78" s="318"/>
      <c r="CB78" s="318"/>
      <c r="CC78" s="318"/>
      <c r="CD78" s="318"/>
      <c r="CE78" s="318"/>
      <c r="CF78" s="318"/>
      <c r="CG78" s="318"/>
      <c r="CH78" s="318"/>
      <c r="CI78" s="318"/>
      <c r="CJ78" s="318"/>
      <c r="CK78" s="318"/>
      <c r="CL78" s="318"/>
      <c r="CM78" s="318"/>
      <c r="CN78" s="318"/>
      <c r="CO78" s="318"/>
      <c r="CP78" s="318"/>
      <c r="CQ78" s="318"/>
      <c r="CR78" s="318"/>
      <c r="CS78" s="318"/>
      <c r="CT78" s="318"/>
      <c r="CU78" s="318"/>
      <c r="CV78" s="318"/>
      <c r="CW78" s="318"/>
      <c r="CX78" s="318"/>
      <c r="CY78" s="318"/>
      <c r="CZ78" s="318"/>
      <c r="DA78" s="318"/>
      <c r="DB78" s="318"/>
      <c r="DC78" s="318"/>
      <c r="DD78" s="318"/>
      <c r="DE78" s="318"/>
      <c r="DF78" s="318"/>
      <c r="DG78" s="318"/>
      <c r="DH78" s="318"/>
      <c r="DI78" s="318"/>
      <c r="DJ78" s="318"/>
      <c r="DK78" s="318"/>
      <c r="DL78" s="318"/>
      <c r="DM78" s="318"/>
      <c r="DN78" s="318"/>
      <c r="DO78" s="318"/>
      <c r="DP78" s="318"/>
      <c r="DQ78" s="318"/>
      <c r="DR78" s="318"/>
      <c r="DS78" s="318"/>
      <c r="DT78" s="318"/>
      <c r="DU78" s="318"/>
      <c r="DV78" s="318"/>
      <c r="DW78" s="318"/>
      <c r="DX78" s="318"/>
      <c r="DY78" s="318"/>
      <c r="DZ78" s="318"/>
      <c r="EA78" s="318"/>
      <c r="EB78" s="318"/>
      <c r="EC78" s="318"/>
      <c r="ED78" s="318"/>
      <c r="EE78" s="318"/>
      <c r="EF78" s="318"/>
      <c r="EG78" s="318"/>
      <c r="EH78" s="318"/>
      <c r="EI78" s="318"/>
      <c r="EJ78" s="318"/>
      <c r="EK78" s="318"/>
      <c r="EL78" s="318"/>
      <c r="EM78" s="318"/>
      <c r="EN78" s="318"/>
      <c r="EO78" s="318"/>
      <c r="EP78" s="318"/>
      <c r="EQ78" s="318"/>
      <c r="ER78" s="318"/>
      <c r="ES78" s="318"/>
      <c r="ET78" s="318"/>
      <c r="EU78" s="318"/>
      <c r="EV78" s="318"/>
      <c r="EW78" s="318"/>
      <c r="EX78" s="318"/>
      <c r="EY78" s="318"/>
      <c r="EZ78" s="318"/>
      <c r="FA78" s="318"/>
      <c r="FB78" s="318"/>
      <c r="FC78" s="318"/>
      <c r="FD78" s="318"/>
      <c r="FE78" s="318"/>
      <c r="FF78" s="318"/>
      <c r="FG78" s="318"/>
      <c r="FH78" s="318"/>
      <c r="FI78" s="318"/>
      <c r="FJ78" s="318"/>
      <c r="FK78" s="318"/>
      <c r="FL78" s="318"/>
      <c r="FM78" s="318"/>
      <c r="FN78" s="318"/>
      <c r="FO78" s="318"/>
      <c r="FP78" s="318"/>
      <c r="FQ78" s="318"/>
      <c r="FR78" s="318"/>
      <c r="FS78" s="318"/>
      <c r="FT78" s="318"/>
      <c r="FU78" s="318"/>
      <c r="FV78" s="318"/>
      <c r="FW78" s="318"/>
      <c r="FX78" s="318"/>
      <c r="FY78" s="318"/>
      <c r="FZ78" s="318"/>
      <c r="GA78" s="318"/>
      <c r="GB78" s="318"/>
      <c r="GC78" s="318"/>
      <c r="GD78" s="318"/>
      <c r="GE78" s="318"/>
      <c r="GF78" s="318"/>
      <c r="GG78" s="318"/>
      <c r="GH78" s="318"/>
      <c r="GI78" s="318"/>
      <c r="GJ78" s="318"/>
      <c r="GK78" s="318"/>
      <c r="GL78" s="318"/>
      <c r="GM78" s="318"/>
      <c r="GN78" s="318"/>
      <c r="GO78" s="318"/>
      <c r="GP78" s="318"/>
      <c r="GQ78" s="318"/>
      <c r="GR78" s="318"/>
      <c r="GS78" s="318"/>
      <c r="GT78" s="318"/>
      <c r="GU78" s="318"/>
      <c r="GV78" s="318"/>
      <c r="GW78" s="318"/>
      <c r="GX78" s="318"/>
      <c r="GY78" s="318"/>
      <c r="GZ78" s="318"/>
      <c r="HA78" s="318"/>
      <c r="HB78" s="318"/>
      <c r="HC78" s="318"/>
      <c r="HD78" s="318"/>
      <c r="HE78" s="318"/>
      <c r="HF78" s="318"/>
      <c r="HG78" s="318"/>
      <c r="HH78" s="318"/>
      <c r="HI78" s="318"/>
      <c r="HJ78" s="318"/>
      <c r="HK78" s="318"/>
      <c r="HL78" s="318"/>
      <c r="HM78" s="318"/>
      <c r="HN78" s="318"/>
      <c r="HO78" s="318"/>
      <c r="HP78" s="318"/>
      <c r="HQ78" s="318"/>
      <c r="HR78" s="318"/>
      <c r="HS78" s="318"/>
      <c r="HT78" s="318"/>
      <c r="HU78" s="318"/>
      <c r="HV78" s="318"/>
      <c r="HW78" s="318"/>
      <c r="HX78" s="318"/>
      <c r="HY78" s="318"/>
      <c r="HZ78" s="318"/>
      <c r="IA78" s="318"/>
      <c r="IB78" s="318"/>
      <c r="IC78" s="318"/>
      <c r="ID78" s="318"/>
      <c r="IE78" s="318"/>
      <c r="IF78" s="318"/>
      <c r="IG78" s="318"/>
      <c r="IH78" s="318"/>
      <c r="II78" s="318"/>
      <c r="IJ78" s="318"/>
      <c r="IK78" s="318"/>
      <c r="IL78" s="318"/>
      <c r="IM78" s="318"/>
      <c r="IN78" s="318"/>
      <c r="IO78" s="318"/>
      <c r="IP78" s="318"/>
      <c r="IQ78" s="318"/>
      <c r="IR78" s="318"/>
      <c r="IS78" s="318"/>
      <c r="IT78" s="318"/>
      <c r="IU78" s="318"/>
      <c r="IV78" s="318"/>
    </row>
    <row r="79" spans="1:256" s="470" customFormat="1" ht="13.5" customHeight="1" thickBot="1" x14ac:dyDescent="0.25">
      <c r="A79" s="472"/>
      <c r="B79" s="34"/>
      <c r="C79" s="473"/>
      <c r="D79" s="474"/>
      <c r="E79" s="475"/>
      <c r="F79" s="476"/>
      <c r="G79" s="464"/>
      <c r="H79" s="464"/>
      <c r="I79" s="464"/>
      <c r="J79" s="464"/>
      <c r="K79" s="465"/>
      <c r="L79" s="10"/>
      <c r="M79" s="465"/>
      <c r="N79" s="465"/>
      <c r="O79" s="10"/>
      <c r="P79" s="4"/>
      <c r="Q79" s="4"/>
      <c r="R79" s="4"/>
      <c r="S79" s="4"/>
      <c r="T79" s="4"/>
      <c r="U79" s="4"/>
      <c r="V79" s="4"/>
      <c r="W79" s="4"/>
      <c r="X79" s="4"/>
      <c r="Y79" s="318"/>
      <c r="Z79" s="318"/>
      <c r="AA79" s="318"/>
      <c r="AB79" s="318"/>
      <c r="AC79" s="318"/>
      <c r="AD79" s="318"/>
      <c r="AE79" s="318"/>
      <c r="AF79" s="318"/>
      <c r="AG79" s="318"/>
      <c r="AH79" s="318"/>
      <c r="AI79" s="318"/>
      <c r="AJ79" s="318"/>
      <c r="AK79" s="318"/>
      <c r="AL79" s="318"/>
      <c r="AM79" s="318"/>
      <c r="AN79" s="318"/>
      <c r="AO79" s="318"/>
      <c r="AP79" s="318"/>
      <c r="AQ79" s="318"/>
      <c r="AR79" s="318"/>
      <c r="AS79" s="318"/>
      <c r="AT79" s="318"/>
      <c r="AU79" s="318"/>
      <c r="AV79" s="318"/>
      <c r="AW79" s="318"/>
      <c r="AX79" s="318"/>
      <c r="AY79" s="318"/>
      <c r="AZ79" s="318"/>
      <c r="BA79" s="318"/>
      <c r="BB79" s="318"/>
      <c r="BC79" s="318"/>
      <c r="BD79" s="318"/>
      <c r="BE79" s="318"/>
      <c r="BF79" s="318"/>
      <c r="BG79" s="318"/>
      <c r="BH79" s="318"/>
      <c r="BI79" s="318"/>
      <c r="BJ79" s="318"/>
      <c r="BK79" s="318"/>
      <c r="BL79" s="318"/>
      <c r="BM79" s="318"/>
      <c r="BN79" s="318"/>
      <c r="BO79" s="318"/>
      <c r="BP79" s="318"/>
      <c r="BQ79" s="318"/>
      <c r="BR79" s="318"/>
      <c r="BS79" s="318"/>
      <c r="BT79" s="318"/>
      <c r="BU79" s="318"/>
      <c r="BV79" s="318"/>
      <c r="BW79" s="318"/>
      <c r="BX79" s="318"/>
      <c r="BY79" s="318"/>
      <c r="BZ79" s="318"/>
      <c r="CA79" s="318"/>
      <c r="CB79" s="318"/>
      <c r="CC79" s="318"/>
      <c r="CD79" s="318"/>
      <c r="CE79" s="318"/>
      <c r="CF79" s="318"/>
      <c r="CG79" s="318"/>
      <c r="CH79" s="318"/>
      <c r="CI79" s="318"/>
      <c r="CJ79" s="318"/>
      <c r="CK79" s="318"/>
      <c r="CL79" s="318"/>
      <c r="CM79" s="318"/>
      <c r="CN79" s="318"/>
      <c r="CO79" s="318"/>
      <c r="CP79" s="318"/>
      <c r="CQ79" s="318"/>
      <c r="CR79" s="318"/>
      <c r="CS79" s="318"/>
      <c r="CT79" s="318"/>
      <c r="CU79" s="318"/>
      <c r="CV79" s="318"/>
      <c r="CW79" s="318"/>
      <c r="CX79" s="318"/>
      <c r="CY79" s="318"/>
      <c r="CZ79" s="318"/>
      <c r="DA79" s="318"/>
      <c r="DB79" s="318"/>
      <c r="DC79" s="318"/>
      <c r="DD79" s="318"/>
      <c r="DE79" s="318"/>
      <c r="DF79" s="318"/>
      <c r="DG79" s="318"/>
      <c r="DH79" s="318"/>
      <c r="DI79" s="318"/>
      <c r="DJ79" s="318"/>
      <c r="DK79" s="318"/>
      <c r="DL79" s="318"/>
      <c r="DM79" s="318"/>
      <c r="DN79" s="318"/>
      <c r="DO79" s="318"/>
      <c r="DP79" s="318"/>
      <c r="DQ79" s="318"/>
      <c r="DR79" s="318"/>
      <c r="DS79" s="318"/>
      <c r="DT79" s="318"/>
      <c r="DU79" s="318"/>
      <c r="DV79" s="318"/>
      <c r="DW79" s="318"/>
      <c r="DX79" s="318"/>
      <c r="DY79" s="318"/>
      <c r="DZ79" s="318"/>
      <c r="EA79" s="318"/>
      <c r="EB79" s="318"/>
      <c r="EC79" s="318"/>
      <c r="ED79" s="318"/>
      <c r="EE79" s="318"/>
      <c r="EF79" s="318"/>
      <c r="EG79" s="318"/>
      <c r="EH79" s="318"/>
      <c r="EI79" s="318"/>
      <c r="EJ79" s="318"/>
      <c r="EK79" s="318"/>
      <c r="EL79" s="318"/>
      <c r="EM79" s="318"/>
      <c r="EN79" s="318"/>
      <c r="EO79" s="318"/>
      <c r="EP79" s="318"/>
      <c r="EQ79" s="318"/>
      <c r="ER79" s="318"/>
      <c r="ES79" s="318"/>
      <c r="ET79" s="318"/>
      <c r="EU79" s="318"/>
      <c r="EV79" s="318"/>
      <c r="EW79" s="318"/>
      <c r="EX79" s="318"/>
      <c r="EY79" s="318"/>
      <c r="EZ79" s="318"/>
      <c r="FA79" s="318"/>
      <c r="FB79" s="318"/>
      <c r="FC79" s="318"/>
      <c r="FD79" s="318"/>
      <c r="FE79" s="318"/>
      <c r="FF79" s="318"/>
      <c r="FG79" s="318"/>
      <c r="FH79" s="318"/>
      <c r="FI79" s="318"/>
      <c r="FJ79" s="318"/>
      <c r="FK79" s="318"/>
      <c r="FL79" s="318"/>
      <c r="FM79" s="318"/>
      <c r="FN79" s="318"/>
      <c r="FO79" s="318"/>
      <c r="FP79" s="318"/>
      <c r="FQ79" s="318"/>
      <c r="FR79" s="318"/>
      <c r="FS79" s="318"/>
      <c r="FT79" s="318"/>
      <c r="FU79" s="318"/>
      <c r="FV79" s="318"/>
      <c r="FW79" s="318"/>
      <c r="FX79" s="318"/>
      <c r="FY79" s="318"/>
      <c r="FZ79" s="318"/>
      <c r="GA79" s="318"/>
      <c r="GB79" s="318"/>
      <c r="GC79" s="318"/>
      <c r="GD79" s="318"/>
      <c r="GE79" s="318"/>
      <c r="GF79" s="318"/>
      <c r="GG79" s="318"/>
      <c r="GH79" s="318"/>
      <c r="GI79" s="318"/>
      <c r="GJ79" s="318"/>
      <c r="GK79" s="318"/>
      <c r="GL79" s="318"/>
      <c r="GM79" s="318"/>
      <c r="GN79" s="318"/>
      <c r="GO79" s="318"/>
      <c r="GP79" s="318"/>
      <c r="GQ79" s="318"/>
      <c r="GR79" s="318"/>
      <c r="GS79" s="318"/>
      <c r="GT79" s="318"/>
      <c r="GU79" s="318"/>
      <c r="GV79" s="318"/>
      <c r="GW79" s="318"/>
      <c r="GX79" s="318"/>
      <c r="GY79" s="318"/>
      <c r="GZ79" s="318"/>
      <c r="HA79" s="318"/>
      <c r="HB79" s="318"/>
      <c r="HC79" s="318"/>
      <c r="HD79" s="318"/>
      <c r="HE79" s="318"/>
      <c r="HF79" s="318"/>
      <c r="HG79" s="318"/>
      <c r="HH79" s="318"/>
      <c r="HI79" s="318"/>
      <c r="HJ79" s="318"/>
      <c r="HK79" s="318"/>
      <c r="HL79" s="318"/>
      <c r="HM79" s="318"/>
      <c r="HN79" s="318"/>
      <c r="HO79" s="318"/>
      <c r="HP79" s="318"/>
      <c r="HQ79" s="318"/>
      <c r="HR79" s="318"/>
      <c r="HS79" s="318"/>
      <c r="HT79" s="318"/>
      <c r="HU79" s="318"/>
      <c r="HV79" s="318"/>
      <c r="HW79" s="318"/>
      <c r="HX79" s="318"/>
      <c r="HY79" s="318"/>
      <c r="HZ79" s="318"/>
      <c r="IA79" s="318"/>
      <c r="IB79" s="318"/>
      <c r="IC79" s="318"/>
      <c r="ID79" s="318"/>
      <c r="IE79" s="318"/>
      <c r="IF79" s="318"/>
      <c r="IG79" s="318"/>
      <c r="IH79" s="318"/>
      <c r="II79" s="318"/>
      <c r="IJ79" s="318"/>
      <c r="IK79" s="318"/>
      <c r="IL79" s="318"/>
      <c r="IM79" s="318"/>
      <c r="IN79" s="318"/>
      <c r="IO79" s="318"/>
      <c r="IP79" s="318"/>
      <c r="IQ79" s="318"/>
      <c r="IR79" s="318"/>
      <c r="IS79" s="318"/>
      <c r="IT79" s="318"/>
      <c r="IU79" s="318"/>
      <c r="IV79" s="318"/>
    </row>
    <row r="80" spans="1:256" s="470" customFormat="1" ht="13.5" customHeight="1" thickBot="1" x14ac:dyDescent="0.25">
      <c r="A80" s="472"/>
      <c r="B80" s="34"/>
      <c r="C80" s="473"/>
      <c r="D80" s="474"/>
      <c r="E80" s="475"/>
      <c r="F80" s="476"/>
      <c r="G80" s="464"/>
      <c r="H80" s="464"/>
      <c r="I80" s="464"/>
      <c r="J80" s="464"/>
      <c r="K80" s="465"/>
      <c r="L80" s="10"/>
      <c r="M80" s="465"/>
      <c r="N80" s="465"/>
      <c r="O80" s="10"/>
      <c r="P80" s="4"/>
      <c r="Q80" s="4"/>
      <c r="R80" s="4"/>
      <c r="S80" s="4"/>
      <c r="T80" s="4"/>
      <c r="U80" s="4"/>
      <c r="V80" s="4"/>
      <c r="W80" s="4"/>
      <c r="X80" s="4"/>
      <c r="Y80" s="318"/>
      <c r="Z80" s="318"/>
      <c r="AA80" s="318"/>
      <c r="AB80" s="318"/>
      <c r="AC80" s="318"/>
      <c r="AD80" s="318"/>
      <c r="AE80" s="318"/>
      <c r="AF80" s="318"/>
      <c r="AG80" s="318"/>
      <c r="AH80" s="318"/>
      <c r="AI80" s="318"/>
      <c r="AJ80" s="318"/>
      <c r="AK80" s="318"/>
      <c r="AL80" s="318"/>
      <c r="AM80" s="318"/>
      <c r="AN80" s="318"/>
      <c r="AO80" s="318"/>
      <c r="AP80" s="318"/>
      <c r="AQ80" s="318"/>
      <c r="AR80" s="318"/>
      <c r="AS80" s="318"/>
      <c r="AT80" s="318"/>
      <c r="AU80" s="318"/>
      <c r="AV80" s="318"/>
      <c r="AW80" s="318"/>
      <c r="AX80" s="318"/>
      <c r="AY80" s="318"/>
      <c r="AZ80" s="318"/>
      <c r="BA80" s="318"/>
      <c r="BB80" s="318"/>
      <c r="BC80" s="318"/>
      <c r="BD80" s="318"/>
      <c r="BE80" s="318"/>
      <c r="BF80" s="318"/>
      <c r="BG80" s="318"/>
      <c r="BH80" s="318"/>
      <c r="BI80" s="318"/>
      <c r="BJ80" s="318"/>
      <c r="BK80" s="318"/>
      <c r="BL80" s="318"/>
      <c r="BM80" s="318"/>
      <c r="BN80" s="318"/>
      <c r="BO80" s="318"/>
      <c r="BP80" s="318"/>
      <c r="BQ80" s="318"/>
      <c r="BR80" s="318"/>
      <c r="BS80" s="318"/>
      <c r="BT80" s="318"/>
      <c r="BU80" s="318"/>
      <c r="BV80" s="318"/>
      <c r="BW80" s="318"/>
      <c r="BX80" s="318"/>
      <c r="BY80" s="318"/>
      <c r="BZ80" s="318"/>
      <c r="CA80" s="318"/>
      <c r="CB80" s="318"/>
      <c r="CC80" s="318"/>
      <c r="CD80" s="318"/>
      <c r="CE80" s="318"/>
      <c r="CF80" s="318"/>
      <c r="CG80" s="318"/>
      <c r="CH80" s="318"/>
      <c r="CI80" s="318"/>
      <c r="CJ80" s="318"/>
      <c r="CK80" s="318"/>
      <c r="CL80" s="318"/>
      <c r="CM80" s="318"/>
      <c r="CN80" s="318"/>
      <c r="CO80" s="318"/>
      <c r="CP80" s="318"/>
      <c r="CQ80" s="318"/>
      <c r="CR80" s="318"/>
      <c r="CS80" s="318"/>
      <c r="CT80" s="318"/>
      <c r="CU80" s="318"/>
      <c r="CV80" s="318"/>
      <c r="CW80" s="318"/>
      <c r="CX80" s="318"/>
      <c r="CY80" s="318"/>
      <c r="CZ80" s="318"/>
      <c r="DA80" s="318"/>
      <c r="DB80" s="318"/>
      <c r="DC80" s="318"/>
      <c r="DD80" s="318"/>
      <c r="DE80" s="318"/>
      <c r="DF80" s="318"/>
      <c r="DG80" s="318"/>
      <c r="DH80" s="318"/>
      <c r="DI80" s="318"/>
      <c r="DJ80" s="318"/>
      <c r="DK80" s="318"/>
      <c r="DL80" s="318"/>
      <c r="DM80" s="318"/>
      <c r="DN80" s="318"/>
      <c r="DO80" s="318"/>
      <c r="DP80" s="318"/>
      <c r="DQ80" s="318"/>
      <c r="DR80" s="318"/>
      <c r="DS80" s="318"/>
      <c r="DT80" s="318"/>
      <c r="DU80" s="318"/>
      <c r="DV80" s="318"/>
      <c r="DW80" s="318"/>
      <c r="DX80" s="318"/>
      <c r="DY80" s="318"/>
      <c r="DZ80" s="318"/>
      <c r="EA80" s="318"/>
      <c r="EB80" s="318"/>
      <c r="EC80" s="318"/>
      <c r="ED80" s="318"/>
      <c r="EE80" s="318"/>
      <c r="EF80" s="318"/>
      <c r="EG80" s="318"/>
      <c r="EH80" s="318"/>
      <c r="EI80" s="318"/>
      <c r="EJ80" s="318"/>
      <c r="EK80" s="318"/>
      <c r="EL80" s="318"/>
      <c r="EM80" s="318"/>
      <c r="EN80" s="318"/>
      <c r="EO80" s="318"/>
      <c r="EP80" s="318"/>
      <c r="EQ80" s="318"/>
      <c r="ER80" s="318"/>
      <c r="ES80" s="318"/>
      <c r="ET80" s="318"/>
      <c r="EU80" s="318"/>
      <c r="EV80" s="318"/>
      <c r="EW80" s="318"/>
      <c r="EX80" s="318"/>
      <c r="EY80" s="318"/>
      <c r="EZ80" s="318"/>
      <c r="FA80" s="318"/>
      <c r="FB80" s="318"/>
      <c r="FC80" s="318"/>
      <c r="FD80" s="318"/>
      <c r="FE80" s="318"/>
      <c r="FF80" s="318"/>
      <c r="FG80" s="318"/>
      <c r="FH80" s="318"/>
      <c r="FI80" s="318"/>
      <c r="FJ80" s="318"/>
      <c r="FK80" s="318"/>
      <c r="FL80" s="318"/>
      <c r="FM80" s="318"/>
      <c r="FN80" s="318"/>
      <c r="FO80" s="318"/>
      <c r="FP80" s="318"/>
      <c r="FQ80" s="318"/>
      <c r="FR80" s="318"/>
      <c r="FS80" s="318"/>
      <c r="FT80" s="318"/>
      <c r="FU80" s="318"/>
      <c r="FV80" s="318"/>
      <c r="FW80" s="318"/>
      <c r="FX80" s="318"/>
      <c r="FY80" s="318"/>
      <c r="FZ80" s="318"/>
      <c r="GA80" s="318"/>
      <c r="GB80" s="318"/>
      <c r="GC80" s="318"/>
      <c r="GD80" s="318"/>
      <c r="GE80" s="318"/>
      <c r="GF80" s="318"/>
      <c r="GG80" s="318"/>
      <c r="GH80" s="318"/>
      <c r="GI80" s="318"/>
      <c r="GJ80" s="318"/>
      <c r="GK80" s="318"/>
      <c r="GL80" s="318"/>
      <c r="GM80" s="318"/>
      <c r="GN80" s="318"/>
      <c r="GO80" s="318"/>
      <c r="GP80" s="318"/>
      <c r="GQ80" s="318"/>
      <c r="GR80" s="318"/>
      <c r="GS80" s="318"/>
      <c r="GT80" s="318"/>
      <c r="GU80" s="318"/>
      <c r="GV80" s="318"/>
      <c r="GW80" s="318"/>
      <c r="GX80" s="318"/>
      <c r="GY80" s="318"/>
      <c r="GZ80" s="318"/>
      <c r="HA80" s="318"/>
      <c r="HB80" s="318"/>
      <c r="HC80" s="318"/>
      <c r="HD80" s="318"/>
      <c r="HE80" s="318"/>
      <c r="HF80" s="318"/>
      <c r="HG80" s="318"/>
      <c r="HH80" s="318"/>
      <c r="HI80" s="318"/>
      <c r="HJ80" s="318"/>
      <c r="HK80" s="318"/>
      <c r="HL80" s="318"/>
      <c r="HM80" s="318"/>
      <c r="HN80" s="318"/>
      <c r="HO80" s="318"/>
      <c r="HP80" s="318"/>
      <c r="HQ80" s="318"/>
      <c r="HR80" s="318"/>
      <c r="HS80" s="318"/>
      <c r="HT80" s="318"/>
      <c r="HU80" s="318"/>
      <c r="HV80" s="318"/>
      <c r="HW80" s="318"/>
      <c r="HX80" s="318"/>
      <c r="HY80" s="318"/>
      <c r="HZ80" s="318"/>
      <c r="IA80" s="318"/>
      <c r="IB80" s="318"/>
      <c r="IC80" s="318"/>
      <c r="ID80" s="318"/>
      <c r="IE80" s="318"/>
      <c r="IF80" s="318"/>
      <c r="IG80" s="318"/>
      <c r="IH80" s="318"/>
      <c r="II80" s="318"/>
      <c r="IJ80" s="318"/>
      <c r="IK80" s="318"/>
      <c r="IL80" s="318"/>
      <c r="IM80" s="318"/>
      <c r="IN80" s="318"/>
      <c r="IO80" s="318"/>
      <c r="IP80" s="318"/>
      <c r="IQ80" s="318"/>
      <c r="IR80" s="318"/>
      <c r="IS80" s="318"/>
      <c r="IT80" s="318"/>
      <c r="IU80" s="318"/>
      <c r="IV80" s="318"/>
    </row>
    <row r="81" spans="1:256" s="470" customFormat="1" ht="13.5" customHeight="1" thickBot="1" x14ac:dyDescent="0.25">
      <c r="A81" s="472"/>
      <c r="B81" s="34"/>
      <c r="C81" s="473"/>
      <c r="D81" s="474"/>
      <c r="E81" s="475"/>
      <c r="F81" s="476"/>
      <c r="G81" s="464"/>
      <c r="H81" s="464"/>
      <c r="I81" s="464"/>
      <c r="J81" s="464"/>
      <c r="K81" s="465"/>
      <c r="L81" s="10"/>
      <c r="M81" s="465"/>
      <c r="N81" s="465"/>
      <c r="O81" s="10"/>
      <c r="P81" s="4"/>
      <c r="Q81" s="4"/>
      <c r="R81" s="4"/>
      <c r="S81" s="4"/>
      <c r="T81" s="4"/>
      <c r="U81" s="4"/>
      <c r="V81" s="4"/>
      <c r="W81" s="4"/>
      <c r="X81" s="4"/>
      <c r="Y81" s="318"/>
      <c r="Z81" s="318"/>
      <c r="AA81" s="318"/>
      <c r="AB81" s="318"/>
      <c r="AC81" s="318"/>
      <c r="AD81" s="318"/>
      <c r="AE81" s="318"/>
      <c r="AF81" s="318"/>
      <c r="AG81" s="318"/>
      <c r="AH81" s="318"/>
      <c r="AI81" s="318"/>
      <c r="AJ81" s="318"/>
      <c r="AK81" s="318"/>
      <c r="AL81" s="318"/>
      <c r="AM81" s="318"/>
      <c r="AN81" s="318"/>
      <c r="AO81" s="318"/>
      <c r="AP81" s="318"/>
      <c r="AQ81" s="318"/>
      <c r="AR81" s="318"/>
      <c r="AS81" s="318"/>
      <c r="AT81" s="318"/>
      <c r="AU81" s="318"/>
      <c r="AV81" s="318"/>
      <c r="AW81" s="318"/>
      <c r="AX81" s="318"/>
      <c r="AY81" s="318"/>
      <c r="AZ81" s="318"/>
      <c r="BA81" s="318"/>
      <c r="BB81" s="318"/>
      <c r="BC81" s="318"/>
      <c r="BD81" s="318"/>
      <c r="BE81" s="318"/>
      <c r="BF81" s="318"/>
      <c r="BG81" s="318"/>
      <c r="BH81" s="318"/>
      <c r="BI81" s="318"/>
      <c r="BJ81" s="318"/>
      <c r="BK81" s="318"/>
      <c r="BL81" s="318"/>
      <c r="BM81" s="318"/>
      <c r="BN81" s="318"/>
      <c r="BO81" s="318"/>
      <c r="BP81" s="318"/>
      <c r="BQ81" s="318"/>
      <c r="BR81" s="318"/>
      <c r="BS81" s="318"/>
      <c r="BT81" s="318"/>
      <c r="BU81" s="318"/>
      <c r="BV81" s="318"/>
      <c r="BW81" s="318"/>
      <c r="BX81" s="318"/>
      <c r="BY81" s="318"/>
      <c r="BZ81" s="318"/>
      <c r="CA81" s="318"/>
      <c r="CB81" s="318"/>
      <c r="CC81" s="318"/>
      <c r="CD81" s="318"/>
      <c r="CE81" s="318"/>
      <c r="CF81" s="318"/>
      <c r="CG81" s="318"/>
      <c r="CH81" s="318"/>
      <c r="CI81" s="318"/>
      <c r="CJ81" s="318"/>
      <c r="CK81" s="318"/>
      <c r="CL81" s="318"/>
      <c r="CM81" s="318"/>
      <c r="CN81" s="318"/>
      <c r="CO81" s="318"/>
      <c r="CP81" s="318"/>
      <c r="CQ81" s="318"/>
      <c r="CR81" s="318"/>
      <c r="CS81" s="318"/>
      <c r="CT81" s="318"/>
      <c r="CU81" s="318"/>
      <c r="CV81" s="318"/>
      <c r="CW81" s="318"/>
      <c r="CX81" s="318"/>
      <c r="CY81" s="318"/>
      <c r="CZ81" s="318"/>
      <c r="DA81" s="318"/>
      <c r="DB81" s="318"/>
      <c r="DC81" s="318"/>
      <c r="DD81" s="318"/>
      <c r="DE81" s="318"/>
      <c r="DF81" s="318"/>
      <c r="DG81" s="318"/>
      <c r="DH81" s="318"/>
      <c r="DI81" s="318"/>
      <c r="DJ81" s="318"/>
      <c r="DK81" s="318"/>
      <c r="DL81" s="318"/>
      <c r="DM81" s="318"/>
      <c r="DN81" s="318"/>
      <c r="DO81" s="318"/>
      <c r="DP81" s="318"/>
      <c r="DQ81" s="318"/>
      <c r="DR81" s="318"/>
      <c r="DS81" s="318"/>
      <c r="DT81" s="318"/>
      <c r="DU81" s="318"/>
      <c r="DV81" s="318"/>
      <c r="DW81" s="318"/>
      <c r="DX81" s="318"/>
      <c r="DY81" s="318"/>
      <c r="DZ81" s="318"/>
      <c r="EA81" s="318"/>
      <c r="EB81" s="318"/>
      <c r="EC81" s="318"/>
      <c r="ED81" s="318"/>
      <c r="EE81" s="318"/>
      <c r="EF81" s="318"/>
      <c r="EG81" s="318"/>
      <c r="EH81" s="318"/>
      <c r="EI81" s="318"/>
      <c r="EJ81" s="318"/>
      <c r="EK81" s="318"/>
      <c r="EL81" s="318"/>
      <c r="EM81" s="318"/>
      <c r="EN81" s="318"/>
      <c r="EO81" s="318"/>
      <c r="EP81" s="318"/>
      <c r="EQ81" s="318"/>
      <c r="ER81" s="318"/>
      <c r="ES81" s="318"/>
      <c r="ET81" s="318"/>
      <c r="EU81" s="318"/>
      <c r="EV81" s="318"/>
      <c r="EW81" s="318"/>
      <c r="EX81" s="318"/>
      <c r="EY81" s="318"/>
      <c r="EZ81" s="318"/>
      <c r="FA81" s="318"/>
      <c r="FB81" s="318"/>
      <c r="FC81" s="318"/>
      <c r="FD81" s="318"/>
      <c r="FE81" s="318"/>
      <c r="FF81" s="318"/>
      <c r="FG81" s="318"/>
      <c r="FH81" s="318"/>
      <c r="FI81" s="318"/>
      <c r="FJ81" s="318"/>
      <c r="FK81" s="318"/>
      <c r="FL81" s="318"/>
      <c r="FM81" s="318"/>
      <c r="FN81" s="318"/>
      <c r="FO81" s="318"/>
      <c r="FP81" s="318"/>
      <c r="FQ81" s="318"/>
      <c r="FR81" s="318"/>
      <c r="FS81" s="318"/>
      <c r="FT81" s="318"/>
      <c r="FU81" s="318"/>
      <c r="FV81" s="318"/>
      <c r="FW81" s="318"/>
      <c r="FX81" s="318"/>
      <c r="FY81" s="318"/>
      <c r="FZ81" s="318"/>
      <c r="GA81" s="318"/>
      <c r="GB81" s="318"/>
      <c r="GC81" s="318"/>
      <c r="GD81" s="318"/>
      <c r="GE81" s="318"/>
      <c r="GF81" s="318"/>
      <c r="GG81" s="318"/>
      <c r="GH81" s="318"/>
      <c r="GI81" s="318"/>
      <c r="GJ81" s="318"/>
      <c r="GK81" s="318"/>
      <c r="GL81" s="318"/>
      <c r="GM81" s="318"/>
      <c r="GN81" s="318"/>
      <c r="GO81" s="318"/>
      <c r="GP81" s="318"/>
      <c r="GQ81" s="318"/>
      <c r="GR81" s="318"/>
      <c r="GS81" s="318"/>
      <c r="GT81" s="318"/>
      <c r="GU81" s="318"/>
      <c r="GV81" s="318"/>
      <c r="GW81" s="318"/>
      <c r="GX81" s="318"/>
      <c r="GY81" s="318"/>
      <c r="GZ81" s="318"/>
      <c r="HA81" s="318"/>
      <c r="HB81" s="318"/>
      <c r="HC81" s="318"/>
      <c r="HD81" s="318"/>
      <c r="HE81" s="318"/>
      <c r="HF81" s="318"/>
      <c r="HG81" s="318"/>
      <c r="HH81" s="318"/>
      <c r="HI81" s="318"/>
      <c r="HJ81" s="318"/>
      <c r="HK81" s="318"/>
      <c r="HL81" s="318"/>
      <c r="HM81" s="318"/>
      <c r="HN81" s="318"/>
      <c r="HO81" s="318"/>
      <c r="HP81" s="318"/>
      <c r="HQ81" s="318"/>
      <c r="HR81" s="318"/>
      <c r="HS81" s="318"/>
      <c r="HT81" s="318"/>
      <c r="HU81" s="318"/>
      <c r="HV81" s="318"/>
      <c r="HW81" s="318"/>
      <c r="HX81" s="318"/>
      <c r="HY81" s="318"/>
      <c r="HZ81" s="318"/>
      <c r="IA81" s="318"/>
      <c r="IB81" s="318"/>
      <c r="IC81" s="318"/>
      <c r="ID81" s="318"/>
      <c r="IE81" s="318"/>
      <c r="IF81" s="318"/>
      <c r="IG81" s="318"/>
      <c r="IH81" s="318"/>
      <c r="II81" s="318"/>
      <c r="IJ81" s="318"/>
      <c r="IK81" s="318"/>
      <c r="IL81" s="318"/>
      <c r="IM81" s="318"/>
      <c r="IN81" s="318"/>
      <c r="IO81" s="318"/>
      <c r="IP81" s="318"/>
      <c r="IQ81" s="318"/>
      <c r="IR81" s="318"/>
      <c r="IS81" s="318"/>
      <c r="IT81" s="318"/>
      <c r="IU81" s="318"/>
      <c r="IV81" s="318"/>
    </row>
    <row r="82" spans="1:256" s="470" customFormat="1" ht="13.5" customHeight="1" thickBot="1" x14ac:dyDescent="0.25">
      <c r="A82" s="472"/>
      <c r="B82" s="34"/>
      <c r="C82" s="473"/>
      <c r="D82" s="474"/>
      <c r="E82" s="475"/>
      <c r="F82" s="476"/>
      <c r="G82" s="464"/>
      <c r="H82" s="464"/>
      <c r="I82" s="464"/>
      <c r="J82" s="464"/>
      <c r="K82" s="465"/>
      <c r="L82" s="10"/>
      <c r="M82" s="465"/>
      <c r="N82" s="465"/>
      <c r="O82" s="10"/>
      <c r="P82" s="4"/>
      <c r="Q82" s="4"/>
      <c r="R82" s="4"/>
      <c r="S82" s="4"/>
      <c r="T82" s="4"/>
      <c r="U82" s="4"/>
      <c r="V82" s="4"/>
      <c r="W82" s="4"/>
      <c r="X82" s="4"/>
      <c r="Y82" s="318"/>
      <c r="Z82" s="318"/>
      <c r="AA82" s="318"/>
      <c r="AB82" s="318"/>
      <c r="AC82" s="318"/>
      <c r="AD82" s="318"/>
      <c r="AE82" s="318"/>
      <c r="AF82" s="318"/>
      <c r="AG82" s="318"/>
      <c r="AH82" s="318"/>
      <c r="AI82" s="318"/>
      <c r="AJ82" s="318"/>
      <c r="AK82" s="318"/>
      <c r="AL82" s="318"/>
      <c r="AM82" s="318"/>
      <c r="AN82" s="318"/>
      <c r="AO82" s="318"/>
      <c r="AP82" s="318"/>
      <c r="AQ82" s="318"/>
      <c r="AR82" s="318"/>
      <c r="AS82" s="318"/>
      <c r="AT82" s="318"/>
      <c r="AU82" s="318"/>
      <c r="AV82" s="318"/>
      <c r="AW82" s="318"/>
      <c r="AX82" s="318"/>
      <c r="AY82" s="318"/>
      <c r="AZ82" s="318"/>
      <c r="BA82" s="318"/>
      <c r="BB82" s="318"/>
      <c r="BC82" s="318"/>
      <c r="BD82" s="318"/>
      <c r="BE82" s="318"/>
      <c r="BF82" s="318"/>
      <c r="BG82" s="318"/>
      <c r="BH82" s="318"/>
      <c r="BI82" s="318"/>
      <c r="BJ82" s="318"/>
      <c r="BK82" s="318"/>
      <c r="BL82" s="318"/>
      <c r="BM82" s="318"/>
      <c r="BN82" s="318"/>
      <c r="BO82" s="318"/>
      <c r="BP82" s="318"/>
      <c r="BQ82" s="318"/>
      <c r="BR82" s="318"/>
      <c r="BS82" s="318"/>
      <c r="BT82" s="318"/>
      <c r="BU82" s="318"/>
      <c r="BV82" s="318"/>
      <c r="BW82" s="318"/>
      <c r="BX82" s="318"/>
      <c r="BY82" s="318"/>
      <c r="BZ82" s="318"/>
      <c r="CA82" s="318"/>
      <c r="CB82" s="318"/>
      <c r="CC82" s="318"/>
      <c r="CD82" s="318"/>
      <c r="CE82" s="318"/>
      <c r="CF82" s="318"/>
      <c r="CG82" s="318"/>
      <c r="CH82" s="318"/>
      <c r="CI82" s="318"/>
      <c r="CJ82" s="318"/>
      <c r="CK82" s="318"/>
      <c r="CL82" s="318"/>
      <c r="CM82" s="318"/>
      <c r="CN82" s="318"/>
      <c r="CO82" s="318"/>
      <c r="CP82" s="318"/>
      <c r="CQ82" s="318"/>
      <c r="CR82" s="318"/>
      <c r="CS82" s="318"/>
      <c r="CT82" s="318"/>
      <c r="CU82" s="318"/>
      <c r="CV82" s="318"/>
      <c r="CW82" s="318"/>
      <c r="CX82" s="318"/>
      <c r="CY82" s="318"/>
      <c r="CZ82" s="318"/>
      <c r="DA82" s="318"/>
      <c r="DB82" s="318"/>
      <c r="DC82" s="318"/>
      <c r="DD82" s="318"/>
      <c r="DE82" s="318"/>
      <c r="DF82" s="318"/>
      <c r="DG82" s="318"/>
      <c r="DH82" s="318"/>
      <c r="DI82" s="318"/>
      <c r="DJ82" s="318"/>
      <c r="DK82" s="318"/>
      <c r="DL82" s="318"/>
      <c r="DM82" s="318"/>
      <c r="DN82" s="318"/>
      <c r="DO82" s="318"/>
      <c r="DP82" s="318"/>
      <c r="DQ82" s="318"/>
      <c r="DR82" s="318"/>
      <c r="DS82" s="318"/>
      <c r="DT82" s="318"/>
      <c r="DU82" s="318"/>
      <c r="DV82" s="318"/>
      <c r="DW82" s="318"/>
      <c r="DX82" s="318"/>
      <c r="DY82" s="318"/>
      <c r="DZ82" s="318"/>
      <c r="EA82" s="318"/>
      <c r="EB82" s="318"/>
      <c r="EC82" s="318"/>
      <c r="ED82" s="318"/>
      <c r="EE82" s="318"/>
      <c r="EF82" s="318"/>
      <c r="EG82" s="318"/>
      <c r="EH82" s="318"/>
      <c r="EI82" s="318"/>
      <c r="EJ82" s="318"/>
      <c r="EK82" s="318"/>
      <c r="EL82" s="318"/>
      <c r="EM82" s="318"/>
      <c r="EN82" s="318"/>
      <c r="EO82" s="318"/>
      <c r="EP82" s="318"/>
      <c r="EQ82" s="318"/>
      <c r="ER82" s="318"/>
      <c r="ES82" s="318"/>
      <c r="ET82" s="318"/>
      <c r="EU82" s="318"/>
      <c r="EV82" s="318"/>
      <c r="EW82" s="318"/>
      <c r="EX82" s="318"/>
      <c r="EY82" s="318"/>
      <c r="EZ82" s="318"/>
      <c r="FA82" s="318"/>
      <c r="FB82" s="318"/>
      <c r="FC82" s="318"/>
      <c r="FD82" s="318"/>
      <c r="FE82" s="318"/>
      <c r="FF82" s="318"/>
      <c r="FG82" s="318"/>
      <c r="FH82" s="318"/>
      <c r="FI82" s="318"/>
      <c r="FJ82" s="318"/>
      <c r="FK82" s="318"/>
      <c r="FL82" s="318"/>
      <c r="FM82" s="318"/>
      <c r="FN82" s="318"/>
      <c r="FO82" s="318"/>
      <c r="FP82" s="318"/>
      <c r="FQ82" s="318"/>
      <c r="FR82" s="318"/>
      <c r="FS82" s="318"/>
      <c r="FT82" s="318"/>
      <c r="FU82" s="318"/>
      <c r="FV82" s="318"/>
      <c r="FW82" s="318"/>
      <c r="FX82" s="318"/>
      <c r="FY82" s="318"/>
      <c r="FZ82" s="318"/>
      <c r="GA82" s="318"/>
      <c r="GB82" s="318"/>
      <c r="GC82" s="318"/>
      <c r="GD82" s="318"/>
      <c r="GE82" s="318"/>
      <c r="GF82" s="318"/>
      <c r="GG82" s="318"/>
      <c r="GH82" s="318"/>
      <c r="GI82" s="318"/>
      <c r="GJ82" s="318"/>
      <c r="GK82" s="318"/>
      <c r="GL82" s="318"/>
      <c r="GM82" s="318"/>
      <c r="GN82" s="318"/>
      <c r="GO82" s="318"/>
      <c r="GP82" s="318"/>
      <c r="GQ82" s="318"/>
      <c r="GR82" s="318"/>
      <c r="GS82" s="318"/>
      <c r="GT82" s="318"/>
      <c r="GU82" s="318"/>
      <c r="GV82" s="318"/>
      <c r="GW82" s="318"/>
      <c r="GX82" s="318"/>
      <c r="GY82" s="318"/>
      <c r="GZ82" s="318"/>
      <c r="HA82" s="318"/>
      <c r="HB82" s="318"/>
      <c r="HC82" s="318"/>
      <c r="HD82" s="318"/>
      <c r="HE82" s="318"/>
      <c r="HF82" s="318"/>
      <c r="HG82" s="318"/>
      <c r="HH82" s="318"/>
      <c r="HI82" s="318"/>
      <c r="HJ82" s="318"/>
      <c r="HK82" s="318"/>
      <c r="HL82" s="318"/>
      <c r="HM82" s="318"/>
      <c r="HN82" s="318"/>
      <c r="HO82" s="318"/>
      <c r="HP82" s="318"/>
      <c r="HQ82" s="318"/>
      <c r="HR82" s="318"/>
      <c r="HS82" s="318"/>
      <c r="HT82" s="318"/>
      <c r="HU82" s="318"/>
      <c r="HV82" s="318"/>
      <c r="HW82" s="318"/>
      <c r="HX82" s="318"/>
      <c r="HY82" s="318"/>
      <c r="HZ82" s="318"/>
      <c r="IA82" s="318"/>
      <c r="IB82" s="318"/>
      <c r="IC82" s="318"/>
      <c r="ID82" s="318"/>
      <c r="IE82" s="318"/>
      <c r="IF82" s="318"/>
      <c r="IG82" s="318"/>
      <c r="IH82" s="318"/>
      <c r="II82" s="318"/>
      <c r="IJ82" s="318"/>
      <c r="IK82" s="318"/>
      <c r="IL82" s="318"/>
      <c r="IM82" s="318"/>
      <c r="IN82" s="318"/>
      <c r="IO82" s="318"/>
      <c r="IP82" s="318"/>
      <c r="IQ82" s="318"/>
      <c r="IR82" s="318"/>
      <c r="IS82" s="318"/>
      <c r="IT82" s="318"/>
      <c r="IU82" s="318"/>
      <c r="IV82" s="318"/>
    </row>
    <row r="83" spans="1:256" s="470" customFormat="1" ht="13.5" customHeight="1" thickBot="1" x14ac:dyDescent="0.25">
      <c r="A83" s="472"/>
      <c r="B83" s="34"/>
      <c r="C83" s="473"/>
      <c r="D83" s="474"/>
      <c r="E83" s="475"/>
      <c r="F83" s="476"/>
      <c r="G83" s="464"/>
      <c r="H83" s="464"/>
      <c r="I83" s="464"/>
      <c r="J83" s="464"/>
      <c r="K83" s="465"/>
      <c r="L83" s="10"/>
      <c r="M83" s="465"/>
      <c r="N83" s="465"/>
      <c r="O83" s="10"/>
      <c r="P83" s="4"/>
      <c r="Q83" s="4"/>
      <c r="R83" s="4"/>
      <c r="S83" s="4"/>
      <c r="T83" s="4"/>
      <c r="U83" s="4"/>
      <c r="V83" s="4"/>
      <c r="W83" s="4"/>
      <c r="X83" s="4"/>
      <c r="Y83" s="318"/>
      <c r="Z83" s="318"/>
      <c r="AA83" s="318"/>
      <c r="AB83" s="318"/>
      <c r="AC83" s="318"/>
      <c r="AD83" s="318"/>
      <c r="AE83" s="318"/>
      <c r="AF83" s="318"/>
      <c r="AG83" s="318"/>
      <c r="AH83" s="318"/>
      <c r="AI83" s="318"/>
      <c r="AJ83" s="318"/>
      <c r="AK83" s="318"/>
      <c r="AL83" s="318"/>
      <c r="AM83" s="318"/>
      <c r="AN83" s="318"/>
      <c r="AO83" s="318"/>
      <c r="AP83" s="318"/>
      <c r="AQ83" s="318"/>
      <c r="AR83" s="318"/>
      <c r="AS83" s="318"/>
      <c r="AT83" s="318"/>
      <c r="AU83" s="318"/>
      <c r="AV83" s="318"/>
      <c r="AW83" s="318"/>
      <c r="AX83" s="318"/>
      <c r="AY83" s="318"/>
      <c r="AZ83" s="318"/>
      <c r="BA83" s="318"/>
      <c r="BB83" s="318"/>
      <c r="BC83" s="318"/>
      <c r="BD83" s="318"/>
      <c r="BE83" s="318"/>
      <c r="BF83" s="318"/>
      <c r="BG83" s="318"/>
      <c r="BH83" s="318"/>
      <c r="BI83" s="318"/>
      <c r="BJ83" s="318"/>
      <c r="BK83" s="318"/>
      <c r="BL83" s="318"/>
      <c r="BM83" s="318"/>
      <c r="BN83" s="318"/>
      <c r="BO83" s="318"/>
      <c r="BP83" s="318"/>
      <c r="BQ83" s="318"/>
      <c r="BR83" s="318"/>
      <c r="BS83" s="318"/>
      <c r="BT83" s="318"/>
      <c r="BU83" s="318"/>
      <c r="BV83" s="318"/>
      <c r="BW83" s="318"/>
      <c r="BX83" s="318"/>
      <c r="BY83" s="318"/>
      <c r="BZ83" s="318"/>
      <c r="CA83" s="318"/>
      <c r="CB83" s="318"/>
      <c r="CC83" s="318"/>
      <c r="CD83" s="318"/>
      <c r="CE83" s="318"/>
      <c r="CF83" s="318"/>
      <c r="CG83" s="318"/>
      <c r="CH83" s="318"/>
      <c r="CI83" s="318"/>
      <c r="CJ83" s="318"/>
      <c r="CK83" s="318"/>
      <c r="CL83" s="318"/>
      <c r="CM83" s="318"/>
      <c r="CN83" s="318"/>
      <c r="CO83" s="318"/>
      <c r="CP83" s="318"/>
      <c r="CQ83" s="318"/>
      <c r="CR83" s="318"/>
      <c r="CS83" s="318"/>
      <c r="CT83" s="318"/>
      <c r="CU83" s="318"/>
      <c r="CV83" s="318"/>
      <c r="CW83" s="318"/>
      <c r="CX83" s="318"/>
      <c r="CY83" s="318"/>
      <c r="CZ83" s="318"/>
      <c r="DA83" s="318"/>
      <c r="DB83" s="318"/>
      <c r="DC83" s="318"/>
      <c r="DD83" s="318"/>
      <c r="DE83" s="318"/>
      <c r="DF83" s="318"/>
      <c r="DG83" s="318"/>
      <c r="DH83" s="318"/>
      <c r="DI83" s="318"/>
      <c r="DJ83" s="318"/>
      <c r="DK83" s="318"/>
      <c r="DL83" s="318"/>
      <c r="DM83" s="318"/>
      <c r="DN83" s="318"/>
      <c r="DO83" s="318"/>
      <c r="DP83" s="318"/>
      <c r="DQ83" s="318"/>
      <c r="DR83" s="318"/>
      <c r="DS83" s="318"/>
      <c r="DT83" s="318"/>
      <c r="DU83" s="318"/>
      <c r="DV83" s="318"/>
      <c r="DW83" s="318"/>
      <c r="DX83" s="318"/>
      <c r="DY83" s="318"/>
      <c r="DZ83" s="318"/>
      <c r="EA83" s="318"/>
      <c r="EB83" s="318"/>
      <c r="EC83" s="318"/>
      <c r="ED83" s="318"/>
      <c r="EE83" s="318"/>
      <c r="EF83" s="318"/>
      <c r="EG83" s="318"/>
      <c r="EH83" s="318"/>
      <c r="EI83" s="318"/>
      <c r="EJ83" s="318"/>
      <c r="EK83" s="318"/>
      <c r="EL83" s="318"/>
      <c r="EM83" s="318"/>
      <c r="EN83" s="318"/>
      <c r="EO83" s="318"/>
      <c r="EP83" s="318"/>
      <c r="EQ83" s="318"/>
      <c r="ER83" s="318"/>
      <c r="ES83" s="318"/>
      <c r="ET83" s="318"/>
      <c r="EU83" s="318"/>
      <c r="EV83" s="318"/>
      <c r="EW83" s="318"/>
      <c r="EX83" s="318"/>
      <c r="EY83" s="318"/>
      <c r="EZ83" s="318"/>
      <c r="FA83" s="318"/>
      <c r="FB83" s="318"/>
      <c r="FC83" s="318"/>
      <c r="FD83" s="318"/>
      <c r="FE83" s="318"/>
      <c r="FF83" s="318"/>
      <c r="FG83" s="318"/>
      <c r="FH83" s="318"/>
      <c r="FI83" s="318"/>
      <c r="FJ83" s="318"/>
      <c r="FK83" s="318"/>
      <c r="FL83" s="318"/>
      <c r="FM83" s="318"/>
      <c r="FN83" s="318"/>
      <c r="FO83" s="318"/>
      <c r="FP83" s="318"/>
      <c r="FQ83" s="318"/>
      <c r="FR83" s="318"/>
      <c r="FS83" s="318"/>
      <c r="FT83" s="318"/>
      <c r="FU83" s="318"/>
      <c r="FV83" s="318"/>
      <c r="FW83" s="318"/>
      <c r="FX83" s="318"/>
      <c r="FY83" s="318"/>
      <c r="FZ83" s="318"/>
      <c r="GA83" s="318"/>
      <c r="GB83" s="318"/>
      <c r="GC83" s="318"/>
      <c r="GD83" s="318"/>
      <c r="GE83" s="318"/>
      <c r="GF83" s="318"/>
      <c r="GG83" s="318"/>
      <c r="GH83" s="318"/>
      <c r="GI83" s="318"/>
      <c r="GJ83" s="318"/>
      <c r="GK83" s="318"/>
      <c r="GL83" s="318"/>
      <c r="GM83" s="318"/>
      <c r="GN83" s="318"/>
      <c r="GO83" s="318"/>
      <c r="GP83" s="318"/>
      <c r="GQ83" s="318"/>
      <c r="GR83" s="318"/>
      <c r="GS83" s="318"/>
      <c r="GT83" s="318"/>
      <c r="GU83" s="318"/>
      <c r="GV83" s="318"/>
      <c r="GW83" s="318"/>
      <c r="GX83" s="318"/>
      <c r="GY83" s="318"/>
      <c r="GZ83" s="318"/>
      <c r="HA83" s="318"/>
      <c r="HB83" s="318"/>
      <c r="HC83" s="318"/>
      <c r="HD83" s="318"/>
      <c r="HE83" s="318"/>
      <c r="HF83" s="318"/>
      <c r="HG83" s="318"/>
      <c r="HH83" s="318"/>
      <c r="HI83" s="318"/>
      <c r="HJ83" s="318"/>
      <c r="HK83" s="318"/>
      <c r="HL83" s="318"/>
      <c r="HM83" s="318"/>
      <c r="HN83" s="318"/>
      <c r="HO83" s="318"/>
      <c r="HP83" s="318"/>
      <c r="HQ83" s="318"/>
      <c r="HR83" s="318"/>
      <c r="HS83" s="318"/>
      <c r="HT83" s="318"/>
      <c r="HU83" s="318"/>
      <c r="HV83" s="318"/>
      <c r="HW83" s="318"/>
      <c r="HX83" s="318"/>
      <c r="HY83" s="318"/>
      <c r="HZ83" s="318"/>
      <c r="IA83" s="318"/>
      <c r="IB83" s="318"/>
      <c r="IC83" s="318"/>
      <c r="ID83" s="318"/>
      <c r="IE83" s="318"/>
      <c r="IF83" s="318"/>
      <c r="IG83" s="318"/>
      <c r="IH83" s="318"/>
      <c r="II83" s="318"/>
      <c r="IJ83" s="318"/>
      <c r="IK83" s="318"/>
      <c r="IL83" s="318"/>
      <c r="IM83" s="318"/>
      <c r="IN83" s="318"/>
      <c r="IO83" s="318"/>
      <c r="IP83" s="318"/>
      <c r="IQ83" s="318"/>
      <c r="IR83" s="318"/>
      <c r="IS83" s="318"/>
      <c r="IT83" s="318"/>
      <c r="IU83" s="318"/>
      <c r="IV83" s="318"/>
    </row>
    <row r="84" spans="1:256" s="470" customFormat="1" ht="13.5" customHeight="1" thickBot="1" x14ac:dyDescent="0.25">
      <c r="A84" s="472"/>
      <c r="B84" s="34"/>
      <c r="C84" s="473"/>
      <c r="D84" s="474"/>
      <c r="E84" s="475"/>
      <c r="F84" s="476"/>
      <c r="G84" s="464"/>
      <c r="H84" s="464"/>
      <c r="I84" s="464"/>
      <c r="J84" s="464"/>
      <c r="K84" s="465"/>
      <c r="L84" s="10"/>
      <c r="M84" s="465"/>
      <c r="N84" s="465"/>
      <c r="O84" s="10"/>
      <c r="P84" s="4"/>
      <c r="Q84" s="4"/>
      <c r="R84" s="4"/>
      <c r="S84" s="4"/>
      <c r="T84" s="4"/>
      <c r="U84" s="4"/>
      <c r="V84" s="4"/>
      <c r="W84" s="4"/>
      <c r="X84" s="4"/>
      <c r="Y84" s="318"/>
      <c r="Z84" s="318"/>
      <c r="AA84" s="318"/>
      <c r="AB84" s="318"/>
      <c r="AC84" s="318"/>
      <c r="AD84" s="318"/>
      <c r="AE84" s="318"/>
      <c r="AF84" s="318"/>
      <c r="AG84" s="318"/>
      <c r="AH84" s="318"/>
      <c r="AI84" s="318"/>
      <c r="AJ84" s="318"/>
      <c r="AK84" s="318"/>
      <c r="AL84" s="318"/>
      <c r="AM84" s="318"/>
      <c r="AN84" s="318"/>
      <c r="AO84" s="318"/>
      <c r="AP84" s="318"/>
      <c r="AQ84" s="318"/>
      <c r="AR84" s="318"/>
      <c r="AS84" s="318"/>
      <c r="AT84" s="318"/>
      <c r="AU84" s="318"/>
      <c r="AV84" s="318"/>
      <c r="AW84" s="318"/>
      <c r="AX84" s="318"/>
      <c r="AY84" s="318"/>
      <c r="AZ84" s="318"/>
      <c r="BA84" s="318"/>
      <c r="BB84" s="318"/>
      <c r="BC84" s="318"/>
      <c r="BD84" s="318"/>
      <c r="BE84" s="318"/>
      <c r="BF84" s="318"/>
      <c r="BG84" s="318"/>
      <c r="BH84" s="318"/>
      <c r="BI84" s="318"/>
      <c r="BJ84" s="318"/>
      <c r="BK84" s="318"/>
      <c r="BL84" s="318"/>
      <c r="BM84" s="318"/>
      <c r="BN84" s="318"/>
      <c r="BO84" s="318"/>
      <c r="BP84" s="318"/>
      <c r="BQ84" s="318"/>
      <c r="BR84" s="318"/>
      <c r="BS84" s="318"/>
      <c r="BT84" s="318"/>
      <c r="BU84" s="318"/>
      <c r="BV84" s="318"/>
      <c r="BW84" s="318"/>
      <c r="BX84" s="318"/>
      <c r="BY84" s="318"/>
      <c r="BZ84" s="318"/>
      <c r="CA84" s="318"/>
      <c r="CB84" s="318"/>
      <c r="CC84" s="318"/>
      <c r="CD84" s="318"/>
      <c r="CE84" s="318"/>
      <c r="CF84" s="318"/>
      <c r="CG84" s="318"/>
      <c r="CH84" s="318"/>
      <c r="CI84" s="318"/>
      <c r="CJ84" s="318"/>
      <c r="CK84" s="318"/>
      <c r="CL84" s="318"/>
      <c r="CM84" s="318"/>
      <c r="CN84" s="318"/>
      <c r="CO84" s="318"/>
      <c r="CP84" s="318"/>
      <c r="CQ84" s="318"/>
      <c r="CR84" s="318"/>
      <c r="CS84" s="318"/>
      <c r="CT84" s="318"/>
      <c r="CU84" s="318"/>
      <c r="CV84" s="318"/>
      <c r="CW84" s="318"/>
      <c r="CX84" s="318"/>
      <c r="CY84" s="318"/>
      <c r="CZ84" s="318"/>
      <c r="DA84" s="318"/>
      <c r="DB84" s="318"/>
      <c r="DC84" s="318"/>
      <c r="DD84" s="318"/>
      <c r="DE84" s="318"/>
      <c r="DF84" s="318"/>
      <c r="DG84" s="318"/>
      <c r="DH84" s="318"/>
      <c r="DI84" s="318"/>
      <c r="DJ84" s="318"/>
      <c r="DK84" s="318"/>
      <c r="DL84" s="318"/>
      <c r="DM84" s="318"/>
      <c r="DN84" s="318"/>
      <c r="DO84" s="318"/>
      <c r="DP84" s="318"/>
      <c r="DQ84" s="318"/>
      <c r="DR84" s="318"/>
      <c r="DS84" s="318"/>
      <c r="DT84" s="318"/>
      <c r="DU84" s="318"/>
      <c r="DV84" s="318"/>
      <c r="DW84" s="318"/>
      <c r="DX84" s="318"/>
      <c r="DY84" s="318"/>
      <c r="DZ84" s="318"/>
      <c r="EA84" s="318"/>
      <c r="EB84" s="318"/>
      <c r="EC84" s="318"/>
      <c r="ED84" s="318"/>
      <c r="EE84" s="318"/>
      <c r="EF84" s="318"/>
      <c r="EG84" s="318"/>
      <c r="EH84" s="318"/>
      <c r="EI84" s="318"/>
      <c r="EJ84" s="318"/>
      <c r="EK84" s="318"/>
      <c r="EL84" s="318"/>
      <c r="EM84" s="318"/>
      <c r="EN84" s="318"/>
      <c r="EO84" s="318"/>
      <c r="EP84" s="318"/>
      <c r="EQ84" s="318"/>
      <c r="ER84" s="318"/>
      <c r="ES84" s="318"/>
      <c r="ET84" s="318"/>
      <c r="EU84" s="318"/>
      <c r="EV84" s="318"/>
      <c r="EW84" s="318"/>
      <c r="EX84" s="318"/>
      <c r="EY84" s="318"/>
      <c r="EZ84" s="318"/>
      <c r="FA84" s="318"/>
      <c r="FB84" s="318"/>
      <c r="FC84" s="318"/>
      <c r="FD84" s="318"/>
      <c r="FE84" s="318"/>
      <c r="FF84" s="318"/>
      <c r="FG84" s="318"/>
      <c r="FH84" s="318"/>
      <c r="FI84" s="318"/>
      <c r="FJ84" s="318"/>
      <c r="FK84" s="318"/>
      <c r="FL84" s="318"/>
      <c r="FM84" s="318"/>
      <c r="FN84" s="318"/>
      <c r="FO84" s="318"/>
      <c r="FP84" s="318"/>
      <c r="FQ84" s="318"/>
      <c r="FR84" s="318"/>
      <c r="FS84" s="318"/>
      <c r="FT84" s="318"/>
      <c r="FU84" s="318"/>
      <c r="FV84" s="318"/>
      <c r="FW84" s="318"/>
      <c r="FX84" s="318"/>
      <c r="FY84" s="318"/>
      <c r="FZ84" s="318"/>
      <c r="GA84" s="318"/>
      <c r="GB84" s="318"/>
      <c r="GC84" s="318"/>
      <c r="GD84" s="318"/>
      <c r="GE84" s="318"/>
      <c r="GF84" s="318"/>
      <c r="GG84" s="318"/>
      <c r="GH84" s="318"/>
      <c r="GI84" s="318"/>
      <c r="GJ84" s="318"/>
      <c r="GK84" s="318"/>
      <c r="GL84" s="318"/>
      <c r="GM84" s="318"/>
      <c r="GN84" s="318"/>
      <c r="GO84" s="318"/>
      <c r="GP84" s="318"/>
      <c r="GQ84" s="318"/>
      <c r="GR84" s="318"/>
      <c r="GS84" s="318"/>
      <c r="GT84" s="318"/>
      <c r="GU84" s="318"/>
      <c r="GV84" s="318"/>
      <c r="GW84" s="318"/>
      <c r="GX84" s="318"/>
      <c r="GY84" s="318"/>
      <c r="GZ84" s="318"/>
      <c r="HA84" s="318"/>
      <c r="HB84" s="318"/>
      <c r="HC84" s="318"/>
      <c r="HD84" s="318"/>
      <c r="HE84" s="318"/>
      <c r="HF84" s="318"/>
      <c r="HG84" s="318"/>
      <c r="HH84" s="318"/>
      <c r="HI84" s="318"/>
      <c r="HJ84" s="318"/>
      <c r="HK84" s="318"/>
      <c r="HL84" s="318"/>
      <c r="HM84" s="318"/>
      <c r="HN84" s="318"/>
      <c r="HO84" s="318"/>
      <c r="HP84" s="318"/>
      <c r="HQ84" s="318"/>
      <c r="HR84" s="318"/>
      <c r="HS84" s="318"/>
      <c r="HT84" s="318"/>
      <c r="HU84" s="318"/>
      <c r="HV84" s="318"/>
      <c r="HW84" s="318"/>
      <c r="HX84" s="318"/>
      <c r="HY84" s="318"/>
      <c r="HZ84" s="318"/>
      <c r="IA84" s="318"/>
      <c r="IB84" s="318"/>
      <c r="IC84" s="318"/>
      <c r="ID84" s="318"/>
      <c r="IE84" s="318"/>
      <c r="IF84" s="318"/>
      <c r="IG84" s="318"/>
      <c r="IH84" s="318"/>
      <c r="II84" s="318"/>
      <c r="IJ84" s="318"/>
      <c r="IK84" s="318"/>
      <c r="IL84" s="318"/>
      <c r="IM84" s="318"/>
      <c r="IN84" s="318"/>
      <c r="IO84" s="318"/>
      <c r="IP84" s="318"/>
      <c r="IQ84" s="318"/>
      <c r="IR84" s="318"/>
      <c r="IS84" s="318"/>
      <c r="IT84" s="318"/>
      <c r="IU84" s="318"/>
      <c r="IV84" s="318"/>
    </row>
    <row r="85" spans="1:256" s="470" customFormat="1" ht="13.5" customHeight="1" thickBot="1" x14ac:dyDescent="0.25">
      <c r="A85" s="472"/>
      <c r="B85" s="34"/>
      <c r="C85" s="473"/>
      <c r="D85" s="474"/>
      <c r="E85" s="475"/>
      <c r="F85" s="476"/>
      <c r="G85" s="464"/>
      <c r="H85" s="464"/>
      <c r="I85" s="464"/>
      <c r="J85" s="464"/>
      <c r="K85" s="465"/>
      <c r="L85" s="10"/>
      <c r="M85" s="465"/>
      <c r="N85" s="465"/>
      <c r="O85" s="10"/>
      <c r="P85" s="4"/>
      <c r="Q85" s="4"/>
      <c r="R85" s="4"/>
      <c r="S85" s="4"/>
      <c r="T85" s="4"/>
      <c r="U85" s="4"/>
      <c r="V85" s="4"/>
      <c r="W85" s="4"/>
      <c r="X85" s="4"/>
      <c r="Y85" s="318"/>
      <c r="Z85" s="318"/>
      <c r="AA85" s="318"/>
      <c r="AB85" s="318"/>
      <c r="AC85" s="318"/>
      <c r="AD85" s="318"/>
      <c r="AE85" s="318"/>
      <c r="AF85" s="318"/>
      <c r="AG85" s="318"/>
      <c r="AH85" s="318"/>
      <c r="AI85" s="318"/>
      <c r="AJ85" s="318"/>
      <c r="AK85" s="318"/>
      <c r="AL85" s="318"/>
      <c r="AM85" s="318"/>
      <c r="AN85" s="318"/>
      <c r="AO85" s="318"/>
      <c r="AP85" s="318"/>
      <c r="AQ85" s="318"/>
      <c r="AR85" s="318"/>
      <c r="AS85" s="318"/>
      <c r="AT85" s="318"/>
      <c r="AU85" s="318"/>
      <c r="AV85" s="318"/>
      <c r="AW85" s="318"/>
      <c r="AX85" s="318"/>
      <c r="AY85" s="318"/>
      <c r="AZ85" s="318"/>
      <c r="BA85" s="318"/>
      <c r="BB85" s="318"/>
      <c r="BC85" s="318"/>
      <c r="BD85" s="318"/>
      <c r="BE85" s="318"/>
      <c r="BF85" s="318"/>
      <c r="BG85" s="318"/>
      <c r="BH85" s="318"/>
      <c r="BI85" s="318"/>
      <c r="BJ85" s="318"/>
      <c r="BK85" s="318"/>
      <c r="BL85" s="318"/>
      <c r="BM85" s="318"/>
      <c r="BN85" s="318"/>
      <c r="BO85" s="318"/>
      <c r="BP85" s="318"/>
      <c r="BQ85" s="318"/>
      <c r="BR85" s="318"/>
      <c r="BS85" s="318"/>
      <c r="BT85" s="318"/>
      <c r="BU85" s="318"/>
      <c r="BV85" s="318"/>
      <c r="BW85" s="318"/>
      <c r="BX85" s="318"/>
      <c r="BY85" s="318"/>
      <c r="BZ85" s="318"/>
      <c r="CA85" s="318"/>
      <c r="CB85" s="318"/>
      <c r="CC85" s="318"/>
      <c r="CD85" s="318"/>
      <c r="CE85" s="318"/>
      <c r="CF85" s="318"/>
      <c r="CG85" s="318"/>
      <c r="CH85" s="318"/>
      <c r="CI85" s="318"/>
      <c r="CJ85" s="318"/>
      <c r="CK85" s="318"/>
      <c r="CL85" s="318"/>
      <c r="CM85" s="318"/>
      <c r="CN85" s="318"/>
      <c r="CO85" s="318"/>
      <c r="CP85" s="318"/>
      <c r="CQ85" s="318"/>
      <c r="CR85" s="318"/>
      <c r="CS85" s="318"/>
      <c r="CT85" s="318"/>
      <c r="CU85" s="318"/>
      <c r="CV85" s="318"/>
      <c r="CW85" s="318"/>
      <c r="CX85" s="318"/>
      <c r="CY85" s="318"/>
      <c r="CZ85" s="318"/>
      <c r="DA85" s="318"/>
      <c r="DB85" s="318"/>
      <c r="DC85" s="318"/>
      <c r="DD85" s="318"/>
      <c r="DE85" s="318"/>
      <c r="DF85" s="318"/>
      <c r="DG85" s="318"/>
      <c r="DH85" s="318"/>
      <c r="DI85" s="318"/>
      <c r="DJ85" s="318"/>
      <c r="DK85" s="318"/>
      <c r="DL85" s="318"/>
      <c r="DM85" s="318"/>
      <c r="DN85" s="318"/>
      <c r="DO85" s="318"/>
      <c r="DP85" s="318"/>
      <c r="DQ85" s="318"/>
      <c r="DR85" s="318"/>
      <c r="DS85" s="318"/>
      <c r="DT85" s="318"/>
      <c r="DU85" s="318"/>
      <c r="DV85" s="318"/>
      <c r="DW85" s="318"/>
      <c r="DX85" s="318"/>
      <c r="DY85" s="318"/>
      <c r="DZ85" s="318"/>
      <c r="EA85" s="318"/>
      <c r="EB85" s="318"/>
      <c r="EC85" s="318"/>
      <c r="ED85" s="318"/>
      <c r="EE85" s="318"/>
      <c r="EF85" s="318"/>
      <c r="EG85" s="318"/>
      <c r="EH85" s="318"/>
      <c r="EI85" s="318"/>
      <c r="EJ85" s="318"/>
      <c r="EK85" s="318"/>
      <c r="EL85" s="318"/>
      <c r="EM85" s="318"/>
      <c r="EN85" s="318"/>
      <c r="EO85" s="318"/>
      <c r="EP85" s="318"/>
      <c r="EQ85" s="318"/>
      <c r="ER85" s="318"/>
      <c r="ES85" s="318"/>
      <c r="ET85" s="318"/>
      <c r="EU85" s="318"/>
      <c r="EV85" s="318"/>
      <c r="EW85" s="318"/>
      <c r="EX85" s="318"/>
      <c r="EY85" s="318"/>
      <c r="EZ85" s="318"/>
      <c r="FA85" s="318"/>
      <c r="FB85" s="318"/>
      <c r="FC85" s="318"/>
      <c r="FD85" s="318"/>
      <c r="FE85" s="318"/>
      <c r="FF85" s="318"/>
      <c r="FG85" s="318"/>
      <c r="FH85" s="318"/>
      <c r="FI85" s="318"/>
      <c r="FJ85" s="318"/>
      <c r="FK85" s="318"/>
      <c r="FL85" s="318"/>
      <c r="FM85" s="318"/>
      <c r="FN85" s="318"/>
      <c r="FO85" s="318"/>
      <c r="FP85" s="318"/>
      <c r="FQ85" s="318"/>
      <c r="FR85" s="318"/>
      <c r="FS85" s="318"/>
      <c r="FT85" s="318"/>
      <c r="FU85" s="318"/>
      <c r="FV85" s="318"/>
      <c r="FW85" s="318"/>
      <c r="FX85" s="318"/>
      <c r="FY85" s="318"/>
      <c r="FZ85" s="318"/>
      <c r="GA85" s="318"/>
      <c r="GB85" s="318"/>
      <c r="GC85" s="318"/>
      <c r="GD85" s="318"/>
      <c r="GE85" s="318"/>
      <c r="GF85" s="318"/>
      <c r="GG85" s="318"/>
      <c r="GH85" s="318"/>
      <c r="GI85" s="318"/>
      <c r="GJ85" s="318"/>
      <c r="GK85" s="318"/>
      <c r="GL85" s="318"/>
      <c r="GM85" s="318"/>
      <c r="GN85" s="318"/>
      <c r="GO85" s="318"/>
      <c r="GP85" s="318"/>
      <c r="GQ85" s="318"/>
      <c r="GR85" s="318"/>
      <c r="GS85" s="318"/>
      <c r="GT85" s="318"/>
      <c r="GU85" s="318"/>
      <c r="GV85" s="318"/>
      <c r="GW85" s="318"/>
      <c r="GX85" s="318"/>
      <c r="GY85" s="318"/>
      <c r="GZ85" s="318"/>
      <c r="HA85" s="318"/>
      <c r="HB85" s="318"/>
      <c r="HC85" s="318"/>
      <c r="HD85" s="318"/>
      <c r="HE85" s="318"/>
      <c r="HF85" s="318"/>
      <c r="HG85" s="318"/>
      <c r="HH85" s="318"/>
      <c r="HI85" s="318"/>
      <c r="HJ85" s="318"/>
      <c r="HK85" s="318"/>
      <c r="HL85" s="318"/>
      <c r="HM85" s="318"/>
      <c r="HN85" s="318"/>
      <c r="HO85" s="318"/>
      <c r="HP85" s="318"/>
      <c r="HQ85" s="318"/>
      <c r="HR85" s="318"/>
      <c r="HS85" s="318"/>
      <c r="HT85" s="318"/>
      <c r="HU85" s="318"/>
      <c r="HV85" s="318"/>
      <c r="HW85" s="318"/>
      <c r="HX85" s="318"/>
      <c r="HY85" s="318"/>
      <c r="HZ85" s="318"/>
      <c r="IA85" s="318"/>
      <c r="IB85" s="318"/>
      <c r="IC85" s="318"/>
      <c r="ID85" s="318"/>
      <c r="IE85" s="318"/>
      <c r="IF85" s="318"/>
      <c r="IG85" s="318"/>
      <c r="IH85" s="318"/>
      <c r="II85" s="318"/>
      <c r="IJ85" s="318"/>
      <c r="IK85" s="318"/>
      <c r="IL85" s="318"/>
      <c r="IM85" s="318"/>
      <c r="IN85" s="318"/>
      <c r="IO85" s="318"/>
      <c r="IP85" s="318"/>
      <c r="IQ85" s="318"/>
      <c r="IR85" s="318"/>
      <c r="IS85" s="318"/>
      <c r="IT85" s="318"/>
      <c r="IU85" s="318"/>
      <c r="IV85" s="318"/>
    </row>
    <row r="86" spans="1:256" s="470" customFormat="1" ht="13.5" customHeight="1" thickBot="1" x14ac:dyDescent="0.25">
      <c r="A86" s="472"/>
      <c r="B86" s="34"/>
      <c r="C86" s="473"/>
      <c r="D86" s="474"/>
      <c r="E86" s="475"/>
      <c r="F86" s="476"/>
      <c r="G86" s="464"/>
      <c r="H86" s="464"/>
      <c r="I86" s="464"/>
      <c r="J86" s="464"/>
      <c r="K86" s="465"/>
      <c r="L86" s="10"/>
      <c r="M86" s="465"/>
      <c r="N86" s="465"/>
      <c r="O86" s="10"/>
      <c r="P86" s="4"/>
      <c r="Q86" s="4"/>
      <c r="R86" s="4"/>
      <c r="S86" s="4"/>
      <c r="T86" s="4"/>
      <c r="U86" s="4"/>
      <c r="V86" s="4"/>
      <c r="W86" s="4"/>
      <c r="X86" s="4"/>
      <c r="Y86" s="318"/>
      <c r="Z86" s="318"/>
      <c r="AA86" s="318"/>
      <c r="AB86" s="318"/>
      <c r="AC86" s="318"/>
      <c r="AD86" s="318"/>
      <c r="AE86" s="318"/>
      <c r="AF86" s="318"/>
      <c r="AG86" s="318"/>
      <c r="AH86" s="318"/>
      <c r="AI86" s="318"/>
      <c r="AJ86" s="318"/>
      <c r="AK86" s="318"/>
      <c r="AL86" s="318"/>
      <c r="AM86" s="318"/>
      <c r="AN86" s="318"/>
      <c r="AO86" s="318"/>
      <c r="AP86" s="318"/>
      <c r="AQ86" s="318"/>
      <c r="AR86" s="318"/>
      <c r="AS86" s="318"/>
      <c r="AT86" s="318"/>
      <c r="AU86" s="318"/>
      <c r="AV86" s="318"/>
      <c r="AW86" s="318"/>
      <c r="AX86" s="318"/>
      <c r="AY86" s="318"/>
      <c r="AZ86" s="318"/>
      <c r="BA86" s="318"/>
      <c r="BB86" s="318"/>
      <c r="BC86" s="318"/>
      <c r="BD86" s="318"/>
      <c r="BE86" s="318"/>
      <c r="BF86" s="318"/>
      <c r="BG86" s="318"/>
      <c r="BH86" s="318"/>
      <c r="BI86" s="318"/>
      <c r="BJ86" s="318"/>
      <c r="BK86" s="318"/>
      <c r="BL86" s="318"/>
      <c r="BM86" s="318"/>
      <c r="BN86" s="318"/>
      <c r="BO86" s="318"/>
      <c r="BP86" s="318"/>
      <c r="BQ86" s="318"/>
      <c r="BR86" s="318"/>
      <c r="BS86" s="318"/>
      <c r="BT86" s="318"/>
      <c r="BU86" s="318"/>
      <c r="BV86" s="318"/>
      <c r="BW86" s="318"/>
      <c r="BX86" s="318"/>
      <c r="BY86" s="318"/>
      <c r="BZ86" s="318"/>
      <c r="CA86" s="318"/>
      <c r="CB86" s="318"/>
      <c r="CC86" s="318"/>
      <c r="CD86" s="318"/>
      <c r="CE86" s="318"/>
      <c r="CF86" s="318"/>
      <c r="CG86" s="318"/>
      <c r="CH86" s="318"/>
      <c r="CI86" s="318"/>
      <c r="CJ86" s="318"/>
      <c r="CK86" s="318"/>
      <c r="CL86" s="318"/>
      <c r="CM86" s="318"/>
      <c r="CN86" s="318"/>
      <c r="CO86" s="318"/>
      <c r="CP86" s="318"/>
      <c r="CQ86" s="318"/>
      <c r="CR86" s="318"/>
      <c r="CS86" s="318"/>
      <c r="CT86" s="318"/>
      <c r="CU86" s="318"/>
      <c r="CV86" s="318"/>
      <c r="CW86" s="318"/>
      <c r="CX86" s="318"/>
      <c r="CY86" s="318"/>
      <c r="CZ86" s="318"/>
      <c r="DA86" s="318"/>
      <c r="DB86" s="318"/>
      <c r="DC86" s="318"/>
      <c r="DD86" s="318"/>
      <c r="DE86" s="318"/>
      <c r="DF86" s="318"/>
      <c r="DG86" s="318"/>
      <c r="DH86" s="318"/>
      <c r="DI86" s="318"/>
      <c r="DJ86" s="318"/>
      <c r="DK86" s="318"/>
      <c r="DL86" s="318"/>
      <c r="DM86" s="318"/>
      <c r="DN86" s="318"/>
      <c r="DO86" s="318"/>
      <c r="DP86" s="318"/>
      <c r="DQ86" s="318"/>
      <c r="DR86" s="318"/>
      <c r="DS86" s="318"/>
      <c r="DT86" s="318"/>
      <c r="DU86" s="318"/>
      <c r="DV86" s="318"/>
      <c r="DW86" s="318"/>
      <c r="DX86" s="318"/>
      <c r="DY86" s="318"/>
      <c r="DZ86" s="318"/>
      <c r="EA86" s="318"/>
      <c r="EB86" s="318"/>
      <c r="EC86" s="318"/>
      <c r="ED86" s="318"/>
      <c r="EE86" s="318"/>
      <c r="EF86" s="318"/>
      <c r="EG86" s="318"/>
      <c r="EH86" s="318"/>
      <c r="EI86" s="318"/>
      <c r="EJ86" s="318"/>
      <c r="EK86" s="318"/>
      <c r="EL86" s="318"/>
      <c r="EM86" s="318"/>
      <c r="EN86" s="318"/>
      <c r="EO86" s="318"/>
      <c r="EP86" s="318"/>
      <c r="EQ86" s="318"/>
      <c r="ER86" s="318"/>
      <c r="ES86" s="318"/>
      <c r="ET86" s="318"/>
      <c r="EU86" s="318"/>
      <c r="EV86" s="318"/>
      <c r="EW86" s="318"/>
      <c r="EX86" s="318"/>
      <c r="EY86" s="318"/>
      <c r="EZ86" s="318"/>
      <c r="FA86" s="318"/>
      <c r="FB86" s="318"/>
      <c r="FC86" s="318"/>
      <c r="FD86" s="318"/>
      <c r="FE86" s="318"/>
      <c r="FF86" s="318"/>
      <c r="FG86" s="318"/>
      <c r="FH86" s="318"/>
      <c r="FI86" s="318"/>
      <c r="FJ86" s="318"/>
      <c r="FK86" s="318"/>
      <c r="FL86" s="318"/>
      <c r="FM86" s="318"/>
      <c r="FN86" s="318"/>
      <c r="FO86" s="318"/>
      <c r="FP86" s="318"/>
      <c r="FQ86" s="318"/>
      <c r="FR86" s="318"/>
      <c r="FS86" s="318"/>
      <c r="FT86" s="318"/>
      <c r="FU86" s="318"/>
      <c r="FV86" s="318"/>
      <c r="FW86" s="318"/>
      <c r="FX86" s="318"/>
      <c r="FY86" s="318"/>
      <c r="FZ86" s="318"/>
      <c r="GA86" s="318"/>
      <c r="GB86" s="318"/>
      <c r="GC86" s="318"/>
      <c r="GD86" s="318"/>
      <c r="GE86" s="318"/>
      <c r="GF86" s="318"/>
      <c r="GG86" s="318"/>
      <c r="GH86" s="318"/>
      <c r="GI86" s="318"/>
      <c r="GJ86" s="318"/>
      <c r="GK86" s="318"/>
      <c r="GL86" s="318"/>
      <c r="GM86" s="318"/>
      <c r="GN86" s="318"/>
      <c r="GO86" s="318"/>
      <c r="GP86" s="318"/>
      <c r="GQ86" s="318"/>
      <c r="GR86" s="318"/>
      <c r="GS86" s="318"/>
      <c r="GT86" s="318"/>
      <c r="GU86" s="318"/>
      <c r="GV86" s="318"/>
      <c r="GW86" s="318"/>
      <c r="GX86" s="318"/>
      <c r="GY86" s="318"/>
      <c r="GZ86" s="318"/>
      <c r="HA86" s="318"/>
      <c r="HB86" s="318"/>
      <c r="HC86" s="318"/>
      <c r="HD86" s="318"/>
      <c r="HE86" s="318"/>
      <c r="HF86" s="318"/>
      <c r="HG86" s="318"/>
      <c r="HH86" s="318"/>
      <c r="HI86" s="318"/>
      <c r="HJ86" s="318"/>
      <c r="HK86" s="318"/>
      <c r="HL86" s="318"/>
      <c r="HM86" s="318"/>
      <c r="HN86" s="318"/>
      <c r="HO86" s="318"/>
      <c r="HP86" s="318"/>
      <c r="HQ86" s="318"/>
      <c r="HR86" s="318"/>
      <c r="HS86" s="318"/>
      <c r="HT86" s="318"/>
      <c r="HU86" s="318"/>
      <c r="HV86" s="318"/>
      <c r="HW86" s="318"/>
      <c r="HX86" s="318"/>
      <c r="HY86" s="318"/>
      <c r="HZ86" s="318"/>
      <c r="IA86" s="318"/>
      <c r="IB86" s="318"/>
      <c r="IC86" s="318"/>
      <c r="ID86" s="318"/>
      <c r="IE86" s="318"/>
      <c r="IF86" s="318"/>
      <c r="IG86" s="318"/>
      <c r="IH86" s="318"/>
      <c r="II86" s="318"/>
      <c r="IJ86" s="318"/>
      <c r="IK86" s="318"/>
      <c r="IL86" s="318"/>
      <c r="IM86" s="318"/>
      <c r="IN86" s="318"/>
      <c r="IO86" s="318"/>
      <c r="IP86" s="318"/>
      <c r="IQ86" s="318"/>
      <c r="IR86" s="318"/>
      <c r="IS86" s="318"/>
      <c r="IT86" s="318"/>
      <c r="IU86" s="318"/>
      <c r="IV86" s="318"/>
    </row>
    <row r="87" spans="1:256" s="470" customFormat="1" ht="13.5" customHeight="1" thickBot="1" x14ac:dyDescent="0.25">
      <c r="A87" s="472"/>
      <c r="B87" s="34"/>
      <c r="C87" s="473"/>
      <c r="D87" s="474"/>
      <c r="E87" s="475"/>
      <c r="F87" s="476"/>
      <c r="G87" s="464"/>
      <c r="H87" s="464"/>
      <c r="I87" s="464"/>
      <c r="J87" s="464"/>
      <c r="K87" s="465"/>
      <c r="L87" s="10"/>
      <c r="M87" s="465"/>
      <c r="N87" s="465"/>
      <c r="O87" s="10"/>
      <c r="P87" s="4"/>
      <c r="Q87" s="4"/>
      <c r="R87" s="4"/>
      <c r="S87" s="4"/>
      <c r="T87" s="4"/>
      <c r="U87" s="4"/>
      <c r="V87" s="4"/>
      <c r="W87" s="4"/>
      <c r="X87" s="4"/>
      <c r="Y87" s="318"/>
      <c r="Z87" s="318"/>
      <c r="AA87" s="318"/>
      <c r="AB87" s="318"/>
      <c r="AC87" s="318"/>
      <c r="AD87" s="318"/>
      <c r="AE87" s="318"/>
      <c r="AF87" s="318"/>
      <c r="AG87" s="318"/>
      <c r="AH87" s="318"/>
      <c r="AI87" s="318"/>
      <c r="AJ87" s="318"/>
      <c r="AK87" s="318"/>
      <c r="AL87" s="318"/>
      <c r="AM87" s="318"/>
      <c r="AN87" s="318"/>
      <c r="AO87" s="318"/>
      <c r="AP87" s="318"/>
      <c r="AQ87" s="318"/>
      <c r="AR87" s="318"/>
      <c r="AS87" s="318"/>
      <c r="AT87" s="318"/>
      <c r="AU87" s="318"/>
      <c r="AV87" s="318"/>
      <c r="AW87" s="318"/>
      <c r="AX87" s="318"/>
      <c r="AY87" s="318"/>
      <c r="AZ87" s="318"/>
      <c r="BA87" s="318"/>
      <c r="BB87" s="318"/>
      <c r="BC87" s="318"/>
      <c r="BD87" s="318"/>
      <c r="BE87" s="318"/>
      <c r="BF87" s="318"/>
      <c r="BG87" s="318"/>
      <c r="BH87" s="318"/>
      <c r="BI87" s="318"/>
      <c r="BJ87" s="318"/>
      <c r="BK87" s="318"/>
      <c r="BL87" s="318"/>
      <c r="BM87" s="318"/>
      <c r="BN87" s="318"/>
      <c r="BO87" s="318"/>
      <c r="BP87" s="318"/>
      <c r="BQ87" s="318"/>
      <c r="BR87" s="318"/>
      <c r="BS87" s="318"/>
      <c r="BT87" s="318"/>
      <c r="BU87" s="318"/>
      <c r="BV87" s="318"/>
      <c r="BW87" s="318"/>
      <c r="BX87" s="318"/>
      <c r="BY87" s="318"/>
      <c r="BZ87" s="318"/>
      <c r="CA87" s="318"/>
      <c r="CB87" s="318"/>
      <c r="CC87" s="318"/>
      <c r="CD87" s="318"/>
      <c r="CE87" s="318"/>
      <c r="CF87" s="318"/>
      <c r="CG87" s="318"/>
      <c r="CH87" s="318"/>
      <c r="CI87" s="318"/>
      <c r="CJ87" s="318"/>
      <c r="CK87" s="318"/>
      <c r="CL87" s="318"/>
      <c r="CM87" s="318"/>
      <c r="CN87" s="318"/>
      <c r="CO87" s="318"/>
      <c r="CP87" s="318"/>
      <c r="CQ87" s="318"/>
      <c r="CR87" s="318"/>
      <c r="CS87" s="318"/>
      <c r="CT87" s="318"/>
      <c r="CU87" s="318"/>
      <c r="CV87" s="318"/>
      <c r="CW87" s="318"/>
      <c r="CX87" s="318"/>
      <c r="CY87" s="318"/>
      <c r="CZ87" s="318"/>
      <c r="DA87" s="318"/>
      <c r="DB87" s="318"/>
      <c r="DC87" s="318"/>
      <c r="DD87" s="318"/>
      <c r="DE87" s="318"/>
      <c r="DF87" s="318"/>
      <c r="DG87" s="318"/>
      <c r="DH87" s="318"/>
      <c r="DI87" s="318"/>
      <c r="DJ87" s="318"/>
      <c r="DK87" s="318"/>
      <c r="DL87" s="318"/>
      <c r="DM87" s="318"/>
      <c r="DN87" s="318"/>
      <c r="DO87" s="318"/>
      <c r="DP87" s="318"/>
      <c r="DQ87" s="318"/>
      <c r="DR87" s="318"/>
      <c r="DS87" s="318"/>
      <c r="DT87" s="318"/>
      <c r="DU87" s="318"/>
      <c r="DV87" s="318"/>
      <c r="DW87" s="318"/>
      <c r="DX87" s="318"/>
      <c r="DY87" s="318"/>
      <c r="DZ87" s="318"/>
      <c r="EA87" s="318"/>
      <c r="EB87" s="318"/>
      <c r="EC87" s="318"/>
      <c r="ED87" s="318"/>
      <c r="EE87" s="318"/>
      <c r="EF87" s="318"/>
      <c r="EG87" s="318"/>
      <c r="EH87" s="318"/>
      <c r="EI87" s="318"/>
      <c r="EJ87" s="318"/>
      <c r="EK87" s="318"/>
      <c r="EL87" s="318"/>
      <c r="EM87" s="318"/>
      <c r="EN87" s="318"/>
      <c r="EO87" s="318"/>
      <c r="EP87" s="318"/>
      <c r="EQ87" s="318"/>
      <c r="ER87" s="318"/>
      <c r="ES87" s="318"/>
      <c r="ET87" s="318"/>
      <c r="EU87" s="318"/>
      <c r="EV87" s="318"/>
      <c r="EW87" s="318"/>
      <c r="EX87" s="318"/>
      <c r="EY87" s="318"/>
      <c r="EZ87" s="318"/>
      <c r="FA87" s="318"/>
      <c r="FB87" s="318"/>
      <c r="FC87" s="318"/>
      <c r="FD87" s="318"/>
      <c r="FE87" s="318"/>
      <c r="FF87" s="318"/>
      <c r="FG87" s="318"/>
      <c r="FH87" s="318"/>
      <c r="FI87" s="318"/>
      <c r="FJ87" s="318"/>
      <c r="FK87" s="318"/>
      <c r="FL87" s="318"/>
      <c r="FM87" s="318"/>
      <c r="FN87" s="318"/>
      <c r="FO87" s="318"/>
      <c r="FP87" s="318"/>
      <c r="FQ87" s="318"/>
      <c r="FR87" s="318"/>
      <c r="FS87" s="318"/>
      <c r="FT87" s="318"/>
      <c r="FU87" s="318"/>
      <c r="FV87" s="318"/>
      <c r="FW87" s="318"/>
      <c r="FX87" s="318"/>
      <c r="FY87" s="318"/>
      <c r="FZ87" s="318"/>
      <c r="GA87" s="318"/>
      <c r="GB87" s="318"/>
      <c r="GC87" s="318"/>
      <c r="GD87" s="318"/>
      <c r="GE87" s="318"/>
      <c r="GF87" s="318"/>
      <c r="GG87" s="318"/>
      <c r="GH87" s="318"/>
      <c r="GI87" s="318"/>
      <c r="GJ87" s="318"/>
      <c r="GK87" s="318"/>
      <c r="GL87" s="318"/>
      <c r="GM87" s="318"/>
      <c r="GN87" s="318"/>
      <c r="GO87" s="318"/>
      <c r="GP87" s="318"/>
      <c r="GQ87" s="318"/>
      <c r="GR87" s="318"/>
      <c r="GS87" s="318"/>
      <c r="GT87" s="318"/>
      <c r="GU87" s="318"/>
      <c r="GV87" s="318"/>
      <c r="GW87" s="318"/>
      <c r="GX87" s="318"/>
      <c r="GY87" s="318"/>
      <c r="GZ87" s="318"/>
      <c r="HA87" s="318"/>
      <c r="HB87" s="318"/>
      <c r="HC87" s="318"/>
      <c r="HD87" s="318"/>
      <c r="HE87" s="318"/>
      <c r="HF87" s="318"/>
      <c r="HG87" s="318"/>
      <c r="HH87" s="318"/>
      <c r="HI87" s="318"/>
      <c r="HJ87" s="318"/>
      <c r="HK87" s="318"/>
      <c r="HL87" s="318"/>
      <c r="HM87" s="318"/>
      <c r="HN87" s="318"/>
      <c r="HO87" s="318"/>
      <c r="HP87" s="318"/>
      <c r="HQ87" s="318"/>
      <c r="HR87" s="318"/>
      <c r="HS87" s="318"/>
      <c r="HT87" s="318"/>
      <c r="HU87" s="318"/>
      <c r="HV87" s="318"/>
      <c r="HW87" s="318"/>
      <c r="HX87" s="318"/>
      <c r="HY87" s="318"/>
      <c r="HZ87" s="318"/>
      <c r="IA87" s="318"/>
      <c r="IB87" s="318"/>
      <c r="IC87" s="318"/>
      <c r="ID87" s="318"/>
      <c r="IE87" s="318"/>
      <c r="IF87" s="318"/>
      <c r="IG87" s="318"/>
      <c r="IH87" s="318"/>
      <c r="II87" s="318"/>
      <c r="IJ87" s="318"/>
      <c r="IK87" s="318"/>
      <c r="IL87" s="318"/>
      <c r="IM87" s="318"/>
      <c r="IN87" s="318"/>
      <c r="IO87" s="318"/>
      <c r="IP87" s="318"/>
      <c r="IQ87" s="318"/>
      <c r="IR87" s="318"/>
      <c r="IS87" s="318"/>
      <c r="IT87" s="318"/>
      <c r="IU87" s="318"/>
      <c r="IV87" s="318"/>
    </row>
    <row r="88" spans="1:256" s="470" customFormat="1" ht="13.5" customHeight="1" thickBot="1" x14ac:dyDescent="0.25">
      <c r="A88" s="472"/>
      <c r="B88" s="34"/>
      <c r="C88" s="473"/>
      <c r="D88" s="474"/>
      <c r="E88" s="475"/>
      <c r="F88" s="476"/>
      <c r="G88" s="464"/>
      <c r="H88" s="464"/>
      <c r="I88" s="464"/>
      <c r="J88" s="464"/>
      <c r="K88" s="465"/>
      <c r="L88" s="10"/>
      <c r="M88" s="465"/>
      <c r="N88" s="465"/>
      <c r="O88" s="10"/>
      <c r="P88" s="4"/>
      <c r="Q88" s="4"/>
      <c r="R88" s="4"/>
      <c r="S88" s="4"/>
      <c r="T88" s="4"/>
      <c r="U88" s="4"/>
      <c r="V88" s="4"/>
      <c r="W88" s="4"/>
      <c r="X88" s="4"/>
      <c r="Y88" s="318"/>
      <c r="Z88" s="318"/>
      <c r="AA88" s="318"/>
      <c r="AB88" s="318"/>
      <c r="AC88" s="318"/>
      <c r="AD88" s="318"/>
      <c r="AE88" s="318"/>
      <c r="AF88" s="318"/>
      <c r="AG88" s="318"/>
      <c r="AH88" s="318"/>
      <c r="AI88" s="318"/>
      <c r="AJ88" s="318"/>
      <c r="AK88" s="318"/>
      <c r="AL88" s="318"/>
      <c r="AM88" s="318"/>
      <c r="AN88" s="318"/>
      <c r="AO88" s="318"/>
      <c r="AP88" s="318"/>
      <c r="AQ88" s="318"/>
      <c r="AR88" s="318"/>
      <c r="AS88" s="318"/>
      <c r="AT88" s="318"/>
      <c r="AU88" s="318"/>
      <c r="AV88" s="318"/>
      <c r="AW88" s="318"/>
      <c r="AX88" s="318"/>
      <c r="AY88" s="318"/>
      <c r="AZ88" s="318"/>
      <c r="BA88" s="318"/>
      <c r="BB88" s="318"/>
      <c r="BC88" s="318"/>
      <c r="BD88" s="318"/>
      <c r="BE88" s="318"/>
      <c r="BF88" s="318"/>
      <c r="BG88" s="318"/>
      <c r="BH88" s="318"/>
      <c r="BI88" s="318"/>
      <c r="BJ88" s="318"/>
      <c r="BK88" s="318"/>
      <c r="BL88" s="318"/>
      <c r="BM88" s="318"/>
      <c r="BN88" s="318"/>
      <c r="BO88" s="318"/>
      <c r="BP88" s="318"/>
      <c r="BQ88" s="318"/>
      <c r="BR88" s="318"/>
      <c r="BS88" s="318"/>
      <c r="BT88" s="318"/>
      <c r="BU88" s="318"/>
      <c r="BV88" s="318"/>
      <c r="BW88" s="318"/>
      <c r="BX88" s="318"/>
      <c r="BY88" s="318"/>
      <c r="BZ88" s="318"/>
      <c r="CA88" s="318"/>
      <c r="CB88" s="318"/>
      <c r="CC88" s="318"/>
      <c r="CD88" s="318"/>
      <c r="CE88" s="318"/>
      <c r="CF88" s="318"/>
      <c r="CG88" s="318"/>
      <c r="CH88" s="318"/>
      <c r="CI88" s="318"/>
      <c r="CJ88" s="318"/>
      <c r="CK88" s="318"/>
      <c r="CL88" s="318"/>
      <c r="CM88" s="318"/>
      <c r="CN88" s="318"/>
      <c r="CO88" s="318"/>
      <c r="CP88" s="318"/>
      <c r="CQ88" s="318"/>
      <c r="CR88" s="318"/>
      <c r="CS88" s="318"/>
      <c r="CT88" s="318"/>
      <c r="CU88" s="318"/>
      <c r="CV88" s="318"/>
      <c r="CW88" s="318"/>
      <c r="CX88" s="318"/>
      <c r="CY88" s="318"/>
      <c r="CZ88" s="318"/>
      <c r="DA88" s="318"/>
      <c r="DB88" s="318"/>
      <c r="DC88" s="318"/>
      <c r="DD88" s="318"/>
      <c r="DE88" s="318"/>
      <c r="DF88" s="318"/>
      <c r="DG88" s="318"/>
      <c r="DH88" s="318"/>
      <c r="DI88" s="318"/>
      <c r="DJ88" s="318"/>
      <c r="DK88" s="318"/>
      <c r="DL88" s="318"/>
      <c r="DM88" s="318"/>
      <c r="DN88" s="318"/>
      <c r="DO88" s="318"/>
      <c r="DP88" s="318"/>
      <c r="DQ88" s="318"/>
      <c r="DR88" s="318"/>
      <c r="DS88" s="318"/>
      <c r="DT88" s="318"/>
      <c r="DU88" s="318"/>
      <c r="DV88" s="318"/>
      <c r="DW88" s="318"/>
      <c r="DX88" s="318"/>
      <c r="DY88" s="318"/>
      <c r="DZ88" s="318"/>
      <c r="EA88" s="318"/>
      <c r="EB88" s="318"/>
      <c r="EC88" s="318"/>
      <c r="ED88" s="318"/>
      <c r="EE88" s="318"/>
      <c r="EF88" s="318"/>
      <c r="EG88" s="318"/>
      <c r="EH88" s="318"/>
      <c r="EI88" s="318"/>
      <c r="EJ88" s="318"/>
      <c r="EK88" s="318"/>
      <c r="EL88" s="318"/>
      <c r="EM88" s="318"/>
      <c r="EN88" s="318"/>
      <c r="EO88" s="318"/>
      <c r="EP88" s="318"/>
      <c r="EQ88" s="318"/>
      <c r="ER88" s="318"/>
      <c r="ES88" s="318"/>
      <c r="ET88" s="318"/>
      <c r="EU88" s="318"/>
      <c r="EV88" s="318"/>
      <c r="EW88" s="318"/>
      <c r="EX88" s="318"/>
      <c r="EY88" s="318"/>
      <c r="EZ88" s="318"/>
      <c r="FA88" s="318"/>
      <c r="FB88" s="318"/>
      <c r="FC88" s="318"/>
      <c r="FD88" s="318"/>
      <c r="FE88" s="318"/>
      <c r="FF88" s="318"/>
      <c r="FG88" s="318"/>
      <c r="FH88" s="318"/>
      <c r="FI88" s="318"/>
      <c r="FJ88" s="318"/>
      <c r="FK88" s="318"/>
      <c r="FL88" s="318"/>
      <c r="FM88" s="318"/>
      <c r="FN88" s="318"/>
      <c r="FO88" s="318"/>
      <c r="FP88" s="318"/>
      <c r="FQ88" s="318"/>
      <c r="FR88" s="318"/>
      <c r="FS88" s="318"/>
      <c r="FT88" s="318"/>
      <c r="FU88" s="318"/>
      <c r="FV88" s="318"/>
      <c r="FW88" s="318"/>
      <c r="FX88" s="318"/>
      <c r="FY88" s="318"/>
      <c r="FZ88" s="318"/>
      <c r="GA88" s="318"/>
      <c r="GB88" s="318"/>
      <c r="GC88" s="318"/>
      <c r="GD88" s="318"/>
      <c r="GE88" s="318"/>
      <c r="GF88" s="318"/>
      <c r="GG88" s="318"/>
      <c r="GH88" s="318"/>
      <c r="GI88" s="318"/>
      <c r="GJ88" s="318"/>
      <c r="GK88" s="318"/>
      <c r="GL88" s="318"/>
      <c r="GM88" s="318"/>
      <c r="GN88" s="318"/>
      <c r="GO88" s="318"/>
      <c r="GP88" s="318"/>
      <c r="GQ88" s="318"/>
      <c r="GR88" s="318"/>
      <c r="GS88" s="318"/>
      <c r="GT88" s="318"/>
      <c r="GU88" s="318"/>
      <c r="GV88" s="318"/>
      <c r="GW88" s="318"/>
      <c r="GX88" s="318"/>
      <c r="GY88" s="318"/>
      <c r="GZ88" s="318"/>
      <c r="HA88" s="318"/>
      <c r="HB88" s="318"/>
      <c r="HC88" s="318"/>
      <c r="HD88" s="318"/>
      <c r="HE88" s="318"/>
      <c r="HF88" s="318"/>
      <c r="HG88" s="318"/>
      <c r="HH88" s="318"/>
      <c r="HI88" s="318"/>
      <c r="HJ88" s="318"/>
      <c r="HK88" s="318"/>
      <c r="HL88" s="318"/>
      <c r="HM88" s="318"/>
      <c r="HN88" s="318"/>
      <c r="HO88" s="318"/>
      <c r="HP88" s="318"/>
      <c r="HQ88" s="318"/>
      <c r="HR88" s="318"/>
      <c r="HS88" s="318"/>
      <c r="HT88" s="318"/>
      <c r="HU88" s="318"/>
      <c r="HV88" s="318"/>
      <c r="HW88" s="318"/>
      <c r="HX88" s="318"/>
      <c r="HY88" s="318"/>
      <c r="HZ88" s="318"/>
      <c r="IA88" s="318"/>
      <c r="IB88" s="318"/>
      <c r="IC88" s="318"/>
      <c r="ID88" s="318"/>
      <c r="IE88" s="318"/>
      <c r="IF88" s="318"/>
      <c r="IG88" s="318"/>
      <c r="IH88" s="318"/>
      <c r="II88" s="318"/>
      <c r="IJ88" s="318"/>
      <c r="IK88" s="318"/>
      <c r="IL88" s="318"/>
      <c r="IM88" s="318"/>
      <c r="IN88" s="318"/>
      <c r="IO88" s="318"/>
      <c r="IP88" s="318"/>
      <c r="IQ88" s="318"/>
      <c r="IR88" s="318"/>
      <c r="IS88" s="318"/>
      <c r="IT88" s="318"/>
      <c r="IU88" s="318"/>
      <c r="IV88" s="318"/>
    </row>
    <row r="89" spans="1:256" s="470" customFormat="1" ht="13.5" customHeight="1" thickBot="1" x14ac:dyDescent="0.25">
      <c r="A89" s="472"/>
      <c r="B89" s="34"/>
      <c r="C89" s="473"/>
      <c r="D89" s="474"/>
      <c r="E89" s="475"/>
      <c r="F89" s="476"/>
      <c r="G89" s="464"/>
      <c r="H89" s="464"/>
      <c r="I89" s="464"/>
      <c r="J89" s="464"/>
      <c r="K89" s="465"/>
      <c r="L89" s="10"/>
      <c r="M89" s="465"/>
      <c r="N89" s="465"/>
      <c r="O89" s="10"/>
      <c r="P89" s="4"/>
      <c r="Q89" s="4"/>
      <c r="R89" s="4"/>
      <c r="S89" s="4"/>
      <c r="T89" s="4"/>
      <c r="U89" s="4"/>
      <c r="V89" s="4"/>
      <c r="W89" s="4"/>
      <c r="X89" s="4"/>
      <c r="Y89" s="318"/>
      <c r="Z89" s="318"/>
      <c r="AA89" s="318"/>
      <c r="AB89" s="318"/>
      <c r="AC89" s="318"/>
      <c r="AD89" s="318"/>
      <c r="AE89" s="318"/>
      <c r="AF89" s="318"/>
      <c r="AG89" s="318"/>
      <c r="AH89" s="318"/>
      <c r="AI89" s="318"/>
      <c r="AJ89" s="318"/>
      <c r="AK89" s="318"/>
      <c r="AL89" s="318"/>
      <c r="AM89" s="318"/>
      <c r="AN89" s="318"/>
      <c r="AO89" s="318"/>
      <c r="AP89" s="318"/>
      <c r="AQ89" s="318"/>
      <c r="AR89" s="318"/>
      <c r="AS89" s="318"/>
      <c r="AT89" s="318"/>
      <c r="AU89" s="318"/>
      <c r="AV89" s="318"/>
      <c r="AW89" s="318"/>
      <c r="AX89" s="318"/>
      <c r="AY89" s="318"/>
      <c r="AZ89" s="318"/>
      <c r="BA89" s="318"/>
      <c r="BB89" s="318"/>
      <c r="BC89" s="318"/>
      <c r="BD89" s="318"/>
      <c r="BE89" s="318"/>
      <c r="BF89" s="318"/>
      <c r="BG89" s="318"/>
      <c r="BH89" s="318"/>
      <c r="BI89" s="318"/>
      <c r="BJ89" s="318"/>
      <c r="BK89" s="318"/>
      <c r="BL89" s="318"/>
      <c r="BM89" s="318"/>
      <c r="BN89" s="318"/>
      <c r="BO89" s="318"/>
      <c r="BP89" s="318"/>
      <c r="BQ89" s="318"/>
      <c r="BR89" s="318"/>
      <c r="BS89" s="318"/>
      <c r="BT89" s="318"/>
      <c r="BU89" s="318"/>
      <c r="BV89" s="318"/>
      <c r="BW89" s="318"/>
      <c r="BX89" s="318"/>
      <c r="BY89" s="318"/>
      <c r="BZ89" s="318"/>
      <c r="CA89" s="318"/>
      <c r="CB89" s="318"/>
      <c r="CC89" s="318"/>
      <c r="CD89" s="318"/>
      <c r="CE89" s="318"/>
      <c r="CF89" s="318"/>
      <c r="CG89" s="318"/>
      <c r="CH89" s="318"/>
      <c r="CI89" s="318"/>
      <c r="CJ89" s="318"/>
      <c r="CK89" s="318"/>
      <c r="CL89" s="318"/>
      <c r="CM89" s="318"/>
      <c r="CN89" s="318"/>
      <c r="CO89" s="318"/>
      <c r="CP89" s="318"/>
      <c r="CQ89" s="318"/>
      <c r="CR89" s="318"/>
      <c r="CS89" s="318"/>
      <c r="CT89" s="318"/>
      <c r="CU89" s="318"/>
      <c r="CV89" s="318"/>
      <c r="CW89" s="318"/>
      <c r="CX89" s="318"/>
      <c r="CY89" s="318"/>
      <c r="CZ89" s="318"/>
      <c r="DA89" s="318"/>
      <c r="DB89" s="318"/>
      <c r="DC89" s="318"/>
      <c r="DD89" s="318"/>
      <c r="DE89" s="318"/>
      <c r="DF89" s="318"/>
      <c r="DG89" s="318"/>
      <c r="DH89" s="318"/>
      <c r="DI89" s="318"/>
      <c r="DJ89" s="318"/>
      <c r="DK89" s="318"/>
      <c r="DL89" s="318"/>
      <c r="DM89" s="318"/>
      <c r="DN89" s="318"/>
      <c r="DO89" s="318"/>
      <c r="DP89" s="318"/>
      <c r="DQ89" s="318"/>
      <c r="DR89" s="318"/>
      <c r="DS89" s="318"/>
      <c r="DT89" s="318"/>
      <c r="DU89" s="318"/>
      <c r="DV89" s="318"/>
      <c r="DW89" s="318"/>
      <c r="DX89" s="318"/>
      <c r="DY89" s="318"/>
      <c r="DZ89" s="318"/>
      <c r="EA89" s="318"/>
      <c r="EB89" s="318"/>
      <c r="EC89" s="318"/>
      <c r="ED89" s="318"/>
      <c r="EE89" s="318"/>
      <c r="EF89" s="318"/>
      <c r="EG89" s="318"/>
      <c r="EH89" s="318"/>
      <c r="EI89" s="318"/>
      <c r="EJ89" s="318"/>
      <c r="EK89" s="318"/>
      <c r="EL89" s="318"/>
      <c r="EM89" s="318"/>
      <c r="EN89" s="318"/>
      <c r="EO89" s="318"/>
      <c r="EP89" s="318"/>
      <c r="EQ89" s="318"/>
      <c r="ER89" s="318"/>
      <c r="ES89" s="318"/>
      <c r="ET89" s="318"/>
      <c r="EU89" s="318"/>
      <c r="EV89" s="318"/>
      <c r="EW89" s="318"/>
      <c r="EX89" s="318"/>
      <c r="EY89" s="318"/>
      <c r="EZ89" s="318"/>
      <c r="FA89" s="318"/>
      <c r="FB89" s="318"/>
      <c r="FC89" s="318"/>
      <c r="FD89" s="318"/>
      <c r="FE89" s="318"/>
      <c r="FF89" s="318"/>
      <c r="FG89" s="318"/>
      <c r="FH89" s="318"/>
      <c r="FI89" s="318"/>
      <c r="FJ89" s="318"/>
      <c r="FK89" s="318"/>
      <c r="FL89" s="318"/>
      <c r="FM89" s="318"/>
      <c r="FN89" s="318"/>
      <c r="FO89" s="318"/>
      <c r="FP89" s="318"/>
      <c r="FQ89" s="318"/>
      <c r="FR89" s="318"/>
      <c r="FS89" s="318"/>
      <c r="FT89" s="318"/>
      <c r="FU89" s="318"/>
      <c r="FV89" s="318"/>
      <c r="FW89" s="318"/>
      <c r="FX89" s="318"/>
      <c r="FY89" s="318"/>
      <c r="FZ89" s="318"/>
      <c r="GA89" s="318"/>
      <c r="GB89" s="318"/>
      <c r="GC89" s="318"/>
      <c r="GD89" s="318"/>
      <c r="GE89" s="318"/>
      <c r="GF89" s="318"/>
      <c r="GG89" s="318"/>
      <c r="GH89" s="318"/>
      <c r="GI89" s="318"/>
      <c r="GJ89" s="318"/>
      <c r="GK89" s="318"/>
      <c r="GL89" s="318"/>
      <c r="GM89" s="318"/>
      <c r="GN89" s="318"/>
      <c r="GO89" s="318"/>
      <c r="GP89" s="318"/>
      <c r="GQ89" s="318"/>
      <c r="GR89" s="318"/>
      <c r="GS89" s="318"/>
      <c r="GT89" s="318"/>
      <c r="GU89" s="318"/>
      <c r="GV89" s="318"/>
      <c r="GW89" s="318"/>
      <c r="GX89" s="318"/>
      <c r="GY89" s="318"/>
      <c r="GZ89" s="318"/>
      <c r="HA89" s="318"/>
      <c r="HB89" s="318"/>
      <c r="HC89" s="318"/>
      <c r="HD89" s="318"/>
      <c r="HE89" s="318"/>
      <c r="HF89" s="318"/>
      <c r="HG89" s="318"/>
      <c r="HH89" s="318"/>
      <c r="HI89" s="318"/>
      <c r="HJ89" s="318"/>
      <c r="HK89" s="318"/>
      <c r="HL89" s="318"/>
      <c r="HM89" s="318"/>
      <c r="HN89" s="318"/>
      <c r="HO89" s="318"/>
      <c r="HP89" s="318"/>
      <c r="HQ89" s="318"/>
      <c r="HR89" s="318"/>
      <c r="HS89" s="318"/>
      <c r="HT89" s="318"/>
      <c r="HU89" s="318"/>
      <c r="HV89" s="318"/>
      <c r="HW89" s="318"/>
      <c r="HX89" s="318"/>
      <c r="HY89" s="318"/>
      <c r="HZ89" s="318"/>
      <c r="IA89" s="318"/>
      <c r="IB89" s="318"/>
      <c r="IC89" s="318"/>
      <c r="ID89" s="318"/>
      <c r="IE89" s="318"/>
      <c r="IF89" s="318"/>
      <c r="IG89" s="318"/>
      <c r="IH89" s="318"/>
      <c r="II89" s="318"/>
      <c r="IJ89" s="318"/>
      <c r="IK89" s="318"/>
      <c r="IL89" s="318"/>
      <c r="IM89" s="318"/>
      <c r="IN89" s="318"/>
      <c r="IO89" s="318"/>
      <c r="IP89" s="318"/>
      <c r="IQ89" s="318"/>
      <c r="IR89" s="318"/>
      <c r="IS89" s="318"/>
      <c r="IT89" s="318"/>
      <c r="IU89" s="318"/>
      <c r="IV89" s="318"/>
    </row>
    <row r="90" spans="1:256" s="470" customFormat="1" ht="13.5" customHeight="1" thickBot="1" x14ac:dyDescent="0.25">
      <c r="A90" s="472"/>
      <c r="B90" s="34"/>
      <c r="C90" s="473"/>
      <c r="D90" s="474"/>
      <c r="E90" s="475"/>
      <c r="F90" s="476"/>
      <c r="G90" s="464"/>
      <c r="H90" s="464"/>
      <c r="I90" s="464"/>
      <c r="J90" s="464"/>
      <c r="K90" s="465"/>
      <c r="L90" s="10"/>
      <c r="M90" s="465"/>
      <c r="N90" s="465"/>
      <c r="O90" s="10"/>
      <c r="P90" s="4"/>
      <c r="Q90" s="4"/>
      <c r="R90" s="4"/>
      <c r="S90" s="4"/>
      <c r="T90" s="4"/>
      <c r="U90" s="4"/>
      <c r="V90" s="4"/>
      <c r="W90" s="4"/>
      <c r="X90" s="4"/>
      <c r="Y90" s="318"/>
      <c r="Z90" s="318"/>
      <c r="AA90" s="318"/>
      <c r="AB90" s="318"/>
      <c r="AC90" s="318"/>
      <c r="AD90" s="318"/>
      <c r="AE90" s="318"/>
      <c r="AF90" s="318"/>
      <c r="AG90" s="318"/>
      <c r="AH90" s="318"/>
      <c r="AI90" s="318"/>
      <c r="AJ90" s="318"/>
      <c r="AK90" s="318"/>
      <c r="AL90" s="318"/>
      <c r="AM90" s="318"/>
      <c r="AN90" s="318"/>
      <c r="AO90" s="318"/>
      <c r="AP90" s="318"/>
      <c r="AQ90" s="318"/>
      <c r="AR90" s="318"/>
      <c r="AS90" s="318"/>
      <c r="AT90" s="318"/>
      <c r="AU90" s="318"/>
      <c r="AV90" s="318"/>
      <c r="AW90" s="318"/>
      <c r="AX90" s="318"/>
      <c r="AY90" s="318"/>
      <c r="AZ90" s="318"/>
      <c r="BA90" s="318"/>
      <c r="BB90" s="318"/>
      <c r="BC90" s="318"/>
      <c r="BD90" s="318"/>
      <c r="BE90" s="318"/>
      <c r="BF90" s="318"/>
      <c r="BG90" s="318"/>
      <c r="BH90" s="318"/>
      <c r="BI90" s="318"/>
      <c r="BJ90" s="318"/>
      <c r="BK90" s="318"/>
      <c r="BL90" s="318"/>
      <c r="BM90" s="318"/>
      <c r="BN90" s="318"/>
      <c r="BO90" s="318"/>
      <c r="BP90" s="318"/>
      <c r="BQ90" s="318"/>
      <c r="BR90" s="318"/>
      <c r="BS90" s="318"/>
      <c r="BT90" s="318"/>
      <c r="BU90" s="318"/>
      <c r="BV90" s="318"/>
      <c r="BW90" s="318"/>
      <c r="BX90" s="318"/>
      <c r="BY90" s="318"/>
      <c r="BZ90" s="318"/>
      <c r="CA90" s="318"/>
      <c r="CB90" s="318"/>
      <c r="CC90" s="318"/>
      <c r="CD90" s="318"/>
      <c r="CE90" s="318"/>
      <c r="CF90" s="318"/>
      <c r="CG90" s="318"/>
      <c r="CH90" s="318"/>
      <c r="CI90" s="318"/>
      <c r="CJ90" s="318"/>
      <c r="CK90" s="318"/>
      <c r="CL90" s="318"/>
      <c r="CM90" s="318"/>
      <c r="CN90" s="318"/>
      <c r="CO90" s="318"/>
      <c r="CP90" s="318"/>
      <c r="CQ90" s="318"/>
      <c r="CR90" s="318"/>
      <c r="CS90" s="318"/>
      <c r="CT90" s="318"/>
      <c r="CU90" s="318"/>
      <c r="CV90" s="318"/>
      <c r="CW90" s="318"/>
      <c r="CX90" s="318"/>
      <c r="CY90" s="318"/>
      <c r="CZ90" s="318"/>
      <c r="DA90" s="318"/>
      <c r="DB90" s="318"/>
      <c r="DC90" s="318"/>
      <c r="DD90" s="318"/>
      <c r="DE90" s="318"/>
      <c r="DF90" s="318"/>
      <c r="DG90" s="318"/>
      <c r="DH90" s="318"/>
      <c r="DI90" s="318"/>
      <c r="DJ90" s="318"/>
      <c r="DK90" s="318"/>
      <c r="DL90" s="318"/>
      <c r="DM90" s="318"/>
      <c r="DN90" s="318"/>
      <c r="DO90" s="318"/>
      <c r="DP90" s="318"/>
      <c r="DQ90" s="318"/>
      <c r="DR90" s="318"/>
      <c r="DS90" s="318"/>
      <c r="DT90" s="318"/>
      <c r="DU90" s="318"/>
      <c r="DV90" s="318"/>
      <c r="DW90" s="318"/>
      <c r="DX90" s="318"/>
      <c r="DY90" s="318"/>
      <c r="DZ90" s="318"/>
      <c r="EA90" s="318"/>
      <c r="EB90" s="318"/>
      <c r="EC90" s="318"/>
      <c r="ED90" s="318"/>
      <c r="EE90" s="318"/>
      <c r="EF90" s="318"/>
      <c r="EG90" s="318"/>
      <c r="EH90" s="318"/>
      <c r="EI90" s="318"/>
      <c r="EJ90" s="318"/>
      <c r="EK90" s="318"/>
      <c r="EL90" s="318"/>
      <c r="EM90" s="318"/>
      <c r="EN90" s="318"/>
      <c r="EO90" s="318"/>
      <c r="EP90" s="318"/>
      <c r="EQ90" s="318"/>
      <c r="ER90" s="318"/>
      <c r="ES90" s="318"/>
      <c r="ET90" s="318"/>
      <c r="EU90" s="318"/>
      <c r="EV90" s="318"/>
      <c r="EW90" s="318"/>
      <c r="EX90" s="318"/>
      <c r="EY90" s="318"/>
      <c r="EZ90" s="318"/>
      <c r="FA90" s="318"/>
      <c r="FB90" s="318"/>
      <c r="FC90" s="318"/>
      <c r="FD90" s="318"/>
      <c r="FE90" s="318"/>
      <c r="FF90" s="318"/>
      <c r="FG90" s="318"/>
      <c r="FH90" s="318"/>
      <c r="FI90" s="318"/>
      <c r="FJ90" s="318"/>
      <c r="FK90" s="318"/>
      <c r="FL90" s="318"/>
      <c r="FM90" s="318"/>
      <c r="FN90" s="318"/>
      <c r="FO90" s="318"/>
      <c r="FP90" s="318"/>
      <c r="FQ90" s="318"/>
      <c r="FR90" s="318"/>
      <c r="FS90" s="318"/>
      <c r="FT90" s="318"/>
      <c r="FU90" s="318"/>
      <c r="FV90" s="318"/>
      <c r="FW90" s="318"/>
      <c r="FX90" s="318"/>
      <c r="FY90" s="318"/>
      <c r="FZ90" s="318"/>
      <c r="GA90" s="318"/>
      <c r="GB90" s="318"/>
      <c r="GC90" s="318"/>
      <c r="GD90" s="318"/>
      <c r="GE90" s="318"/>
      <c r="GF90" s="318"/>
      <c r="GG90" s="318"/>
      <c r="GH90" s="318"/>
      <c r="GI90" s="318"/>
      <c r="GJ90" s="318"/>
      <c r="GK90" s="318"/>
      <c r="GL90" s="318"/>
      <c r="GM90" s="318"/>
      <c r="GN90" s="318"/>
      <c r="GO90" s="318"/>
      <c r="GP90" s="318"/>
      <c r="GQ90" s="318"/>
      <c r="GR90" s="318"/>
      <c r="GS90" s="318"/>
      <c r="GT90" s="318"/>
      <c r="GU90" s="318"/>
      <c r="GV90" s="318"/>
      <c r="GW90" s="318"/>
      <c r="GX90" s="318"/>
      <c r="GY90" s="318"/>
      <c r="GZ90" s="318"/>
      <c r="HA90" s="318"/>
      <c r="HB90" s="318"/>
      <c r="HC90" s="318"/>
      <c r="HD90" s="318"/>
      <c r="HE90" s="318"/>
      <c r="HF90" s="318"/>
      <c r="HG90" s="318"/>
      <c r="HH90" s="318"/>
      <c r="HI90" s="318"/>
      <c r="HJ90" s="318"/>
      <c r="HK90" s="318"/>
      <c r="HL90" s="318"/>
      <c r="HM90" s="318"/>
      <c r="HN90" s="318"/>
      <c r="HO90" s="318"/>
      <c r="HP90" s="318"/>
      <c r="HQ90" s="318"/>
      <c r="HR90" s="318"/>
      <c r="HS90" s="318"/>
      <c r="HT90" s="318"/>
      <c r="HU90" s="318"/>
      <c r="HV90" s="318"/>
      <c r="HW90" s="318"/>
      <c r="HX90" s="318"/>
      <c r="HY90" s="318"/>
      <c r="HZ90" s="318"/>
      <c r="IA90" s="318"/>
      <c r="IB90" s="318"/>
      <c r="IC90" s="318"/>
      <c r="ID90" s="318"/>
      <c r="IE90" s="318"/>
      <c r="IF90" s="318"/>
      <c r="IG90" s="318"/>
      <c r="IH90" s="318"/>
      <c r="II90" s="318"/>
      <c r="IJ90" s="318"/>
      <c r="IK90" s="318"/>
      <c r="IL90" s="318"/>
      <c r="IM90" s="318"/>
      <c r="IN90" s="318"/>
      <c r="IO90" s="318"/>
      <c r="IP90" s="318"/>
      <c r="IQ90" s="318"/>
      <c r="IR90" s="318"/>
      <c r="IS90" s="318"/>
      <c r="IT90" s="318"/>
      <c r="IU90" s="318"/>
      <c r="IV90" s="318"/>
    </row>
    <row r="91" spans="1:256" s="470" customFormat="1" ht="13.5" customHeight="1" thickBot="1" x14ac:dyDescent="0.25">
      <c r="A91" s="472"/>
      <c r="B91" s="34"/>
      <c r="C91" s="473"/>
      <c r="D91" s="474"/>
      <c r="E91" s="475"/>
      <c r="F91" s="476"/>
      <c r="G91" s="464"/>
      <c r="H91" s="464"/>
      <c r="I91" s="464"/>
      <c r="J91" s="464"/>
      <c r="K91" s="465"/>
      <c r="L91" s="10"/>
      <c r="M91" s="465"/>
      <c r="N91" s="465"/>
      <c r="O91" s="10"/>
      <c r="P91" s="4"/>
      <c r="Q91" s="4"/>
      <c r="R91" s="4"/>
      <c r="S91" s="4"/>
      <c r="T91" s="4"/>
      <c r="U91" s="4"/>
      <c r="V91" s="4"/>
      <c r="W91" s="4"/>
      <c r="X91" s="4"/>
      <c r="Y91" s="318"/>
      <c r="Z91" s="318"/>
      <c r="AA91" s="318"/>
      <c r="AB91" s="318"/>
      <c r="AC91" s="318"/>
      <c r="AD91" s="318"/>
      <c r="AE91" s="318"/>
      <c r="AF91" s="318"/>
      <c r="AG91" s="318"/>
      <c r="AH91" s="318"/>
      <c r="AI91" s="318"/>
      <c r="AJ91" s="318"/>
      <c r="AK91" s="318"/>
      <c r="AL91" s="318"/>
      <c r="AM91" s="318"/>
      <c r="AN91" s="318"/>
      <c r="AO91" s="318"/>
      <c r="AP91" s="318"/>
      <c r="AQ91" s="318"/>
      <c r="AR91" s="318"/>
      <c r="AS91" s="318"/>
      <c r="AT91" s="318"/>
      <c r="AU91" s="318"/>
      <c r="AV91" s="318"/>
      <c r="AW91" s="318"/>
      <c r="AX91" s="318"/>
      <c r="AY91" s="318"/>
      <c r="AZ91" s="318"/>
      <c r="BA91" s="318"/>
      <c r="BB91" s="318"/>
      <c r="BC91" s="318"/>
      <c r="BD91" s="318"/>
      <c r="BE91" s="318"/>
      <c r="BF91" s="318"/>
      <c r="BG91" s="318"/>
      <c r="BH91" s="318"/>
      <c r="BI91" s="318"/>
      <c r="BJ91" s="318"/>
      <c r="BK91" s="318"/>
      <c r="BL91" s="318"/>
      <c r="BM91" s="318"/>
      <c r="BN91" s="318"/>
      <c r="BO91" s="318"/>
      <c r="BP91" s="318"/>
      <c r="BQ91" s="318"/>
      <c r="BR91" s="318"/>
      <c r="BS91" s="318"/>
      <c r="BT91" s="318"/>
      <c r="BU91" s="318"/>
      <c r="BV91" s="318"/>
      <c r="BW91" s="318"/>
      <c r="BX91" s="318"/>
      <c r="BY91" s="318"/>
      <c r="BZ91" s="318"/>
      <c r="CA91" s="318"/>
      <c r="CB91" s="318"/>
      <c r="CC91" s="318"/>
      <c r="CD91" s="318"/>
      <c r="CE91" s="318"/>
      <c r="CF91" s="318"/>
      <c r="CG91" s="318"/>
      <c r="CH91" s="318"/>
      <c r="CI91" s="318"/>
      <c r="CJ91" s="318"/>
      <c r="CK91" s="318"/>
      <c r="CL91" s="318"/>
      <c r="CM91" s="318"/>
      <c r="CN91" s="318"/>
      <c r="CO91" s="318"/>
      <c r="CP91" s="318"/>
      <c r="CQ91" s="318"/>
      <c r="CR91" s="318"/>
      <c r="CS91" s="318"/>
      <c r="CT91" s="318"/>
      <c r="CU91" s="318"/>
      <c r="CV91" s="318"/>
      <c r="CW91" s="318"/>
      <c r="CX91" s="318"/>
      <c r="CY91" s="318"/>
      <c r="CZ91" s="318"/>
      <c r="DA91" s="318"/>
      <c r="DB91" s="318"/>
      <c r="DC91" s="318"/>
      <c r="DD91" s="318"/>
      <c r="DE91" s="318"/>
      <c r="DF91" s="318"/>
      <c r="DG91" s="318"/>
      <c r="DH91" s="318"/>
      <c r="DI91" s="318"/>
      <c r="DJ91" s="318"/>
      <c r="DK91" s="318"/>
      <c r="DL91" s="318"/>
      <c r="DM91" s="318"/>
      <c r="DN91" s="318"/>
      <c r="DO91" s="318"/>
      <c r="DP91" s="318"/>
      <c r="DQ91" s="318"/>
      <c r="DR91" s="318"/>
      <c r="DS91" s="318"/>
      <c r="DT91" s="318"/>
      <c r="DU91" s="318"/>
      <c r="DV91" s="318"/>
      <c r="DW91" s="318"/>
      <c r="DX91" s="318"/>
      <c r="DY91" s="318"/>
      <c r="DZ91" s="318"/>
      <c r="EA91" s="318"/>
      <c r="EB91" s="318"/>
      <c r="EC91" s="318"/>
      <c r="ED91" s="318"/>
      <c r="EE91" s="318"/>
      <c r="EF91" s="318"/>
      <c r="EG91" s="318"/>
      <c r="EH91" s="318"/>
      <c r="EI91" s="318"/>
      <c r="EJ91" s="318"/>
      <c r="EK91" s="318"/>
      <c r="EL91" s="318"/>
      <c r="EM91" s="318"/>
      <c r="EN91" s="318"/>
      <c r="EO91" s="318"/>
      <c r="EP91" s="318"/>
      <c r="EQ91" s="318"/>
      <c r="ER91" s="318"/>
      <c r="ES91" s="318"/>
      <c r="ET91" s="318"/>
      <c r="EU91" s="318"/>
      <c r="EV91" s="318"/>
      <c r="EW91" s="318"/>
      <c r="EX91" s="318"/>
      <c r="EY91" s="318"/>
      <c r="EZ91" s="318"/>
      <c r="FA91" s="318"/>
      <c r="FB91" s="318"/>
      <c r="FC91" s="318"/>
      <c r="FD91" s="318"/>
      <c r="FE91" s="318"/>
      <c r="FF91" s="318"/>
      <c r="FG91" s="318"/>
      <c r="FH91" s="318"/>
      <c r="FI91" s="318"/>
      <c r="FJ91" s="318"/>
      <c r="FK91" s="318"/>
      <c r="FL91" s="318"/>
      <c r="FM91" s="318"/>
      <c r="FN91" s="318"/>
      <c r="FO91" s="318"/>
      <c r="FP91" s="318"/>
      <c r="FQ91" s="318"/>
      <c r="FR91" s="318"/>
      <c r="FS91" s="318"/>
      <c r="FT91" s="318"/>
      <c r="FU91" s="318"/>
      <c r="FV91" s="318"/>
      <c r="FW91" s="318"/>
      <c r="FX91" s="318"/>
      <c r="FY91" s="318"/>
      <c r="FZ91" s="318"/>
      <c r="GA91" s="318"/>
      <c r="GB91" s="318"/>
      <c r="GC91" s="318"/>
      <c r="GD91" s="318"/>
      <c r="GE91" s="318"/>
      <c r="GF91" s="318"/>
      <c r="GG91" s="318"/>
      <c r="GH91" s="318"/>
      <c r="GI91" s="318"/>
      <c r="GJ91" s="318"/>
      <c r="GK91" s="318"/>
      <c r="GL91" s="318"/>
      <c r="GM91" s="318"/>
      <c r="GN91" s="318"/>
      <c r="GO91" s="318"/>
      <c r="GP91" s="318"/>
      <c r="GQ91" s="318"/>
      <c r="GR91" s="318"/>
      <c r="GS91" s="318"/>
      <c r="GT91" s="318"/>
      <c r="GU91" s="318"/>
      <c r="GV91" s="318"/>
      <c r="GW91" s="318"/>
      <c r="GX91" s="318"/>
      <c r="GY91" s="318"/>
      <c r="GZ91" s="318"/>
      <c r="HA91" s="318"/>
      <c r="HB91" s="318"/>
      <c r="HC91" s="318"/>
      <c r="HD91" s="318"/>
      <c r="HE91" s="318"/>
      <c r="HF91" s="318"/>
      <c r="HG91" s="318"/>
      <c r="HH91" s="318"/>
      <c r="HI91" s="318"/>
      <c r="HJ91" s="318"/>
      <c r="HK91" s="318"/>
      <c r="HL91" s="318"/>
      <c r="HM91" s="318"/>
      <c r="HN91" s="318"/>
      <c r="HO91" s="318"/>
      <c r="HP91" s="318"/>
      <c r="HQ91" s="318"/>
      <c r="HR91" s="318"/>
      <c r="HS91" s="318"/>
      <c r="HT91" s="318"/>
      <c r="HU91" s="318"/>
      <c r="HV91" s="318"/>
      <c r="HW91" s="318"/>
      <c r="HX91" s="318"/>
      <c r="HY91" s="318"/>
      <c r="HZ91" s="318"/>
      <c r="IA91" s="318"/>
      <c r="IB91" s="318"/>
      <c r="IC91" s="318"/>
      <c r="ID91" s="318"/>
      <c r="IE91" s="318"/>
      <c r="IF91" s="318"/>
      <c r="IG91" s="318"/>
      <c r="IH91" s="318"/>
      <c r="II91" s="318"/>
      <c r="IJ91" s="318"/>
      <c r="IK91" s="318"/>
      <c r="IL91" s="318"/>
      <c r="IM91" s="318"/>
      <c r="IN91" s="318"/>
      <c r="IO91" s="318"/>
      <c r="IP91" s="318"/>
      <c r="IQ91" s="318"/>
      <c r="IR91" s="318"/>
      <c r="IS91" s="318"/>
      <c r="IT91" s="318"/>
      <c r="IU91" s="318"/>
      <c r="IV91" s="318"/>
    </row>
    <row r="92" spans="1:256" s="470" customFormat="1" ht="13.5" customHeight="1" thickBot="1" x14ac:dyDescent="0.25">
      <c r="A92" s="472"/>
      <c r="B92" s="34"/>
      <c r="C92" s="473"/>
      <c r="D92" s="474"/>
      <c r="E92" s="475"/>
      <c r="F92" s="476"/>
      <c r="G92" s="464"/>
      <c r="H92" s="464"/>
      <c r="I92" s="464"/>
      <c r="J92" s="464"/>
      <c r="K92" s="465"/>
      <c r="L92" s="10"/>
      <c r="M92" s="465"/>
      <c r="N92" s="465"/>
      <c r="O92" s="10"/>
      <c r="P92" s="4"/>
      <c r="Q92" s="4"/>
      <c r="R92" s="4"/>
      <c r="S92" s="4"/>
      <c r="T92" s="4"/>
      <c r="U92" s="4"/>
      <c r="V92" s="4"/>
      <c r="W92" s="4"/>
      <c r="X92" s="4"/>
      <c r="Y92" s="318"/>
      <c r="Z92" s="318"/>
      <c r="AA92" s="318"/>
      <c r="AB92" s="318"/>
      <c r="AC92" s="318"/>
      <c r="AD92" s="318"/>
      <c r="AE92" s="318"/>
      <c r="AF92" s="318"/>
      <c r="AG92" s="318"/>
      <c r="AH92" s="318"/>
      <c r="AI92" s="318"/>
      <c r="AJ92" s="318"/>
      <c r="AK92" s="318"/>
      <c r="AL92" s="318"/>
      <c r="AM92" s="318"/>
      <c r="AN92" s="318"/>
      <c r="AO92" s="318"/>
      <c r="AP92" s="318"/>
      <c r="AQ92" s="318"/>
      <c r="AR92" s="318"/>
      <c r="AS92" s="318"/>
      <c r="AT92" s="318"/>
      <c r="AU92" s="318"/>
      <c r="AV92" s="318"/>
      <c r="AW92" s="318"/>
      <c r="AX92" s="318"/>
      <c r="AY92" s="318"/>
      <c r="AZ92" s="318"/>
      <c r="BA92" s="318"/>
      <c r="BB92" s="318"/>
      <c r="BC92" s="318"/>
      <c r="BD92" s="318"/>
      <c r="BE92" s="318"/>
      <c r="BF92" s="318"/>
      <c r="BG92" s="318"/>
      <c r="BH92" s="318"/>
      <c r="BI92" s="318"/>
      <c r="BJ92" s="318"/>
      <c r="BK92" s="318"/>
      <c r="BL92" s="318"/>
      <c r="BM92" s="318"/>
      <c r="BN92" s="318"/>
      <c r="BO92" s="318"/>
      <c r="BP92" s="318"/>
      <c r="BQ92" s="318"/>
      <c r="BR92" s="318"/>
      <c r="BS92" s="318"/>
      <c r="BT92" s="318"/>
      <c r="BU92" s="318"/>
      <c r="BV92" s="318"/>
      <c r="BW92" s="318"/>
      <c r="BX92" s="318"/>
      <c r="BY92" s="318"/>
      <c r="BZ92" s="318"/>
      <c r="CA92" s="318"/>
      <c r="CB92" s="318"/>
      <c r="CC92" s="318"/>
      <c r="CD92" s="318"/>
      <c r="CE92" s="318"/>
      <c r="CF92" s="318"/>
      <c r="CG92" s="318"/>
      <c r="CH92" s="318"/>
      <c r="CI92" s="318"/>
      <c r="CJ92" s="318"/>
      <c r="CK92" s="318"/>
      <c r="CL92" s="318"/>
      <c r="CM92" s="318"/>
      <c r="CN92" s="318"/>
      <c r="CO92" s="318"/>
      <c r="CP92" s="318"/>
      <c r="CQ92" s="318"/>
      <c r="CR92" s="318"/>
      <c r="CS92" s="318"/>
      <c r="CT92" s="318"/>
      <c r="CU92" s="318"/>
      <c r="CV92" s="318"/>
      <c r="CW92" s="318"/>
      <c r="CX92" s="318"/>
      <c r="CY92" s="318"/>
      <c r="CZ92" s="318"/>
      <c r="DA92" s="318"/>
      <c r="DB92" s="318"/>
      <c r="DC92" s="318"/>
      <c r="DD92" s="318"/>
      <c r="DE92" s="318"/>
      <c r="DF92" s="318"/>
      <c r="DG92" s="318"/>
      <c r="DH92" s="318"/>
      <c r="DI92" s="318"/>
      <c r="DJ92" s="318"/>
      <c r="DK92" s="318"/>
      <c r="DL92" s="318"/>
      <c r="DM92" s="318"/>
      <c r="DN92" s="318"/>
      <c r="DO92" s="318"/>
      <c r="DP92" s="318"/>
      <c r="DQ92" s="318"/>
      <c r="DR92" s="318"/>
      <c r="DS92" s="318"/>
      <c r="DT92" s="318"/>
      <c r="DU92" s="318"/>
      <c r="DV92" s="318"/>
      <c r="DW92" s="318"/>
      <c r="DX92" s="318"/>
      <c r="DY92" s="318"/>
      <c r="DZ92" s="318"/>
      <c r="EA92" s="318"/>
      <c r="EB92" s="318"/>
      <c r="EC92" s="318"/>
      <c r="ED92" s="318"/>
      <c r="EE92" s="318"/>
      <c r="EF92" s="318"/>
      <c r="EG92" s="318"/>
      <c r="EH92" s="318"/>
      <c r="EI92" s="318"/>
      <c r="EJ92" s="318"/>
      <c r="EK92" s="318"/>
      <c r="EL92" s="318"/>
      <c r="EM92" s="318"/>
      <c r="EN92" s="318"/>
      <c r="EO92" s="318"/>
      <c r="EP92" s="318"/>
      <c r="EQ92" s="318"/>
      <c r="ER92" s="318"/>
      <c r="ES92" s="318"/>
      <c r="ET92" s="318"/>
      <c r="EU92" s="318"/>
      <c r="EV92" s="318"/>
      <c r="EW92" s="318"/>
      <c r="EX92" s="318"/>
      <c r="EY92" s="318"/>
      <c r="EZ92" s="318"/>
      <c r="FA92" s="318"/>
      <c r="FB92" s="318"/>
      <c r="FC92" s="318"/>
      <c r="FD92" s="318"/>
      <c r="FE92" s="318"/>
      <c r="FF92" s="318"/>
      <c r="FG92" s="318"/>
      <c r="FH92" s="318"/>
      <c r="FI92" s="318"/>
      <c r="FJ92" s="318"/>
      <c r="FK92" s="318"/>
      <c r="FL92" s="318"/>
      <c r="FM92" s="318"/>
      <c r="FN92" s="318"/>
      <c r="FO92" s="318"/>
      <c r="FP92" s="318"/>
      <c r="FQ92" s="318"/>
      <c r="FR92" s="318"/>
      <c r="FS92" s="318"/>
      <c r="FT92" s="318"/>
      <c r="FU92" s="318"/>
      <c r="FV92" s="318"/>
      <c r="FW92" s="318"/>
      <c r="FX92" s="318"/>
      <c r="FY92" s="318"/>
      <c r="FZ92" s="318"/>
      <c r="GA92" s="318"/>
      <c r="GB92" s="318"/>
      <c r="GC92" s="318"/>
      <c r="GD92" s="318"/>
      <c r="GE92" s="318"/>
      <c r="GF92" s="318"/>
      <c r="GG92" s="318"/>
      <c r="GH92" s="318"/>
      <c r="GI92" s="318"/>
      <c r="GJ92" s="318"/>
      <c r="GK92" s="318"/>
      <c r="GL92" s="318"/>
      <c r="GM92" s="318"/>
      <c r="GN92" s="318"/>
      <c r="GO92" s="318"/>
      <c r="GP92" s="318"/>
      <c r="GQ92" s="318"/>
      <c r="GR92" s="318"/>
      <c r="GS92" s="318"/>
      <c r="GT92" s="318"/>
      <c r="GU92" s="318"/>
      <c r="GV92" s="318"/>
      <c r="GW92" s="318"/>
      <c r="GX92" s="318"/>
      <c r="GY92" s="318"/>
      <c r="GZ92" s="318"/>
      <c r="HA92" s="318"/>
      <c r="HB92" s="318"/>
      <c r="HC92" s="318"/>
      <c r="HD92" s="318"/>
      <c r="HE92" s="318"/>
      <c r="HF92" s="318"/>
      <c r="HG92" s="318"/>
      <c r="HH92" s="318"/>
      <c r="HI92" s="318"/>
      <c r="HJ92" s="318"/>
      <c r="HK92" s="318"/>
      <c r="HL92" s="318"/>
      <c r="HM92" s="318"/>
      <c r="HN92" s="318"/>
      <c r="HO92" s="318"/>
      <c r="HP92" s="318"/>
      <c r="HQ92" s="318"/>
      <c r="HR92" s="318"/>
      <c r="HS92" s="318"/>
      <c r="HT92" s="318"/>
      <c r="HU92" s="318"/>
      <c r="HV92" s="318"/>
      <c r="HW92" s="318"/>
      <c r="HX92" s="318"/>
      <c r="HY92" s="318"/>
      <c r="HZ92" s="318"/>
      <c r="IA92" s="318"/>
      <c r="IB92" s="318"/>
      <c r="IC92" s="318"/>
      <c r="ID92" s="318"/>
      <c r="IE92" s="318"/>
      <c r="IF92" s="318"/>
      <c r="IG92" s="318"/>
      <c r="IH92" s="318"/>
      <c r="II92" s="318"/>
      <c r="IJ92" s="318"/>
      <c r="IK92" s="318"/>
      <c r="IL92" s="318"/>
      <c r="IM92" s="318"/>
      <c r="IN92" s="318"/>
      <c r="IO92" s="318"/>
      <c r="IP92" s="318"/>
      <c r="IQ92" s="318"/>
      <c r="IR92" s="318"/>
      <c r="IS92" s="318"/>
      <c r="IT92" s="318"/>
      <c r="IU92" s="318"/>
      <c r="IV92" s="318"/>
    </row>
    <row r="93" spans="1:256" s="470" customFormat="1" ht="13.5" customHeight="1" thickBot="1" x14ac:dyDescent="0.25">
      <c r="A93" s="472"/>
      <c r="B93" s="34"/>
      <c r="C93" s="473"/>
      <c r="D93" s="474"/>
      <c r="E93" s="475"/>
      <c r="F93" s="476"/>
      <c r="G93" s="464"/>
      <c r="H93" s="464"/>
      <c r="I93" s="464"/>
      <c r="J93" s="464"/>
      <c r="K93" s="465"/>
      <c r="L93" s="10"/>
      <c r="M93" s="465"/>
      <c r="N93" s="465"/>
      <c r="O93" s="10"/>
      <c r="P93" s="4"/>
      <c r="Q93" s="4"/>
      <c r="R93" s="4"/>
      <c r="S93" s="4"/>
      <c r="T93" s="4"/>
      <c r="U93" s="4"/>
      <c r="V93" s="4"/>
      <c r="W93" s="4"/>
      <c r="X93" s="4"/>
      <c r="Y93" s="318"/>
      <c r="Z93" s="318"/>
      <c r="AA93" s="318"/>
      <c r="AB93" s="318"/>
      <c r="AC93" s="318"/>
      <c r="AD93" s="318"/>
      <c r="AE93" s="318"/>
      <c r="AF93" s="318"/>
      <c r="AG93" s="318"/>
      <c r="AH93" s="318"/>
      <c r="AI93" s="318"/>
      <c r="AJ93" s="318"/>
      <c r="AK93" s="318"/>
      <c r="AL93" s="318"/>
      <c r="AM93" s="318"/>
      <c r="AN93" s="318"/>
      <c r="AO93" s="318"/>
      <c r="AP93" s="318"/>
      <c r="AQ93" s="318"/>
      <c r="AR93" s="318"/>
      <c r="AS93" s="318"/>
      <c r="AT93" s="318"/>
      <c r="AU93" s="318"/>
      <c r="AV93" s="318"/>
      <c r="AW93" s="318"/>
      <c r="AX93" s="318"/>
      <c r="AY93" s="318"/>
      <c r="AZ93" s="318"/>
      <c r="BA93" s="318"/>
      <c r="BB93" s="318"/>
      <c r="BC93" s="318"/>
      <c r="BD93" s="318"/>
      <c r="BE93" s="318"/>
      <c r="BF93" s="318"/>
      <c r="BG93" s="318"/>
      <c r="BH93" s="318"/>
      <c r="BI93" s="318"/>
      <c r="BJ93" s="318"/>
      <c r="BK93" s="318"/>
      <c r="BL93" s="318"/>
      <c r="BM93" s="318"/>
      <c r="BN93" s="318"/>
      <c r="BO93" s="318"/>
      <c r="BP93" s="318"/>
      <c r="BQ93" s="318"/>
      <c r="BR93" s="318"/>
      <c r="BS93" s="318"/>
      <c r="BT93" s="318"/>
      <c r="BU93" s="318"/>
      <c r="BV93" s="318"/>
      <c r="BW93" s="318"/>
      <c r="BX93" s="318"/>
      <c r="BY93" s="318"/>
      <c r="BZ93" s="318"/>
      <c r="CA93" s="318"/>
      <c r="CB93" s="318"/>
      <c r="CC93" s="318"/>
      <c r="CD93" s="318"/>
      <c r="CE93" s="318"/>
      <c r="CF93" s="318"/>
      <c r="CG93" s="318"/>
      <c r="CH93" s="318"/>
      <c r="CI93" s="318"/>
      <c r="CJ93" s="318"/>
      <c r="CK93" s="318"/>
      <c r="CL93" s="318"/>
      <c r="CM93" s="318"/>
      <c r="CN93" s="318"/>
      <c r="CO93" s="318"/>
      <c r="CP93" s="318"/>
      <c r="CQ93" s="318"/>
      <c r="CR93" s="318"/>
      <c r="CS93" s="318"/>
      <c r="CT93" s="318"/>
      <c r="CU93" s="318"/>
      <c r="CV93" s="318"/>
      <c r="CW93" s="318"/>
      <c r="CX93" s="318"/>
      <c r="CY93" s="318"/>
      <c r="CZ93" s="318"/>
      <c r="DA93" s="318"/>
      <c r="DB93" s="318"/>
      <c r="DC93" s="318"/>
      <c r="DD93" s="318"/>
      <c r="DE93" s="318"/>
      <c r="DF93" s="318"/>
      <c r="DG93" s="318"/>
      <c r="DH93" s="318"/>
      <c r="DI93" s="318"/>
      <c r="DJ93" s="318"/>
      <c r="DK93" s="318"/>
      <c r="DL93" s="318"/>
      <c r="DM93" s="318"/>
      <c r="DN93" s="318"/>
      <c r="DO93" s="318"/>
      <c r="DP93" s="318"/>
      <c r="DQ93" s="318"/>
      <c r="DR93" s="318"/>
      <c r="DS93" s="318"/>
      <c r="DT93" s="318"/>
      <c r="DU93" s="318"/>
      <c r="DV93" s="318"/>
      <c r="DW93" s="318"/>
      <c r="DX93" s="318"/>
      <c r="DY93" s="318"/>
      <c r="DZ93" s="318"/>
      <c r="EA93" s="318"/>
      <c r="EB93" s="318"/>
      <c r="EC93" s="318"/>
      <c r="ED93" s="318"/>
      <c r="EE93" s="318"/>
      <c r="EF93" s="318"/>
      <c r="EG93" s="318"/>
      <c r="EH93" s="318"/>
      <c r="EI93" s="318"/>
      <c r="EJ93" s="318"/>
      <c r="EK93" s="318"/>
      <c r="EL93" s="318"/>
      <c r="EM93" s="318"/>
      <c r="EN93" s="318"/>
      <c r="EO93" s="318"/>
      <c r="EP93" s="318"/>
      <c r="EQ93" s="318"/>
      <c r="ER93" s="318"/>
      <c r="ES93" s="318"/>
      <c r="ET93" s="318"/>
      <c r="EU93" s="318"/>
      <c r="EV93" s="318"/>
      <c r="EW93" s="318"/>
      <c r="EX93" s="318"/>
      <c r="EY93" s="318"/>
      <c r="EZ93" s="318"/>
      <c r="FA93" s="318"/>
      <c r="FB93" s="318"/>
      <c r="FC93" s="318"/>
      <c r="FD93" s="318"/>
      <c r="FE93" s="318"/>
      <c r="FF93" s="318"/>
      <c r="FG93" s="318"/>
      <c r="FH93" s="318"/>
      <c r="FI93" s="318"/>
      <c r="FJ93" s="318"/>
      <c r="FK93" s="318"/>
      <c r="FL93" s="318"/>
      <c r="FM93" s="318"/>
      <c r="FN93" s="318"/>
      <c r="FO93" s="318"/>
      <c r="FP93" s="318"/>
      <c r="FQ93" s="318"/>
      <c r="FR93" s="318"/>
      <c r="FS93" s="318"/>
      <c r="FT93" s="318"/>
      <c r="FU93" s="318"/>
      <c r="FV93" s="318"/>
      <c r="FW93" s="318"/>
      <c r="FX93" s="318"/>
      <c r="FY93" s="318"/>
      <c r="FZ93" s="318"/>
      <c r="GA93" s="318"/>
      <c r="GB93" s="318"/>
      <c r="GC93" s="318"/>
      <c r="GD93" s="318"/>
      <c r="GE93" s="318"/>
      <c r="GF93" s="318"/>
      <c r="GG93" s="318"/>
      <c r="GH93" s="318"/>
      <c r="GI93" s="318"/>
      <c r="GJ93" s="318"/>
      <c r="GK93" s="318"/>
      <c r="GL93" s="318"/>
      <c r="GM93" s="318"/>
      <c r="GN93" s="318"/>
      <c r="GO93" s="318"/>
      <c r="GP93" s="318"/>
      <c r="GQ93" s="318"/>
      <c r="GR93" s="318"/>
      <c r="GS93" s="318"/>
      <c r="GT93" s="318"/>
      <c r="GU93" s="318"/>
      <c r="GV93" s="318"/>
      <c r="GW93" s="318"/>
      <c r="GX93" s="318"/>
      <c r="GY93" s="318"/>
      <c r="GZ93" s="318"/>
      <c r="HA93" s="318"/>
      <c r="HB93" s="318"/>
      <c r="HC93" s="318"/>
      <c r="HD93" s="318"/>
      <c r="HE93" s="318"/>
      <c r="HF93" s="318"/>
      <c r="HG93" s="318"/>
      <c r="HH93" s="318"/>
      <c r="HI93" s="318"/>
      <c r="HJ93" s="318"/>
      <c r="HK93" s="318"/>
      <c r="HL93" s="318"/>
      <c r="HM93" s="318"/>
      <c r="HN93" s="318"/>
      <c r="HO93" s="318"/>
      <c r="HP93" s="318"/>
      <c r="HQ93" s="318"/>
      <c r="HR93" s="318"/>
      <c r="HS93" s="318"/>
      <c r="HT93" s="318"/>
      <c r="HU93" s="318"/>
      <c r="HV93" s="318"/>
      <c r="HW93" s="318"/>
      <c r="HX93" s="318"/>
      <c r="HY93" s="318"/>
      <c r="HZ93" s="318"/>
      <c r="IA93" s="318"/>
      <c r="IB93" s="318"/>
      <c r="IC93" s="318"/>
      <c r="ID93" s="318"/>
      <c r="IE93" s="318"/>
      <c r="IF93" s="318"/>
      <c r="IG93" s="318"/>
      <c r="IH93" s="318"/>
      <c r="II93" s="318"/>
      <c r="IJ93" s="318"/>
      <c r="IK93" s="318"/>
      <c r="IL93" s="318"/>
      <c r="IM93" s="318"/>
      <c r="IN93" s="318"/>
      <c r="IO93" s="318"/>
      <c r="IP93" s="318"/>
      <c r="IQ93" s="318"/>
      <c r="IR93" s="318"/>
      <c r="IS93" s="318"/>
      <c r="IT93" s="318"/>
      <c r="IU93" s="318"/>
      <c r="IV93" s="318"/>
    </row>
    <row r="94" spans="1:256" s="470" customFormat="1" ht="13.5" customHeight="1" thickBot="1" x14ac:dyDescent="0.25">
      <c r="A94" s="472"/>
      <c r="B94" s="34"/>
      <c r="C94" s="473"/>
      <c r="D94" s="474"/>
      <c r="E94" s="475"/>
      <c r="F94" s="476"/>
      <c r="G94" s="464"/>
      <c r="H94" s="464"/>
      <c r="I94" s="464"/>
      <c r="J94" s="464"/>
      <c r="K94" s="465"/>
      <c r="L94" s="10"/>
      <c r="M94" s="465"/>
      <c r="N94" s="465"/>
      <c r="O94" s="10"/>
      <c r="P94" s="4"/>
      <c r="Q94" s="4"/>
      <c r="R94" s="4"/>
      <c r="S94" s="4"/>
      <c r="T94" s="4"/>
      <c r="U94" s="4"/>
      <c r="V94" s="4"/>
      <c r="W94" s="4"/>
      <c r="X94" s="4"/>
      <c r="Y94" s="318"/>
      <c r="Z94" s="318"/>
      <c r="AA94" s="318"/>
      <c r="AB94" s="318"/>
      <c r="AC94" s="318"/>
      <c r="AD94" s="318"/>
      <c r="AE94" s="318"/>
      <c r="AF94" s="318"/>
      <c r="AG94" s="318"/>
      <c r="AH94" s="318"/>
      <c r="AI94" s="318"/>
      <c r="AJ94" s="318"/>
      <c r="AK94" s="318"/>
      <c r="AL94" s="318"/>
      <c r="AM94" s="318"/>
      <c r="AN94" s="318"/>
      <c r="AO94" s="318"/>
      <c r="AP94" s="318"/>
      <c r="AQ94" s="318"/>
      <c r="AR94" s="318"/>
      <c r="AS94" s="318"/>
      <c r="AT94" s="318"/>
      <c r="AU94" s="318"/>
      <c r="AV94" s="318"/>
      <c r="AW94" s="318"/>
      <c r="AX94" s="318"/>
      <c r="AY94" s="318"/>
      <c r="AZ94" s="318"/>
      <c r="BA94" s="318"/>
      <c r="BB94" s="318"/>
      <c r="BC94" s="318"/>
      <c r="BD94" s="318"/>
      <c r="BE94" s="318"/>
      <c r="BF94" s="318"/>
      <c r="BG94" s="318"/>
      <c r="BH94" s="318"/>
      <c r="BI94" s="318"/>
      <c r="BJ94" s="318"/>
      <c r="BK94" s="318"/>
      <c r="BL94" s="318"/>
      <c r="BM94" s="318"/>
      <c r="BN94" s="318"/>
      <c r="BO94" s="318"/>
      <c r="BP94" s="318"/>
      <c r="BQ94" s="318"/>
      <c r="BR94" s="318"/>
      <c r="BS94" s="318"/>
      <c r="BT94" s="318"/>
      <c r="BU94" s="318"/>
      <c r="BV94" s="318"/>
      <c r="BW94" s="318"/>
      <c r="BX94" s="318"/>
      <c r="BY94" s="318"/>
      <c r="BZ94" s="318"/>
      <c r="CA94" s="318"/>
      <c r="CB94" s="318"/>
      <c r="CC94" s="318"/>
      <c r="CD94" s="318"/>
      <c r="CE94" s="318"/>
      <c r="CF94" s="318"/>
      <c r="CG94" s="318"/>
      <c r="CH94" s="318"/>
      <c r="CI94" s="318"/>
      <c r="CJ94" s="318"/>
      <c r="CK94" s="318"/>
      <c r="CL94" s="318"/>
      <c r="CM94" s="318"/>
      <c r="CN94" s="318"/>
      <c r="CO94" s="318"/>
      <c r="CP94" s="318"/>
      <c r="CQ94" s="318"/>
      <c r="CR94" s="318"/>
      <c r="CS94" s="318"/>
      <c r="CT94" s="318"/>
      <c r="CU94" s="318"/>
      <c r="CV94" s="318"/>
      <c r="CW94" s="318"/>
      <c r="CX94" s="318"/>
      <c r="CY94" s="318"/>
      <c r="CZ94" s="318"/>
      <c r="DA94" s="318"/>
      <c r="DB94" s="318"/>
      <c r="DC94" s="318"/>
      <c r="DD94" s="318"/>
      <c r="DE94" s="318"/>
      <c r="DF94" s="318"/>
      <c r="DG94" s="318"/>
      <c r="DH94" s="318"/>
      <c r="DI94" s="318"/>
      <c r="DJ94" s="318"/>
      <c r="DK94" s="318"/>
      <c r="DL94" s="318"/>
      <c r="DM94" s="318"/>
      <c r="DN94" s="318"/>
      <c r="DO94" s="318"/>
      <c r="DP94" s="318"/>
      <c r="DQ94" s="318"/>
      <c r="DR94" s="318"/>
      <c r="DS94" s="318"/>
      <c r="DT94" s="318"/>
      <c r="DU94" s="318"/>
      <c r="DV94" s="318"/>
      <c r="DW94" s="318"/>
      <c r="DX94" s="318"/>
      <c r="DY94" s="318"/>
      <c r="DZ94" s="318"/>
      <c r="EA94" s="318"/>
      <c r="EB94" s="318"/>
      <c r="EC94" s="318"/>
      <c r="ED94" s="318"/>
      <c r="EE94" s="318"/>
      <c r="EF94" s="318"/>
      <c r="EG94" s="318"/>
      <c r="EH94" s="318"/>
      <c r="EI94" s="318"/>
      <c r="EJ94" s="318"/>
      <c r="EK94" s="318"/>
      <c r="EL94" s="318"/>
      <c r="EM94" s="318"/>
      <c r="EN94" s="318"/>
      <c r="EO94" s="318"/>
      <c r="EP94" s="318"/>
      <c r="EQ94" s="318"/>
      <c r="ER94" s="318"/>
      <c r="ES94" s="318"/>
      <c r="ET94" s="318"/>
      <c r="EU94" s="318"/>
      <c r="EV94" s="318"/>
      <c r="EW94" s="318"/>
      <c r="EX94" s="318"/>
      <c r="EY94" s="318"/>
      <c r="EZ94" s="318"/>
      <c r="FA94" s="318"/>
      <c r="FB94" s="318"/>
      <c r="FC94" s="318"/>
      <c r="FD94" s="318"/>
      <c r="FE94" s="318"/>
      <c r="FF94" s="318"/>
      <c r="FG94" s="318"/>
      <c r="FH94" s="318"/>
      <c r="FI94" s="318"/>
      <c r="FJ94" s="318"/>
      <c r="FK94" s="318"/>
      <c r="FL94" s="318"/>
      <c r="FM94" s="318"/>
      <c r="FN94" s="318"/>
      <c r="FO94" s="318"/>
      <c r="FP94" s="318"/>
      <c r="FQ94" s="318"/>
      <c r="FR94" s="318"/>
      <c r="FS94" s="318"/>
      <c r="FT94" s="318"/>
      <c r="FU94" s="318"/>
      <c r="FV94" s="318"/>
      <c r="FW94" s="318"/>
      <c r="FX94" s="318"/>
      <c r="FY94" s="318"/>
      <c r="FZ94" s="318"/>
      <c r="GA94" s="318"/>
      <c r="GB94" s="318"/>
      <c r="GC94" s="318"/>
      <c r="GD94" s="318"/>
      <c r="GE94" s="318"/>
      <c r="GF94" s="318"/>
      <c r="GG94" s="318"/>
      <c r="GH94" s="318"/>
      <c r="GI94" s="318"/>
      <c r="GJ94" s="318"/>
      <c r="GK94" s="318"/>
      <c r="GL94" s="318"/>
      <c r="GM94" s="318"/>
      <c r="GN94" s="318"/>
      <c r="GO94" s="318"/>
      <c r="GP94" s="318"/>
      <c r="GQ94" s="318"/>
      <c r="GR94" s="318"/>
      <c r="GS94" s="318"/>
      <c r="GT94" s="318"/>
      <c r="GU94" s="318"/>
      <c r="GV94" s="318"/>
      <c r="GW94" s="318"/>
      <c r="GX94" s="318"/>
      <c r="GY94" s="318"/>
      <c r="GZ94" s="318"/>
      <c r="HA94" s="318"/>
      <c r="HB94" s="318"/>
      <c r="HC94" s="318"/>
      <c r="HD94" s="318"/>
      <c r="HE94" s="318"/>
      <c r="HF94" s="318"/>
      <c r="HG94" s="318"/>
      <c r="HH94" s="318"/>
      <c r="HI94" s="318"/>
      <c r="HJ94" s="318"/>
      <c r="HK94" s="318"/>
      <c r="HL94" s="318"/>
      <c r="HM94" s="318"/>
      <c r="HN94" s="318"/>
      <c r="HO94" s="318"/>
      <c r="HP94" s="318"/>
      <c r="HQ94" s="318"/>
      <c r="HR94" s="318"/>
      <c r="HS94" s="318"/>
      <c r="HT94" s="318"/>
      <c r="HU94" s="318"/>
      <c r="HV94" s="318"/>
      <c r="HW94" s="318"/>
      <c r="HX94" s="318"/>
      <c r="HY94" s="318"/>
      <c r="HZ94" s="318"/>
      <c r="IA94" s="318"/>
      <c r="IB94" s="318"/>
      <c r="IC94" s="318"/>
      <c r="ID94" s="318"/>
      <c r="IE94" s="318"/>
      <c r="IF94" s="318"/>
      <c r="IG94" s="318"/>
      <c r="IH94" s="318"/>
      <c r="II94" s="318"/>
      <c r="IJ94" s="318"/>
      <c r="IK94" s="318"/>
      <c r="IL94" s="318"/>
      <c r="IM94" s="318"/>
      <c r="IN94" s="318"/>
      <c r="IO94" s="318"/>
      <c r="IP94" s="318"/>
      <c r="IQ94" s="318"/>
      <c r="IR94" s="318"/>
      <c r="IS94" s="318"/>
      <c r="IT94" s="318"/>
      <c r="IU94" s="318"/>
      <c r="IV94" s="318"/>
    </row>
  </sheetData>
  <autoFilter ref="A10:O60"/>
  <customSheetViews>
    <customSheetView guid="{2527107E-9D0B-4093-B4A8-CF38BFB15F1C}" showAutoFilter="1">
      <pane ySplit="10" topLeftCell="A11" activePane="bottomLeft" state="frozen"/>
      <selection pane="bottomLeft" activeCell="D6" sqref="D6"/>
      <pageMargins left="0.75" right="0.75" top="1" bottom="1" header="0.5" footer="0.5"/>
      <pageSetup orientation="portrait" r:id="rId1"/>
      <headerFooter alignWithMargins="0"/>
      <autoFilter ref="A10:O231"/>
    </customSheetView>
    <customSheetView guid="{7D07A65A-63F9-4A71-9039-2DCC2F4ABF4C}" showAutoFilter="1">
      <pane ySplit="10" topLeftCell="A11" activePane="bottomLeft" state="frozen"/>
      <selection pane="bottomLeft" activeCell="D6" sqref="D6"/>
      <pageMargins left="0.75" right="0.75" top="1" bottom="1" header="0.5" footer="0.5"/>
      <pageSetup orientation="portrait" r:id="rId2"/>
      <headerFooter alignWithMargins="0"/>
      <autoFilter ref="A10:O231"/>
    </customSheetView>
    <customSheetView guid="{ADE400F8-D95C-46BC-A44D-BCC9A4530169}" showAutoFilter="1">
      <pane ySplit="10" topLeftCell="A11" activePane="bottomLeft" state="frozen"/>
      <selection pane="bottomLeft" activeCell="D6" sqref="D6"/>
      <pageMargins left="0.75" right="0.75" top="1" bottom="1" header="0.5" footer="0.5"/>
      <pageSetup orientation="portrait" r:id="rId3"/>
      <headerFooter alignWithMargins="0"/>
      <autoFilter ref="A10:O231"/>
    </customSheetView>
    <customSheetView guid="{8D8F9819-0E72-417A-908C-B5A8F0F23F34}" showAutoFilter="1">
      <pane ySplit="10" topLeftCell="A11" activePane="bottomLeft" state="frozen"/>
      <selection pane="bottomLeft" activeCell="D6" sqref="D6"/>
      <pageMargins left="0.75" right="0.75" top="1" bottom="1" header="0.5" footer="0.5"/>
      <pageSetup orientation="portrait" r:id="rId4"/>
      <headerFooter alignWithMargins="0"/>
      <autoFilter ref="A10:O231"/>
    </customSheetView>
  </customSheetViews>
  <pageMargins left="0.74803149606299213" right="0.74803149606299213" top="0.98425196850393704" bottom="0.98425196850393704" header="0.51181102362204722" footer="0.51181102362204722"/>
  <pageSetup scale="70" orientation="landscape" r:id="rId5"/>
  <headerFooter alignWithMargins="0"/>
  <drawing r:id="rId6"/>
  <legacyDrawing r:id="rId7"/>
  <controls>
    <mc:AlternateContent xmlns:mc="http://schemas.openxmlformats.org/markup-compatibility/2006">
      <mc:Choice Requires="x14">
        <control shapeId="27651" r:id="rId8" name="CommandButton1502">
          <controlPr defaultSize="0" autoLine="0" r:id="rId9">
            <anchor moveWithCells="1">
              <from>
                <xdr:col>6</xdr:col>
                <xdr:colOff>28575</xdr:colOff>
                <xdr:row>1</xdr:row>
                <xdr:rowOff>9525</xdr:rowOff>
              </from>
              <to>
                <xdr:col>9</xdr:col>
                <xdr:colOff>0</xdr:colOff>
                <xdr:row>3</xdr:row>
                <xdr:rowOff>152400</xdr:rowOff>
              </to>
            </anchor>
          </controlPr>
        </control>
      </mc:Choice>
      <mc:Fallback>
        <control shapeId="27651" r:id="rId8" name="CommandButton1502"/>
      </mc:Fallback>
    </mc:AlternateContent>
    <mc:AlternateContent xmlns:mc="http://schemas.openxmlformats.org/markup-compatibility/2006">
      <mc:Choice Requires="x14">
        <control shapeId="27650" r:id="rId10" name="CommandButton1503">
          <controlPr defaultSize="0" autoLine="0" r:id="rId11">
            <anchor moveWithCells="1">
              <from>
                <xdr:col>13</xdr:col>
                <xdr:colOff>19050</xdr:colOff>
                <xdr:row>1</xdr:row>
                <xdr:rowOff>0</xdr:rowOff>
              </from>
              <to>
                <xdr:col>14</xdr:col>
                <xdr:colOff>685800</xdr:colOff>
                <xdr:row>3</xdr:row>
                <xdr:rowOff>152400</xdr:rowOff>
              </to>
            </anchor>
          </controlPr>
        </control>
      </mc:Choice>
      <mc:Fallback>
        <control shapeId="27650" r:id="rId10" name="CommandButton1503"/>
      </mc:Fallback>
    </mc:AlternateContent>
    <mc:AlternateContent xmlns:mc="http://schemas.openxmlformats.org/markup-compatibility/2006">
      <mc:Choice Requires="x14">
        <control shapeId="27649" r:id="rId12" name="CommandButton1501">
          <controlPr defaultSize="0" autoLine="0" autoPict="0" r:id="rId13">
            <anchor moveWithCells="1">
              <from>
                <xdr:col>0</xdr:col>
                <xdr:colOff>38100</xdr:colOff>
                <xdr:row>1</xdr:row>
                <xdr:rowOff>19050</xdr:rowOff>
              </from>
              <to>
                <xdr:col>2</xdr:col>
                <xdr:colOff>781050</xdr:colOff>
                <xdr:row>3</xdr:row>
                <xdr:rowOff>161925</xdr:rowOff>
              </to>
            </anchor>
          </controlPr>
        </control>
      </mc:Choice>
      <mc:Fallback>
        <control shapeId="27649" r:id="rId12" name="CommandButton150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filterMode="1"/>
  <dimension ref="A1:X114"/>
  <sheetViews>
    <sheetView workbookViewId="0">
      <pane ySplit="10" topLeftCell="A11" activePane="bottomLeft" state="frozen"/>
      <selection pane="bottomLeft" activeCell="I79" sqref="I79"/>
    </sheetView>
  </sheetViews>
  <sheetFormatPr defaultRowHeight="12.75" x14ac:dyDescent="0.2"/>
  <cols>
    <col min="1" max="1" width="5.42578125" customWidth="1"/>
    <col min="2" max="2" width="13.5703125" customWidth="1"/>
    <col min="3" max="3" width="15" customWidth="1"/>
    <col min="4" max="4" width="11.140625" customWidth="1"/>
    <col min="5" max="5" width="22.140625" customWidth="1"/>
    <col min="6" max="6" width="18" style="1" customWidth="1"/>
    <col min="7" max="7" width="13.7109375" bestFit="1" customWidth="1"/>
    <col min="8" max="8" width="9.28515625" style="1" customWidth="1"/>
    <col min="9" max="9" width="14.5703125" customWidth="1"/>
    <col min="10" max="10" width="10.5703125" customWidth="1"/>
    <col min="11" max="11" width="12.7109375" customWidth="1"/>
    <col min="12" max="12" width="9.140625" customWidth="1"/>
    <col min="13" max="13" width="39.7109375" customWidth="1"/>
    <col min="14" max="14" width="26.140625" style="433" customWidth="1"/>
    <col min="15" max="15" width="9.28515625" customWidth="1"/>
    <col min="16" max="16" width="14.42578125" customWidth="1"/>
    <col min="17" max="17" width="24.42578125" customWidth="1"/>
  </cols>
  <sheetData>
    <row r="1" spans="1:24" x14ac:dyDescent="0.2">
      <c r="A1" s="1">
        <v>1</v>
      </c>
      <c r="B1" s="1">
        <v>2</v>
      </c>
      <c r="C1" s="1">
        <v>3</v>
      </c>
      <c r="D1" s="1">
        <v>4</v>
      </c>
      <c r="E1" s="1">
        <v>5</v>
      </c>
      <c r="F1" s="1">
        <v>6</v>
      </c>
      <c r="G1" s="1">
        <v>7</v>
      </c>
      <c r="H1" s="1">
        <v>8</v>
      </c>
      <c r="I1" s="1">
        <v>9</v>
      </c>
      <c r="J1" s="1">
        <v>10</v>
      </c>
      <c r="K1" s="1">
        <v>11</v>
      </c>
      <c r="L1" s="1">
        <v>12</v>
      </c>
      <c r="M1" s="1">
        <v>13</v>
      </c>
      <c r="N1" s="433">
        <v>14</v>
      </c>
      <c r="O1" s="1">
        <v>15</v>
      </c>
      <c r="P1" s="1">
        <v>16</v>
      </c>
      <c r="Q1" s="1">
        <v>17</v>
      </c>
    </row>
    <row r="2" spans="1:24" x14ac:dyDescent="0.2">
      <c r="I2" s="118" t="s">
        <v>142</v>
      </c>
      <c r="J2" s="12"/>
    </row>
    <row r="3" spans="1:24" x14ac:dyDescent="0.2">
      <c r="I3" s="118" t="s">
        <v>143</v>
      </c>
      <c r="J3" s="12"/>
    </row>
    <row r="4" spans="1:24" ht="13.5" thickBot="1" x14ac:dyDescent="0.25">
      <c r="I4" s="118" t="s">
        <v>145</v>
      </c>
      <c r="J4" s="12" t="s">
        <v>147</v>
      </c>
    </row>
    <row r="5" spans="1:24" ht="13.5" thickBot="1" x14ac:dyDescent="0.25">
      <c r="C5" s="526" t="s">
        <v>171</v>
      </c>
      <c r="D5" s="113"/>
      <c r="G5" s="109" t="s">
        <v>226</v>
      </c>
      <c r="I5" s="118" t="s">
        <v>145</v>
      </c>
      <c r="J5" s="12" t="s">
        <v>148</v>
      </c>
    </row>
    <row r="6" spans="1:24" x14ac:dyDescent="0.2">
      <c r="C6" s="46"/>
      <c r="I6" s="118" t="s">
        <v>145</v>
      </c>
      <c r="J6" s="12" t="s">
        <v>149</v>
      </c>
    </row>
    <row r="7" spans="1:24" x14ac:dyDescent="0.2">
      <c r="C7" s="46"/>
      <c r="I7" s="118" t="s">
        <v>67</v>
      </c>
      <c r="J7" s="12"/>
    </row>
    <row r="8" spans="1:24" x14ac:dyDescent="0.2">
      <c r="C8" s="46"/>
      <c r="I8" s="277" t="s">
        <v>204</v>
      </c>
      <c r="J8" s="277"/>
    </row>
    <row r="9" spans="1:24" ht="13.5" thickBot="1" x14ac:dyDescent="0.25">
      <c r="C9" s="46"/>
    </row>
    <row r="10" spans="1:24" ht="36.75" thickBot="1" x14ac:dyDescent="0.25">
      <c r="A10" s="278" t="s">
        <v>21</v>
      </c>
      <c r="B10" s="279" t="s">
        <v>158</v>
      </c>
      <c r="C10" s="280" t="s">
        <v>0</v>
      </c>
      <c r="D10" s="281" t="s">
        <v>159</v>
      </c>
      <c r="E10" s="280" t="s">
        <v>160</v>
      </c>
      <c r="F10" s="282" t="s">
        <v>161</v>
      </c>
      <c r="G10" s="283" t="s">
        <v>162</v>
      </c>
      <c r="H10" s="284" t="s">
        <v>163</v>
      </c>
      <c r="I10" s="285" t="s">
        <v>164</v>
      </c>
      <c r="J10" s="284" t="s">
        <v>165</v>
      </c>
      <c r="K10" s="282" t="s">
        <v>43</v>
      </c>
      <c r="L10" s="283" t="s">
        <v>166</v>
      </c>
      <c r="M10" s="286" t="s">
        <v>167</v>
      </c>
      <c r="N10" s="434" t="s">
        <v>168</v>
      </c>
      <c r="O10" s="284" t="s">
        <v>169</v>
      </c>
      <c r="P10" s="130" t="s">
        <v>170</v>
      </c>
      <c r="Q10" s="131" t="s">
        <v>60</v>
      </c>
    </row>
    <row r="11" spans="1:24" s="523" customFormat="1" ht="12.95" hidden="1" customHeight="1" x14ac:dyDescent="0.2">
      <c r="A11" s="525" t="s">
        <v>17</v>
      </c>
      <c r="B11" s="524"/>
      <c r="C11" s="618">
        <v>42458</v>
      </c>
      <c r="D11" s="621">
        <v>506085</v>
      </c>
      <c r="E11" s="617" t="s">
        <v>331</v>
      </c>
      <c r="F11" s="617" t="s">
        <v>334</v>
      </c>
      <c r="G11" s="277" t="s">
        <v>17</v>
      </c>
      <c r="H11" s="619">
        <v>28820</v>
      </c>
      <c r="I11" s="118" t="s">
        <v>143</v>
      </c>
      <c r="J11" s="12"/>
      <c r="K11" s="277" t="s">
        <v>332</v>
      </c>
      <c r="L11" s="622"/>
      <c r="M11" s="617" t="s">
        <v>325</v>
      </c>
      <c r="N11" s="620">
        <v>11.5</v>
      </c>
      <c r="O11" s="620">
        <v>1.2</v>
      </c>
      <c r="P11" s="502"/>
      <c r="Q11" s="502"/>
      <c r="R11" s="277"/>
      <c r="S11" s="502"/>
      <c r="T11" s="502"/>
      <c r="U11" s="502"/>
      <c r="V11" s="502"/>
      <c r="W11" s="502"/>
      <c r="X11" s="502"/>
    </row>
    <row r="12" spans="1:24" s="523" customFormat="1" ht="12.95" hidden="1" customHeight="1" x14ac:dyDescent="0.2">
      <c r="A12" s="525" t="s">
        <v>17</v>
      </c>
      <c r="B12" s="524"/>
      <c r="C12" s="618">
        <v>42458</v>
      </c>
      <c r="D12" s="621">
        <v>139891</v>
      </c>
      <c r="E12" s="617" t="s">
        <v>342</v>
      </c>
      <c r="F12" s="617" t="s">
        <v>334</v>
      </c>
      <c r="G12" s="277" t="s">
        <v>17</v>
      </c>
      <c r="H12" s="619">
        <v>40680</v>
      </c>
      <c r="I12" s="118" t="s">
        <v>143</v>
      </c>
      <c r="J12" s="12"/>
      <c r="K12" s="277" t="s">
        <v>332</v>
      </c>
      <c r="L12" s="622"/>
      <c r="M12" s="617" t="s">
        <v>317</v>
      </c>
      <c r="N12" s="620">
        <v>13.2</v>
      </c>
      <c r="O12" s="620">
        <v>0.8</v>
      </c>
      <c r="P12" s="501"/>
      <c r="Q12" s="312"/>
      <c r="R12" s="277"/>
      <c r="S12" s="502"/>
      <c r="T12" s="502"/>
      <c r="U12" s="502"/>
      <c r="V12" s="502"/>
      <c r="W12" s="502"/>
      <c r="X12" s="502"/>
    </row>
    <row r="13" spans="1:24" s="523" customFormat="1" ht="12.95" hidden="1" customHeight="1" x14ac:dyDescent="0.2">
      <c r="A13" s="525" t="s">
        <v>17</v>
      </c>
      <c r="B13" s="524"/>
      <c r="C13" s="618">
        <v>42458</v>
      </c>
      <c r="D13" s="617" t="s">
        <v>339</v>
      </c>
      <c r="E13" s="617" t="s">
        <v>335</v>
      </c>
      <c r="F13" s="617" t="s">
        <v>334</v>
      </c>
      <c r="G13" s="277" t="s">
        <v>17</v>
      </c>
      <c r="H13" s="619">
        <v>32880</v>
      </c>
      <c r="I13" s="118" t="s">
        <v>143</v>
      </c>
      <c r="J13" s="12"/>
      <c r="K13" s="277" t="s">
        <v>332</v>
      </c>
      <c r="L13" s="622"/>
      <c r="M13" s="617" t="s">
        <v>336</v>
      </c>
      <c r="N13" s="620">
        <v>13.5</v>
      </c>
      <c r="O13" s="620">
        <v>1.2</v>
      </c>
      <c r="P13" s="501"/>
      <c r="Q13" s="312"/>
      <c r="R13" s="277"/>
      <c r="S13" s="502"/>
      <c r="T13" s="502"/>
      <c r="U13" s="502"/>
      <c r="V13" s="502"/>
      <c r="W13" s="502"/>
      <c r="X13" s="502"/>
    </row>
    <row r="14" spans="1:24" s="523" customFormat="1" ht="12.95" hidden="1" customHeight="1" x14ac:dyDescent="0.2">
      <c r="A14" s="311" t="s">
        <v>17</v>
      </c>
      <c r="B14" s="524"/>
      <c r="C14" s="618">
        <v>42458</v>
      </c>
      <c r="D14" s="621">
        <v>804369</v>
      </c>
      <c r="E14" s="617" t="s">
        <v>343</v>
      </c>
      <c r="F14" s="617" t="s">
        <v>334</v>
      </c>
      <c r="G14" s="277" t="s">
        <v>17</v>
      </c>
      <c r="H14" s="619">
        <v>39420</v>
      </c>
      <c r="I14" s="118" t="s">
        <v>143</v>
      </c>
      <c r="J14" s="12"/>
      <c r="K14" s="277" t="s">
        <v>332</v>
      </c>
      <c r="L14" s="622"/>
      <c r="M14" s="617" t="s">
        <v>337</v>
      </c>
      <c r="N14" s="620">
        <v>11.9</v>
      </c>
      <c r="O14" s="620">
        <v>1.1200000000000001</v>
      </c>
      <c r="P14" s="501"/>
      <c r="Q14" s="312"/>
      <c r="R14" s="277"/>
      <c r="S14" s="502"/>
      <c r="T14" s="502"/>
      <c r="U14" s="502"/>
      <c r="V14" s="502"/>
      <c r="W14" s="502"/>
      <c r="X14" s="502"/>
    </row>
    <row r="15" spans="1:24" s="523" customFormat="1" ht="12.95" customHeight="1" x14ac:dyDescent="0.2">
      <c r="A15" s="110" t="s">
        <v>17</v>
      </c>
      <c r="B15" s="4"/>
      <c r="C15" s="618">
        <v>42458</v>
      </c>
      <c r="D15" s="621">
        <v>805527</v>
      </c>
      <c r="E15" s="617" t="s">
        <v>344</v>
      </c>
      <c r="F15" s="617" t="s">
        <v>334</v>
      </c>
      <c r="G15" s="277" t="s">
        <v>17</v>
      </c>
      <c r="H15" s="619">
        <v>42100</v>
      </c>
      <c r="I15" s="118" t="s">
        <v>143</v>
      </c>
      <c r="J15" s="12"/>
      <c r="K15" s="277" t="s">
        <v>332</v>
      </c>
      <c r="L15" s="622"/>
      <c r="M15" s="617" t="s">
        <v>338</v>
      </c>
      <c r="N15" s="620">
        <v>11.9</v>
      </c>
      <c r="O15" s="620">
        <v>1.28</v>
      </c>
      <c r="P15" s="501"/>
      <c r="Q15" s="312"/>
      <c r="R15" s="277"/>
      <c r="S15" s="502"/>
      <c r="T15" s="502"/>
      <c r="U15" s="502"/>
      <c r="V15" s="502"/>
      <c r="W15" s="502"/>
      <c r="X15" s="502"/>
    </row>
    <row r="16" spans="1:24" s="500" customFormat="1" ht="12.95" hidden="1" customHeight="1" x14ac:dyDescent="0.2">
      <c r="A16" s="110" t="s">
        <v>17</v>
      </c>
      <c r="B16" s="4"/>
      <c r="C16" s="618">
        <v>42458</v>
      </c>
      <c r="D16" s="617" t="s">
        <v>340</v>
      </c>
      <c r="E16" s="617" t="s">
        <v>345</v>
      </c>
      <c r="F16" s="617" t="s">
        <v>334</v>
      </c>
      <c r="G16" s="277" t="s">
        <v>17</v>
      </c>
      <c r="H16" s="619">
        <v>31360</v>
      </c>
      <c r="I16" s="118" t="s">
        <v>143</v>
      </c>
      <c r="J16" s="12"/>
      <c r="K16" s="277" t="s">
        <v>332</v>
      </c>
      <c r="L16" s="622"/>
      <c r="M16" s="617" t="s">
        <v>336</v>
      </c>
      <c r="N16" s="620">
        <v>13.3</v>
      </c>
      <c r="O16" s="620">
        <v>1.2</v>
      </c>
      <c r="P16" s="501"/>
      <c r="Q16" s="312"/>
      <c r="R16" s="277"/>
      <c r="S16" s="502"/>
      <c r="T16" s="502"/>
      <c r="U16" s="502"/>
      <c r="V16" s="502"/>
      <c r="W16" s="502"/>
      <c r="X16" s="502"/>
    </row>
    <row r="17" spans="1:24" s="500" customFormat="1" ht="12.95" hidden="1" customHeight="1" x14ac:dyDescent="0.2">
      <c r="A17" s="110" t="s">
        <v>17</v>
      </c>
      <c r="B17" s="4"/>
      <c r="C17" s="618">
        <v>42459</v>
      </c>
      <c r="D17" s="617" t="s">
        <v>341</v>
      </c>
      <c r="E17" s="617" t="s">
        <v>346</v>
      </c>
      <c r="F17" s="617" t="s">
        <v>334</v>
      </c>
      <c r="G17" s="277" t="s">
        <v>17</v>
      </c>
      <c r="H17" s="619">
        <v>29460</v>
      </c>
      <c r="I17" s="118" t="s">
        <v>143</v>
      </c>
      <c r="J17" s="12"/>
      <c r="K17" s="277" t="s">
        <v>332</v>
      </c>
      <c r="L17" s="622"/>
      <c r="M17" s="617" t="s">
        <v>336</v>
      </c>
      <c r="N17" s="620">
        <v>13</v>
      </c>
      <c r="O17" s="620">
        <v>1.2</v>
      </c>
      <c r="P17" s="501"/>
      <c r="Q17" s="312"/>
      <c r="R17" s="277"/>
      <c r="S17" s="502"/>
      <c r="T17" s="502"/>
      <c r="U17" s="502"/>
      <c r="V17" s="502"/>
      <c r="W17" s="502"/>
      <c r="X17" s="502"/>
    </row>
    <row r="18" spans="1:24" s="500" customFormat="1" ht="12.95" hidden="1" customHeight="1" x14ac:dyDescent="0.2">
      <c r="A18" s="110" t="s">
        <v>17</v>
      </c>
      <c r="B18" s="4"/>
      <c r="C18" s="618">
        <v>42459</v>
      </c>
      <c r="D18" s="621">
        <v>804368</v>
      </c>
      <c r="E18" s="617" t="s">
        <v>347</v>
      </c>
      <c r="F18" s="617" t="s">
        <v>334</v>
      </c>
      <c r="G18" s="277" t="s">
        <v>17</v>
      </c>
      <c r="H18" s="619">
        <v>43020</v>
      </c>
      <c r="I18" s="118" t="s">
        <v>143</v>
      </c>
      <c r="J18" s="12"/>
      <c r="K18" s="277" t="s">
        <v>332</v>
      </c>
      <c r="L18" s="622"/>
      <c r="M18" s="617" t="s">
        <v>337</v>
      </c>
      <c r="N18" s="620">
        <v>12.4</v>
      </c>
      <c r="O18" s="620">
        <v>1.24</v>
      </c>
      <c r="P18" s="501"/>
      <c r="Q18" s="312"/>
      <c r="R18" s="277"/>
      <c r="S18" s="502"/>
      <c r="T18" s="502"/>
      <c r="U18" s="502"/>
      <c r="V18" s="502"/>
      <c r="W18" s="502"/>
      <c r="X18" s="502"/>
    </row>
    <row r="19" spans="1:24" s="500" customFormat="1" ht="12.95" hidden="1" customHeight="1" x14ac:dyDescent="0.2">
      <c r="A19" s="110" t="s">
        <v>17</v>
      </c>
      <c r="B19" s="4"/>
      <c r="C19" s="618">
        <v>42459</v>
      </c>
      <c r="D19" s="621">
        <v>804373</v>
      </c>
      <c r="E19" s="617" t="s">
        <v>348</v>
      </c>
      <c r="F19" s="617" t="s">
        <v>334</v>
      </c>
      <c r="G19" s="277" t="s">
        <v>17</v>
      </c>
      <c r="H19" s="619">
        <v>39520</v>
      </c>
      <c r="I19" s="118" t="s">
        <v>143</v>
      </c>
      <c r="J19" s="12"/>
      <c r="K19" s="277" t="s">
        <v>332</v>
      </c>
      <c r="L19" s="622"/>
      <c r="M19" s="617" t="s">
        <v>337</v>
      </c>
      <c r="N19" s="620">
        <v>13.3</v>
      </c>
      <c r="O19" s="620">
        <v>1</v>
      </c>
      <c r="P19" s="501"/>
      <c r="Q19" s="312"/>
      <c r="R19" s="277"/>
      <c r="S19" s="502"/>
      <c r="T19" s="502"/>
      <c r="U19" s="502"/>
      <c r="V19" s="502"/>
      <c r="W19" s="502"/>
      <c r="X19" s="502"/>
    </row>
    <row r="20" spans="1:24" s="500" customFormat="1" ht="12.95" customHeight="1" x14ac:dyDescent="0.2">
      <c r="A20" s="110" t="s">
        <v>17</v>
      </c>
      <c r="B20" s="4"/>
      <c r="C20" s="618">
        <v>42459</v>
      </c>
      <c r="D20" s="621">
        <v>804424</v>
      </c>
      <c r="E20" s="617" t="s">
        <v>349</v>
      </c>
      <c r="F20" s="617" t="s">
        <v>334</v>
      </c>
      <c r="G20" s="277" t="s">
        <v>17</v>
      </c>
      <c r="H20" s="619">
        <v>40480</v>
      </c>
      <c r="I20" s="118" t="s">
        <v>143</v>
      </c>
      <c r="J20" s="12"/>
      <c r="K20" s="277" t="s">
        <v>332</v>
      </c>
      <c r="L20" s="622"/>
      <c r="M20" s="617" t="s">
        <v>338</v>
      </c>
      <c r="N20" s="620">
        <v>11.5</v>
      </c>
      <c r="O20" s="620">
        <v>1.04</v>
      </c>
      <c r="P20" s="501"/>
      <c r="Q20" s="312"/>
      <c r="R20" s="277"/>
      <c r="S20" s="502"/>
      <c r="T20" s="502"/>
      <c r="U20" s="502"/>
      <c r="V20" s="502"/>
      <c r="W20" s="502"/>
      <c r="X20" s="502"/>
    </row>
    <row r="21" spans="1:24" s="500" customFormat="1" ht="12.95" customHeight="1" x14ac:dyDescent="0.2">
      <c r="A21" s="110" t="s">
        <v>17</v>
      </c>
      <c r="B21" s="4"/>
      <c r="C21" s="618">
        <v>42459</v>
      </c>
      <c r="D21" s="621">
        <v>805526</v>
      </c>
      <c r="E21" s="617" t="s">
        <v>350</v>
      </c>
      <c r="F21" s="617" t="s">
        <v>334</v>
      </c>
      <c r="G21" s="277" t="s">
        <v>17</v>
      </c>
      <c r="H21" s="619">
        <v>40660</v>
      </c>
      <c r="I21" s="118" t="s">
        <v>143</v>
      </c>
      <c r="J21" s="12"/>
      <c r="K21" s="277" t="s">
        <v>332</v>
      </c>
      <c r="L21" s="622"/>
      <c r="M21" s="617" t="s">
        <v>338</v>
      </c>
      <c r="N21" s="620">
        <v>11.8</v>
      </c>
      <c r="O21" s="620">
        <v>1.04</v>
      </c>
      <c r="P21" s="501"/>
      <c r="Q21" s="312"/>
      <c r="R21" s="277"/>
      <c r="S21" s="502"/>
      <c r="T21" s="502"/>
      <c r="U21" s="502"/>
      <c r="V21" s="502"/>
      <c r="W21" s="502"/>
      <c r="X21" s="502"/>
    </row>
    <row r="22" spans="1:24" s="500" customFormat="1" ht="12.95" hidden="1" customHeight="1" x14ac:dyDescent="0.2">
      <c r="A22" s="110" t="s">
        <v>17</v>
      </c>
      <c r="B22" s="4"/>
      <c r="C22" s="618">
        <v>42459</v>
      </c>
      <c r="D22" s="621">
        <v>211530</v>
      </c>
      <c r="E22" s="617" t="s">
        <v>330</v>
      </c>
      <c r="F22" s="617" t="s">
        <v>334</v>
      </c>
      <c r="G22" s="110" t="s">
        <v>17</v>
      </c>
      <c r="H22" s="619">
        <v>32040</v>
      </c>
      <c r="I22" s="118" t="s">
        <v>143</v>
      </c>
      <c r="J22" s="12"/>
      <c r="K22" s="277" t="s">
        <v>332</v>
      </c>
      <c r="L22" s="622"/>
      <c r="M22" s="617" t="s">
        <v>325</v>
      </c>
      <c r="N22" s="620">
        <v>12</v>
      </c>
      <c r="O22" s="620">
        <v>1.26</v>
      </c>
      <c r="P22" s="501"/>
      <c r="Q22" s="312"/>
      <c r="R22" s="277"/>
      <c r="S22" s="502"/>
      <c r="T22" s="502"/>
      <c r="U22" s="502"/>
      <c r="V22" s="502"/>
      <c r="W22" s="502"/>
      <c r="X22" s="502"/>
    </row>
    <row r="23" spans="1:24" s="500" customFormat="1" ht="12.95" hidden="1" customHeight="1" x14ac:dyDescent="0.2">
      <c r="A23" s="110" t="s">
        <v>17</v>
      </c>
      <c r="B23" s="4"/>
      <c r="C23" s="618">
        <v>42459</v>
      </c>
      <c r="D23" s="621">
        <v>505936</v>
      </c>
      <c r="E23" s="617" t="s">
        <v>326</v>
      </c>
      <c r="F23" s="617" t="s">
        <v>334</v>
      </c>
      <c r="G23" s="110" t="s">
        <v>17</v>
      </c>
      <c r="H23" s="619">
        <v>31280</v>
      </c>
      <c r="I23" s="118" t="s">
        <v>143</v>
      </c>
      <c r="J23" s="12"/>
      <c r="K23" s="277" t="s">
        <v>332</v>
      </c>
      <c r="L23" s="612"/>
      <c r="M23" s="617" t="s">
        <v>325</v>
      </c>
      <c r="N23" s="620">
        <v>12</v>
      </c>
      <c r="O23" s="620">
        <v>1.44</v>
      </c>
      <c r="P23" s="501"/>
      <c r="Q23" s="312"/>
      <c r="R23" s="277"/>
      <c r="S23" s="502"/>
      <c r="T23" s="502"/>
      <c r="U23" s="502"/>
      <c r="V23" s="502"/>
      <c r="W23" s="502"/>
      <c r="X23" s="502"/>
    </row>
    <row r="24" spans="1:24" s="500" customFormat="1" ht="12.95" hidden="1" customHeight="1" x14ac:dyDescent="0.2">
      <c r="A24" s="110" t="s">
        <v>17</v>
      </c>
      <c r="B24" s="4"/>
      <c r="C24" s="618">
        <v>42458</v>
      </c>
      <c r="D24" s="621">
        <v>61</v>
      </c>
      <c r="E24" s="617" t="s">
        <v>323</v>
      </c>
      <c r="F24" s="617" t="s">
        <v>333</v>
      </c>
      <c r="G24" s="110" t="s">
        <v>17</v>
      </c>
      <c r="H24" s="619">
        <v>49380</v>
      </c>
      <c r="I24" s="277" t="s">
        <v>204</v>
      </c>
      <c r="J24" s="277"/>
      <c r="K24" s="277" t="s">
        <v>332</v>
      </c>
      <c r="L24" s="617" t="s">
        <v>351</v>
      </c>
      <c r="M24" s="617" t="s">
        <v>320</v>
      </c>
      <c r="N24" s="620">
        <v>13.3</v>
      </c>
      <c r="O24" s="620">
        <v>1.88</v>
      </c>
      <c r="P24" s="501"/>
      <c r="Q24" s="312"/>
      <c r="R24" s="277"/>
      <c r="S24" s="502"/>
      <c r="T24" s="502"/>
      <c r="U24" s="502"/>
      <c r="V24" s="502"/>
      <c r="W24" s="502"/>
      <c r="X24" s="502"/>
    </row>
    <row r="25" spans="1:24" s="500" customFormat="1" ht="12.95" hidden="1" customHeight="1" x14ac:dyDescent="0.2">
      <c r="A25" s="110" t="s">
        <v>17</v>
      </c>
      <c r="B25" s="4"/>
      <c r="C25" s="618">
        <v>42458</v>
      </c>
      <c r="D25" s="621">
        <v>62</v>
      </c>
      <c r="E25" s="617" t="s">
        <v>328</v>
      </c>
      <c r="F25" s="617" t="s">
        <v>333</v>
      </c>
      <c r="G25" s="110" t="s">
        <v>17</v>
      </c>
      <c r="H25" s="619">
        <v>49860</v>
      </c>
      <c r="I25" s="277" t="s">
        <v>204</v>
      </c>
      <c r="J25" s="277"/>
      <c r="K25" s="277" t="s">
        <v>332</v>
      </c>
      <c r="L25" s="617" t="s">
        <v>351</v>
      </c>
      <c r="M25" s="617" t="s">
        <v>320</v>
      </c>
      <c r="N25" s="620">
        <v>13.2</v>
      </c>
      <c r="O25" s="620">
        <v>1.9</v>
      </c>
      <c r="P25" s="501"/>
      <c r="Q25" s="312"/>
      <c r="R25" s="277"/>
      <c r="S25" s="502"/>
      <c r="T25" s="502"/>
      <c r="U25" s="502"/>
      <c r="V25" s="502"/>
      <c r="W25" s="502"/>
      <c r="X25" s="502"/>
    </row>
    <row r="26" spans="1:24" s="500" customFormat="1" ht="12.95" hidden="1" customHeight="1" x14ac:dyDescent="0.2">
      <c r="A26" s="110"/>
      <c r="B26" s="4"/>
      <c r="C26" s="611"/>
      <c r="D26" s="613"/>
      <c r="E26" s="612"/>
      <c r="F26" s="4"/>
      <c r="G26" s="110"/>
      <c r="H26" s="616"/>
      <c r="I26" s="118"/>
      <c r="J26" s="12"/>
      <c r="K26" s="277"/>
      <c r="L26" s="612"/>
      <c r="M26" s="612"/>
      <c r="N26" s="614"/>
      <c r="O26" s="614"/>
      <c r="P26" s="501"/>
      <c r="Q26" s="312"/>
      <c r="R26" s="277"/>
      <c r="S26" s="502"/>
      <c r="T26" s="502"/>
      <c r="U26" s="502"/>
      <c r="V26" s="502"/>
      <c r="W26" s="502"/>
      <c r="X26" s="502"/>
    </row>
    <row r="27" spans="1:24" s="500" customFormat="1" ht="12.95" hidden="1" customHeight="1" x14ac:dyDescent="0.2">
      <c r="A27" s="110"/>
      <c r="B27" s="4"/>
      <c r="C27" s="611"/>
      <c r="D27" s="613"/>
      <c r="E27" s="612"/>
      <c r="F27" s="4"/>
      <c r="G27" s="110"/>
      <c r="H27" s="616"/>
      <c r="I27" s="118"/>
      <c r="J27" s="12"/>
      <c r="K27" s="277"/>
      <c r="L27" s="612"/>
      <c r="M27" s="612"/>
      <c r="N27" s="614"/>
      <c r="O27" s="614"/>
      <c r="P27" s="501"/>
      <c r="Q27" s="312"/>
      <c r="R27" s="277"/>
      <c r="S27" s="502"/>
      <c r="T27" s="502"/>
      <c r="U27" s="502"/>
      <c r="V27" s="502"/>
      <c r="W27" s="502"/>
      <c r="X27" s="502"/>
    </row>
    <row r="28" spans="1:24" s="500" customFormat="1" ht="12.95" hidden="1" customHeight="1" x14ac:dyDescent="0.2">
      <c r="A28" s="110"/>
      <c r="B28" s="4"/>
      <c r="C28" s="611"/>
      <c r="D28" s="613"/>
      <c r="E28" s="612"/>
      <c r="F28" s="4"/>
      <c r="G28" s="110"/>
      <c r="H28" s="616"/>
      <c r="I28" s="118"/>
      <c r="J28" s="12"/>
      <c r="K28" s="277"/>
      <c r="L28" s="612"/>
      <c r="M28" s="612"/>
      <c r="N28" s="614"/>
      <c r="O28" s="614"/>
      <c r="P28" s="501"/>
      <c r="Q28" s="312"/>
      <c r="R28" s="277"/>
      <c r="S28" s="502"/>
      <c r="T28" s="502"/>
      <c r="U28" s="502"/>
      <c r="V28" s="502"/>
      <c r="W28" s="502"/>
      <c r="X28" s="502"/>
    </row>
    <row r="29" spans="1:24" s="500" customFormat="1" ht="12.95" hidden="1" customHeight="1" x14ac:dyDescent="0.2">
      <c r="A29" s="110"/>
      <c r="B29" s="4"/>
      <c r="C29" s="611"/>
      <c r="D29" s="613"/>
      <c r="E29" s="612"/>
      <c r="F29" s="4"/>
      <c r="G29" s="110"/>
      <c r="H29" s="616"/>
      <c r="I29" s="118"/>
      <c r="J29" s="12"/>
      <c r="K29" s="277"/>
      <c r="L29" s="612"/>
      <c r="M29" s="612"/>
      <c r="N29" s="614"/>
      <c r="O29" s="614"/>
      <c r="P29" s="501"/>
      <c r="Q29" s="312"/>
      <c r="R29" s="277"/>
      <c r="S29" s="502"/>
      <c r="T29" s="502"/>
      <c r="U29" s="502"/>
      <c r="V29" s="502"/>
      <c r="W29" s="502"/>
      <c r="X29" s="502"/>
    </row>
    <row r="30" spans="1:24" s="500" customFormat="1" ht="12.95" hidden="1" customHeight="1" x14ac:dyDescent="0.2">
      <c r="A30" s="110"/>
      <c r="B30" s="4"/>
      <c r="C30" s="611"/>
      <c r="D30" s="613"/>
      <c r="E30" s="612"/>
      <c r="F30" s="4"/>
      <c r="G30" s="110"/>
      <c r="H30" s="616"/>
      <c r="I30" s="118"/>
      <c r="J30" s="12"/>
      <c r="K30" s="277"/>
      <c r="L30" s="612"/>
      <c r="M30" s="612"/>
      <c r="N30" s="614"/>
      <c r="O30" s="614"/>
      <c r="P30" s="501"/>
      <c r="Q30" s="312"/>
      <c r="R30" s="277"/>
      <c r="S30" s="502"/>
      <c r="T30" s="502"/>
      <c r="U30" s="502"/>
      <c r="V30" s="502"/>
      <c r="W30" s="502"/>
      <c r="X30" s="502"/>
    </row>
    <row r="31" spans="1:24" s="500" customFormat="1" ht="12.95" hidden="1" customHeight="1" x14ac:dyDescent="0.2">
      <c r="A31" s="110"/>
      <c r="B31" s="4"/>
      <c r="C31" s="114"/>
      <c r="D31" s="110"/>
      <c r="E31" s="493"/>
      <c r="F31" s="4"/>
      <c r="G31" s="110"/>
      <c r="H31" s="511"/>
      <c r="I31" s="118"/>
      <c r="J31" s="12"/>
      <c r="K31" s="510"/>
      <c r="L31" s="502"/>
      <c r="M31" s="4"/>
      <c r="N31" s="512"/>
      <c r="O31" s="512"/>
      <c r="P31" s="501"/>
      <c r="Q31" s="312"/>
      <c r="R31" s="277"/>
      <c r="S31" s="502"/>
      <c r="T31" s="502"/>
      <c r="U31" s="502"/>
      <c r="V31" s="502"/>
      <c r="W31" s="502"/>
      <c r="X31" s="502"/>
    </row>
    <row r="32" spans="1:24" s="500" customFormat="1" ht="12.95" hidden="1" customHeight="1" x14ac:dyDescent="0.2">
      <c r="A32" s="110"/>
      <c r="B32" s="4"/>
      <c r="C32" s="114"/>
      <c r="D32" s="110"/>
      <c r="E32" s="493"/>
      <c r="F32" s="4"/>
      <c r="G32" s="110"/>
      <c r="H32" s="511"/>
      <c r="I32" s="118"/>
      <c r="J32" s="12"/>
      <c r="K32" s="510"/>
      <c r="L32" s="502"/>
      <c r="M32" s="4"/>
      <c r="N32" s="512"/>
      <c r="O32" s="512"/>
      <c r="P32" s="501"/>
      <c r="Q32" s="312"/>
      <c r="R32" s="277"/>
      <c r="S32" s="502"/>
      <c r="T32" s="502"/>
      <c r="U32" s="502"/>
      <c r="V32" s="502"/>
      <c r="W32" s="502"/>
      <c r="X32" s="502"/>
    </row>
    <row r="33" spans="1:24" s="500" customFormat="1" ht="12.95" hidden="1" customHeight="1" x14ac:dyDescent="0.2">
      <c r="A33" s="110"/>
      <c r="B33" s="4"/>
      <c r="C33" s="114"/>
      <c r="D33" s="110"/>
      <c r="E33" s="493"/>
      <c r="F33" s="4"/>
      <c r="G33" s="110"/>
      <c r="H33" s="511"/>
      <c r="I33" s="118"/>
      <c r="J33" s="12"/>
      <c r="K33" s="510"/>
      <c r="L33" s="502"/>
      <c r="M33" s="4"/>
      <c r="N33" s="512"/>
      <c r="O33" s="512"/>
      <c r="P33" s="501"/>
      <c r="Q33" s="312"/>
      <c r="R33" s="277"/>
      <c r="S33" s="502"/>
      <c r="T33" s="502"/>
      <c r="U33" s="502"/>
      <c r="V33" s="502"/>
      <c r="W33" s="502"/>
      <c r="X33" s="502"/>
    </row>
    <row r="34" spans="1:24" s="500" customFormat="1" ht="12.95" hidden="1" customHeight="1" x14ac:dyDescent="0.2">
      <c r="A34" s="110"/>
      <c r="B34" s="4"/>
      <c r="C34" s="114"/>
      <c r="D34" s="110"/>
      <c r="E34" s="493"/>
      <c r="F34" s="4"/>
      <c r="G34" s="110"/>
      <c r="H34" s="511"/>
      <c r="I34" s="118"/>
      <c r="J34" s="12"/>
      <c r="K34" s="510"/>
      <c r="L34" s="502"/>
      <c r="M34" s="4"/>
      <c r="N34" s="512"/>
      <c r="O34" s="512"/>
      <c r="P34" s="501"/>
      <c r="Q34" s="312"/>
      <c r="R34" s="277"/>
      <c r="S34" s="502"/>
      <c r="T34" s="502"/>
      <c r="U34" s="502"/>
      <c r="V34" s="502"/>
      <c r="W34" s="502"/>
      <c r="X34" s="502"/>
    </row>
    <row r="35" spans="1:24" s="500" customFormat="1" ht="12.95" hidden="1" customHeight="1" x14ac:dyDescent="0.2">
      <c r="A35" s="110"/>
      <c r="B35" s="4"/>
      <c r="C35" s="114"/>
      <c r="D35" s="110"/>
      <c r="E35" s="493"/>
      <c r="F35" s="4"/>
      <c r="G35" s="110"/>
      <c r="H35" s="511"/>
      <c r="I35" s="118"/>
      <c r="J35" s="12"/>
      <c r="K35" s="510"/>
      <c r="L35" s="502"/>
      <c r="M35" s="4"/>
      <c r="N35" s="512"/>
      <c r="O35" s="512"/>
      <c r="P35" s="501"/>
      <c r="Q35" s="312"/>
      <c r="R35" s="277"/>
      <c r="S35" s="502"/>
      <c r="T35" s="502"/>
      <c r="U35" s="502"/>
      <c r="V35" s="502"/>
      <c r="W35" s="502"/>
      <c r="X35" s="502"/>
    </row>
    <row r="36" spans="1:24" s="500" customFormat="1" ht="12.95" hidden="1" customHeight="1" x14ac:dyDescent="0.2">
      <c r="A36" s="110"/>
      <c r="B36" s="4"/>
      <c r="C36" s="114"/>
      <c r="D36" s="110"/>
      <c r="E36" s="493"/>
      <c r="F36" s="4"/>
      <c r="G36" s="110"/>
      <c r="H36" s="511"/>
      <c r="I36" s="118"/>
      <c r="J36" s="12"/>
      <c r="K36" s="510"/>
      <c r="L36" s="502"/>
      <c r="M36" s="4"/>
      <c r="N36" s="512"/>
      <c r="O36" s="512"/>
      <c r="P36" s="501"/>
      <c r="Q36" s="312"/>
      <c r="R36" s="277"/>
      <c r="S36" s="502"/>
      <c r="T36" s="502"/>
      <c r="U36" s="502"/>
      <c r="V36" s="502"/>
      <c r="W36" s="502"/>
      <c r="X36" s="502"/>
    </row>
    <row r="37" spans="1:24" s="500" customFormat="1" ht="12.95" hidden="1" customHeight="1" x14ac:dyDescent="0.2">
      <c r="A37" s="110"/>
      <c r="B37" s="4"/>
      <c r="C37" s="114"/>
      <c r="D37" s="110"/>
      <c r="E37" s="493"/>
      <c r="F37" s="4"/>
      <c r="G37" s="110"/>
      <c r="H37" s="511"/>
      <c r="I37" s="118"/>
      <c r="J37" s="12"/>
      <c r="K37" s="510"/>
      <c r="L37" s="502"/>
      <c r="M37" s="4"/>
      <c r="N37" s="512"/>
      <c r="O37" s="512"/>
      <c r="P37" s="501"/>
      <c r="Q37" s="312"/>
      <c r="R37" s="277"/>
      <c r="S37" s="502"/>
      <c r="T37" s="502"/>
      <c r="U37" s="502"/>
      <c r="V37" s="502"/>
      <c r="W37" s="502"/>
      <c r="X37" s="502"/>
    </row>
    <row r="38" spans="1:24" s="500" customFormat="1" ht="12.95" hidden="1" customHeight="1" x14ac:dyDescent="0.2">
      <c r="A38" s="110"/>
      <c r="B38" s="4"/>
      <c r="C38" s="114"/>
      <c r="D38" s="110"/>
      <c r="E38" s="493"/>
      <c r="F38" s="4"/>
      <c r="G38" s="110"/>
      <c r="H38" s="511"/>
      <c r="I38" s="118"/>
      <c r="J38" s="12"/>
      <c r="K38" s="510"/>
      <c r="L38" s="502"/>
      <c r="M38" s="4"/>
      <c r="N38" s="512"/>
      <c r="O38" s="512"/>
      <c r="P38" s="501"/>
      <c r="Q38" s="312"/>
      <c r="R38" s="277"/>
      <c r="S38" s="502"/>
      <c r="T38" s="502"/>
      <c r="U38" s="502"/>
      <c r="V38" s="502"/>
      <c r="W38" s="502"/>
      <c r="X38" s="502"/>
    </row>
    <row r="39" spans="1:24" s="500" customFormat="1" ht="12.95" hidden="1" customHeight="1" x14ac:dyDescent="0.2">
      <c r="A39" s="110"/>
      <c r="B39" s="4"/>
      <c r="C39" s="114"/>
      <c r="D39" s="110"/>
      <c r="E39" s="493"/>
      <c r="F39" s="4"/>
      <c r="G39" s="110"/>
      <c r="H39" s="511"/>
      <c r="I39" s="118"/>
      <c r="J39" s="12"/>
      <c r="K39" s="510"/>
      <c r="L39" s="502"/>
      <c r="M39" s="4"/>
      <c r="N39" s="512"/>
      <c r="O39" s="512"/>
      <c r="P39" s="501"/>
      <c r="Q39" s="312"/>
      <c r="R39" s="277"/>
      <c r="S39" s="502"/>
      <c r="T39" s="502"/>
      <c r="U39" s="502"/>
      <c r="V39" s="502"/>
      <c r="W39" s="502"/>
      <c r="X39" s="502"/>
    </row>
    <row r="40" spans="1:24" s="500" customFormat="1" ht="12.95" hidden="1" customHeight="1" x14ac:dyDescent="0.2">
      <c r="A40" s="110"/>
      <c r="B40" s="4"/>
      <c r="C40" s="114"/>
      <c r="D40" s="110"/>
      <c r="E40" s="493"/>
      <c r="F40" s="4"/>
      <c r="G40" s="110"/>
      <c r="H40" s="511"/>
      <c r="I40" s="118"/>
      <c r="J40" s="12"/>
      <c r="K40" s="510"/>
      <c r="L40" s="502"/>
      <c r="M40" s="4"/>
      <c r="N40" s="512"/>
      <c r="O40" s="512"/>
      <c r="P40" s="501"/>
      <c r="Q40" s="312"/>
      <c r="R40" s="277"/>
      <c r="S40" s="502"/>
      <c r="T40" s="502"/>
      <c r="U40" s="502"/>
      <c r="V40" s="502"/>
      <c r="W40" s="502"/>
      <c r="X40" s="502"/>
    </row>
    <row r="41" spans="1:24" s="500" customFormat="1" ht="12.75" hidden="1" customHeight="1" x14ac:dyDescent="0.2">
      <c r="A41" s="110"/>
      <c r="B41" s="4"/>
      <c r="C41" s="114"/>
      <c r="D41" s="110"/>
      <c r="E41" s="493"/>
      <c r="F41" s="4"/>
      <c r="G41" s="110"/>
      <c r="H41" s="511"/>
      <c r="I41" s="118"/>
      <c r="J41" s="12"/>
      <c r="K41" s="510"/>
      <c r="L41" s="502"/>
      <c r="M41" s="4"/>
      <c r="N41" s="512"/>
      <c r="O41" s="512"/>
      <c r="P41" s="501"/>
      <c r="Q41" s="312"/>
      <c r="R41" s="277"/>
      <c r="S41" s="502"/>
      <c r="T41" s="502"/>
      <c r="U41" s="502"/>
      <c r="V41" s="502"/>
      <c r="W41" s="502"/>
      <c r="X41" s="502"/>
    </row>
    <row r="42" spans="1:24" s="500" customFormat="1" ht="12.75" hidden="1" customHeight="1" x14ac:dyDescent="0.2">
      <c r="A42" s="110"/>
      <c r="B42" s="455"/>
      <c r="C42" s="114"/>
      <c r="D42" s="110"/>
      <c r="E42" s="493"/>
      <c r="F42" s="4"/>
      <c r="G42" s="110"/>
      <c r="H42" s="511"/>
      <c r="I42" s="118"/>
      <c r="J42" s="12"/>
      <c r="K42" s="510"/>
      <c r="L42" s="502"/>
      <c r="M42" s="455"/>
      <c r="N42" s="512"/>
      <c r="O42" s="512"/>
      <c r="P42" s="501"/>
      <c r="Q42" s="312"/>
      <c r="R42" s="277"/>
      <c r="S42" s="502"/>
      <c r="T42" s="502"/>
      <c r="U42" s="502"/>
      <c r="V42" s="502"/>
      <c r="W42" s="502"/>
      <c r="X42" s="502"/>
    </row>
    <row r="43" spans="1:24" s="500" customFormat="1" ht="12.75" hidden="1" customHeight="1" x14ac:dyDescent="0.2">
      <c r="A43" s="110"/>
      <c r="B43" s="4"/>
      <c r="C43" s="114"/>
      <c r="D43" s="110"/>
      <c r="E43" s="493"/>
      <c r="F43" s="4"/>
      <c r="G43" s="110"/>
      <c r="H43" s="511"/>
      <c r="I43" s="118"/>
      <c r="J43" s="12"/>
      <c r="K43" s="510"/>
      <c r="L43" s="502"/>
      <c r="M43" s="455"/>
      <c r="N43" s="512"/>
      <c r="O43" s="512"/>
      <c r="P43" s="501"/>
      <c r="Q43" s="312"/>
      <c r="R43" s="277"/>
      <c r="S43" s="502"/>
      <c r="T43" s="502"/>
      <c r="U43" s="502"/>
      <c r="V43" s="502"/>
      <c r="W43" s="502"/>
      <c r="X43" s="502"/>
    </row>
    <row r="44" spans="1:24" s="500" customFormat="1" ht="12.75" hidden="1" customHeight="1" x14ac:dyDescent="0.2">
      <c r="A44" s="110"/>
      <c r="B44" s="4"/>
      <c r="C44" s="114"/>
      <c r="D44" s="110"/>
      <c r="E44" s="493"/>
      <c r="F44" s="4"/>
      <c r="G44" s="110"/>
      <c r="H44" s="511"/>
      <c r="I44" s="118"/>
      <c r="J44" s="12"/>
      <c r="K44" s="510"/>
      <c r="L44" s="502"/>
      <c r="M44" s="455"/>
      <c r="N44" s="512"/>
      <c r="O44" s="512"/>
      <c r="P44" s="501"/>
      <c r="Q44" s="312"/>
      <c r="R44" s="277"/>
      <c r="S44" s="502"/>
      <c r="T44" s="502"/>
      <c r="U44" s="502"/>
      <c r="V44" s="502"/>
      <c r="W44" s="502"/>
      <c r="X44" s="502"/>
    </row>
    <row r="45" spans="1:24" s="500" customFormat="1" ht="12.75" hidden="1" customHeight="1" thickBot="1" x14ac:dyDescent="0.25">
      <c r="A45" s="110"/>
      <c r="B45" s="4"/>
      <c r="C45" s="114"/>
      <c r="D45" s="110"/>
      <c r="E45" s="493"/>
      <c r="F45" s="4"/>
      <c r="G45" s="110"/>
      <c r="H45" s="511"/>
      <c r="I45" s="118"/>
      <c r="J45" s="12"/>
      <c r="K45" s="510"/>
      <c r="L45" s="502"/>
      <c r="M45" s="455"/>
      <c r="N45" s="512"/>
      <c r="O45" s="512"/>
      <c r="P45" s="501"/>
      <c r="Q45" s="312"/>
      <c r="R45" s="277"/>
      <c r="S45" s="502"/>
      <c r="T45" s="502"/>
      <c r="U45" s="502"/>
      <c r="V45" s="502"/>
      <c r="W45" s="502"/>
      <c r="X45" s="502"/>
    </row>
    <row r="46" spans="1:24" hidden="1" x14ac:dyDescent="0.2">
      <c r="A46" s="311"/>
      <c r="B46" s="431"/>
      <c r="C46" s="496"/>
      <c r="D46" s="495"/>
      <c r="E46" s="495"/>
      <c r="F46" s="289"/>
      <c r="G46" s="289"/>
      <c r="H46" s="495"/>
      <c r="I46" s="277"/>
      <c r="J46" s="277"/>
      <c r="K46" s="277"/>
      <c r="L46" s="431"/>
      <c r="M46" s="312"/>
      <c r="N46" s="440"/>
      <c r="O46" s="4"/>
      <c r="P46" s="4"/>
      <c r="Q46" s="4"/>
      <c r="R46" s="4"/>
      <c r="S46" s="4"/>
      <c r="T46" s="4"/>
      <c r="U46" s="4"/>
      <c r="V46" s="4"/>
      <c r="W46" s="4"/>
      <c r="X46" s="4"/>
    </row>
    <row r="47" spans="1:24" hidden="1" x14ac:dyDescent="0.2">
      <c r="A47" s="311"/>
      <c r="B47" s="431"/>
      <c r="C47" s="496"/>
      <c r="D47" s="495"/>
      <c r="E47" s="495"/>
      <c r="F47" s="289"/>
      <c r="G47" s="289"/>
      <c r="H47" s="495"/>
      <c r="I47" s="277"/>
      <c r="J47" s="277"/>
      <c r="K47" s="277"/>
      <c r="L47" s="431"/>
      <c r="M47" s="312"/>
      <c r="N47" s="440"/>
      <c r="O47" s="4"/>
      <c r="P47" s="4"/>
      <c r="Q47" s="4"/>
      <c r="R47" s="4"/>
      <c r="S47" s="4"/>
      <c r="T47" s="4"/>
      <c r="U47" s="4"/>
      <c r="V47" s="4"/>
      <c r="W47" s="4"/>
      <c r="X47" s="4"/>
    </row>
    <row r="48" spans="1:24" hidden="1" x14ac:dyDescent="0.2">
      <c r="A48" s="311"/>
      <c r="B48" s="431"/>
      <c r="C48" s="496"/>
      <c r="D48" s="495"/>
      <c r="E48" s="495"/>
      <c r="F48" s="289"/>
      <c r="G48" s="289"/>
      <c r="H48" s="495"/>
      <c r="I48" s="277"/>
      <c r="J48" s="277"/>
      <c r="K48" s="277"/>
      <c r="L48" s="431"/>
      <c r="M48" s="312"/>
      <c r="N48" s="440"/>
      <c r="O48" s="4"/>
      <c r="P48" s="4"/>
      <c r="Q48" s="4"/>
      <c r="R48" s="4"/>
      <c r="S48" s="4"/>
      <c r="T48" s="4"/>
      <c r="U48" s="4"/>
      <c r="V48" s="4"/>
      <c r="W48" s="4"/>
      <c r="X48" s="4"/>
    </row>
    <row r="49" spans="1:24" hidden="1" x14ac:dyDescent="0.2">
      <c r="A49" s="311"/>
      <c r="B49" s="431"/>
      <c r="C49" s="496"/>
      <c r="D49" s="495"/>
      <c r="E49" s="495"/>
      <c r="F49" s="289"/>
      <c r="G49" s="289"/>
      <c r="H49" s="495"/>
      <c r="I49" s="277"/>
      <c r="J49" s="277"/>
      <c r="K49" s="277"/>
      <c r="L49" s="431"/>
      <c r="M49" s="312"/>
      <c r="N49" s="440"/>
      <c r="O49" s="4"/>
      <c r="P49" s="4"/>
      <c r="Q49" s="4"/>
      <c r="R49" s="4"/>
      <c r="S49" s="4"/>
      <c r="T49" s="4"/>
      <c r="U49" s="4"/>
      <c r="V49" s="4"/>
      <c r="W49" s="4"/>
      <c r="X49" s="4"/>
    </row>
    <row r="50" spans="1:24" hidden="1" x14ac:dyDescent="0.2">
      <c r="A50" s="311"/>
      <c r="B50" s="431"/>
      <c r="C50" s="496"/>
      <c r="D50" s="495"/>
      <c r="E50" s="495"/>
      <c r="F50" s="289"/>
      <c r="G50" s="289"/>
      <c r="H50" s="495"/>
      <c r="I50" s="277"/>
      <c r="J50" s="277"/>
      <c r="K50" s="277"/>
      <c r="L50" s="431"/>
      <c r="M50" s="312"/>
      <c r="N50" s="440"/>
      <c r="O50" s="4"/>
      <c r="P50" s="4"/>
      <c r="Q50" s="4"/>
      <c r="R50" s="4"/>
      <c r="S50" s="4"/>
      <c r="T50" s="4"/>
      <c r="U50" s="4"/>
      <c r="V50" s="4"/>
      <c r="W50" s="4"/>
      <c r="X50" s="4"/>
    </row>
    <row r="51" spans="1:24" hidden="1" x14ac:dyDescent="0.2">
      <c r="A51" s="311"/>
      <c r="B51" s="431"/>
      <c r="C51" s="496"/>
      <c r="D51" s="495"/>
      <c r="E51" s="495"/>
      <c r="F51" s="289"/>
      <c r="G51" s="289"/>
      <c r="H51" s="495"/>
      <c r="I51" s="277"/>
      <c r="J51" s="277"/>
      <c r="K51" s="277"/>
      <c r="L51" s="431"/>
      <c r="M51" s="312"/>
      <c r="N51" s="435"/>
      <c r="O51" s="4"/>
      <c r="P51" s="4"/>
      <c r="Q51" s="4"/>
      <c r="R51" s="4"/>
      <c r="S51" s="4"/>
      <c r="T51" s="4"/>
      <c r="U51" s="4"/>
      <c r="V51" s="4"/>
      <c r="W51" s="4"/>
      <c r="X51" s="4"/>
    </row>
    <row r="52" spans="1:24" hidden="1" x14ac:dyDescent="0.2">
      <c r="A52" s="311"/>
      <c r="B52" s="431"/>
      <c r="C52" s="496"/>
      <c r="D52" s="495"/>
      <c r="E52" s="495"/>
      <c r="F52" s="289"/>
      <c r="G52" s="289"/>
      <c r="H52" s="495"/>
      <c r="I52" s="277"/>
      <c r="J52" s="277"/>
      <c r="K52" s="277"/>
      <c r="L52" s="431"/>
      <c r="M52" s="312"/>
      <c r="N52" s="435"/>
      <c r="O52" s="4"/>
      <c r="P52" s="4"/>
      <c r="Q52" s="4"/>
      <c r="R52" s="4"/>
      <c r="S52" s="4"/>
      <c r="T52" s="4"/>
      <c r="U52" s="4"/>
      <c r="V52" s="4"/>
      <c r="W52" s="4"/>
      <c r="X52" s="4"/>
    </row>
    <row r="53" spans="1:24" hidden="1" x14ac:dyDescent="0.2">
      <c r="A53" s="311"/>
      <c r="B53" s="431"/>
      <c r="C53" s="496"/>
      <c r="D53" s="495"/>
      <c r="E53" s="495"/>
      <c r="F53" s="289"/>
      <c r="G53" s="289"/>
      <c r="H53" s="495"/>
      <c r="I53" s="277"/>
      <c r="J53" s="277"/>
      <c r="K53" s="277"/>
      <c r="L53" s="431"/>
      <c r="M53" s="312"/>
      <c r="N53" s="435"/>
      <c r="O53" s="4"/>
      <c r="P53" s="4"/>
      <c r="Q53" s="4"/>
      <c r="R53" s="4"/>
      <c r="S53" s="4"/>
      <c r="T53" s="4"/>
      <c r="U53" s="4"/>
      <c r="V53" s="4"/>
      <c r="W53" s="4"/>
      <c r="X53" s="4"/>
    </row>
    <row r="54" spans="1:24" hidden="1" x14ac:dyDescent="0.2">
      <c r="A54" s="311"/>
      <c r="B54" s="431"/>
      <c r="C54" s="496"/>
      <c r="D54" s="495"/>
      <c r="E54" s="495"/>
      <c r="F54" s="289"/>
      <c r="G54" s="289"/>
      <c r="H54" s="495"/>
      <c r="I54" s="277"/>
      <c r="J54" s="277"/>
      <c r="K54" s="277"/>
      <c r="L54" s="431"/>
      <c r="M54" s="312"/>
      <c r="N54" s="435"/>
      <c r="O54" s="4"/>
      <c r="P54" s="4"/>
      <c r="Q54" s="4"/>
      <c r="R54" s="4"/>
      <c r="S54" s="4"/>
      <c r="T54" s="4"/>
      <c r="U54" s="4"/>
      <c r="V54" s="4"/>
      <c r="W54" s="4"/>
      <c r="X54" s="4"/>
    </row>
    <row r="55" spans="1:24" hidden="1" x14ac:dyDescent="0.2">
      <c r="A55" s="311"/>
      <c r="B55" s="431"/>
      <c r="C55" s="496"/>
      <c r="D55" s="495"/>
      <c r="E55" s="495"/>
      <c r="F55" s="289"/>
      <c r="G55" s="289"/>
      <c r="H55" s="495"/>
      <c r="I55" s="277"/>
      <c r="J55" s="277"/>
      <c r="K55" s="277"/>
      <c r="L55" s="431"/>
      <c r="M55" s="312"/>
      <c r="N55" s="435"/>
      <c r="O55" s="4"/>
      <c r="P55" s="4"/>
      <c r="Q55" s="4"/>
      <c r="R55" s="4"/>
      <c r="S55" s="4"/>
      <c r="T55" s="4"/>
      <c r="U55" s="4"/>
      <c r="V55" s="4"/>
      <c r="W55" s="4"/>
      <c r="X55" s="4"/>
    </row>
    <row r="56" spans="1:24" hidden="1" x14ac:dyDescent="0.2">
      <c r="A56" s="311"/>
      <c r="B56" s="431"/>
      <c r="C56" s="496"/>
      <c r="D56" s="495"/>
      <c r="E56" s="495"/>
      <c r="F56" s="289"/>
      <c r="G56" s="289"/>
      <c r="H56" s="495"/>
      <c r="I56" s="277"/>
      <c r="J56" s="277"/>
      <c r="K56" s="277"/>
      <c r="L56" s="431"/>
      <c r="M56" s="312"/>
      <c r="N56" s="435"/>
      <c r="O56" s="4"/>
      <c r="P56" s="4"/>
      <c r="Q56" s="4"/>
      <c r="R56" s="4"/>
      <c r="S56" s="4"/>
      <c r="T56" s="4"/>
      <c r="U56" s="4"/>
      <c r="V56" s="4"/>
      <c r="W56" s="4"/>
      <c r="X56" s="4"/>
    </row>
    <row r="57" spans="1:24" hidden="1" x14ac:dyDescent="0.2">
      <c r="A57" s="311"/>
      <c r="B57" s="431"/>
      <c r="C57" s="496"/>
      <c r="D57" s="495"/>
      <c r="E57" s="495"/>
      <c r="F57" s="289"/>
      <c r="G57" s="289"/>
      <c r="H57" s="495"/>
      <c r="I57" s="277"/>
      <c r="J57" s="277"/>
      <c r="K57" s="277"/>
      <c r="L57" s="431"/>
      <c r="M57" s="312"/>
      <c r="N57" s="435"/>
      <c r="O57" s="4"/>
      <c r="P57" s="4"/>
      <c r="Q57" s="4"/>
      <c r="R57" s="4"/>
      <c r="S57" s="4"/>
      <c r="T57" s="4"/>
      <c r="U57" s="4"/>
      <c r="V57" s="4"/>
      <c r="W57" s="4"/>
      <c r="X57" s="4"/>
    </row>
    <row r="58" spans="1:24" hidden="1" x14ac:dyDescent="0.2">
      <c r="A58" s="311"/>
      <c r="B58" s="431"/>
      <c r="C58" s="496"/>
      <c r="D58" s="495"/>
      <c r="E58" s="495"/>
      <c r="F58" s="289"/>
      <c r="G58" s="289"/>
      <c r="H58" s="495"/>
      <c r="I58" s="277"/>
      <c r="J58" s="277"/>
      <c r="K58" s="277"/>
      <c r="L58" s="431"/>
      <c r="M58" s="312"/>
      <c r="N58" s="435"/>
      <c r="O58" s="4"/>
      <c r="P58" s="4"/>
      <c r="Q58" s="4"/>
      <c r="R58" s="4"/>
      <c r="S58" s="4"/>
      <c r="T58" s="4"/>
      <c r="U58" s="4"/>
      <c r="V58" s="4"/>
      <c r="W58" s="4"/>
      <c r="X58" s="4"/>
    </row>
    <row r="59" spans="1:24" ht="15" hidden="1" x14ac:dyDescent="0.25">
      <c r="A59" s="311"/>
      <c r="B59" s="431"/>
      <c r="C59" s="496"/>
      <c r="D59" s="495"/>
      <c r="E59" s="495"/>
      <c r="F59" s="289"/>
      <c r="G59" s="289"/>
      <c r="H59" s="495"/>
      <c r="I59" s="277"/>
      <c r="J59" s="277"/>
      <c r="K59" s="277"/>
      <c r="L59" s="431"/>
      <c r="M59" s="312"/>
      <c r="N59" s="497"/>
      <c r="O59" s="4"/>
      <c r="P59" s="4"/>
      <c r="Q59" s="4"/>
      <c r="R59" s="4"/>
      <c r="S59" s="4"/>
      <c r="T59" s="4"/>
      <c r="U59" s="4"/>
      <c r="V59" s="4"/>
      <c r="W59" s="4"/>
      <c r="X59" s="4"/>
    </row>
    <row r="60" spans="1:24" ht="15" hidden="1" x14ac:dyDescent="0.25">
      <c r="A60" s="311"/>
      <c r="B60" s="431"/>
      <c r="C60" s="496"/>
      <c r="D60" s="495"/>
      <c r="E60" s="495"/>
      <c r="F60" s="289"/>
      <c r="G60" s="289"/>
      <c r="H60" s="495"/>
      <c r="I60" s="277"/>
      <c r="J60" s="277"/>
      <c r="K60" s="277"/>
      <c r="L60" s="431"/>
      <c r="M60" s="312"/>
      <c r="N60" s="497"/>
      <c r="O60" s="4"/>
      <c r="P60" s="4"/>
      <c r="Q60" s="4"/>
      <c r="R60" s="4"/>
      <c r="S60" s="4"/>
      <c r="T60" s="4"/>
      <c r="U60" s="4"/>
      <c r="V60" s="4"/>
      <c r="W60" s="4"/>
      <c r="X60" s="4"/>
    </row>
    <row r="61" spans="1:24" ht="15" hidden="1" x14ac:dyDescent="0.25">
      <c r="A61" s="311"/>
      <c r="B61" s="431"/>
      <c r="C61" s="496"/>
      <c r="D61" s="495"/>
      <c r="E61" s="495"/>
      <c r="F61" s="289"/>
      <c r="G61" s="289"/>
      <c r="H61" s="495"/>
      <c r="I61" s="277"/>
      <c r="J61" s="277"/>
      <c r="K61" s="277"/>
      <c r="L61" s="431"/>
      <c r="M61" s="312"/>
      <c r="N61" s="497"/>
      <c r="O61" s="4"/>
      <c r="P61" s="4"/>
      <c r="Q61" s="4"/>
      <c r="R61" s="4"/>
      <c r="S61" s="4"/>
      <c r="T61" s="4"/>
      <c r="U61" s="4"/>
      <c r="V61" s="4"/>
      <c r="W61" s="4"/>
      <c r="X61" s="4"/>
    </row>
    <row r="62" spans="1:24" ht="15" hidden="1" x14ac:dyDescent="0.25">
      <c r="A62" s="311"/>
      <c r="B62" s="431"/>
      <c r="C62" s="496"/>
      <c r="D62" s="495"/>
      <c r="E62" s="495"/>
      <c r="F62" s="289"/>
      <c r="G62" s="289"/>
      <c r="H62" s="495"/>
      <c r="I62" s="277"/>
      <c r="J62" s="277"/>
      <c r="K62" s="277"/>
      <c r="L62" s="431"/>
      <c r="M62" s="312"/>
      <c r="N62" s="497"/>
      <c r="O62" s="4"/>
      <c r="P62" s="4"/>
      <c r="Q62" s="4"/>
      <c r="R62" s="4"/>
      <c r="S62" s="4"/>
      <c r="T62" s="4"/>
      <c r="U62" s="4"/>
      <c r="V62" s="4"/>
      <c r="W62" s="4"/>
      <c r="X62" s="4"/>
    </row>
    <row r="63" spans="1:24" ht="15" hidden="1" x14ac:dyDescent="0.25">
      <c r="A63" s="311"/>
      <c r="B63" s="431"/>
      <c r="C63" s="496"/>
      <c r="D63" s="495"/>
      <c r="E63" s="495"/>
      <c r="F63" s="289"/>
      <c r="G63" s="289"/>
      <c r="H63" s="495"/>
      <c r="I63" s="277"/>
      <c r="J63" s="277"/>
      <c r="K63" s="277"/>
      <c r="L63" s="431"/>
      <c r="M63" s="312"/>
      <c r="N63" s="497"/>
      <c r="O63" s="4"/>
      <c r="P63" s="4"/>
      <c r="Q63" s="4"/>
      <c r="R63" s="4"/>
      <c r="S63" s="4"/>
      <c r="T63" s="4"/>
      <c r="U63" s="4"/>
      <c r="V63" s="4"/>
      <c r="W63" s="4"/>
      <c r="X63" s="4"/>
    </row>
    <row r="64" spans="1:24" hidden="1" x14ac:dyDescent="0.2">
      <c r="A64" s="311"/>
      <c r="B64" s="431"/>
      <c r="C64" s="496"/>
      <c r="D64" s="13"/>
      <c r="E64" s="13"/>
      <c r="F64" s="289"/>
      <c r="G64" s="289"/>
      <c r="H64" s="13"/>
      <c r="I64" s="277"/>
      <c r="J64" s="277"/>
      <c r="K64" s="277"/>
      <c r="L64" s="13"/>
      <c r="M64" s="312"/>
      <c r="N64" s="435"/>
      <c r="O64" s="4"/>
      <c r="P64" s="4"/>
      <c r="Q64" s="4"/>
      <c r="R64" s="4"/>
      <c r="S64" s="4"/>
      <c r="T64" s="4"/>
      <c r="U64" s="4"/>
      <c r="V64" s="4"/>
      <c r="W64" s="4"/>
      <c r="X64" s="4"/>
    </row>
    <row r="65" spans="1:24" hidden="1" x14ac:dyDescent="0.2">
      <c r="A65" s="311"/>
      <c r="B65" s="431"/>
      <c r="C65" s="496"/>
      <c r="D65" s="13"/>
      <c r="E65" s="13"/>
      <c r="F65" s="289"/>
      <c r="G65" s="289"/>
      <c r="H65" s="13"/>
      <c r="I65" s="277"/>
      <c r="J65" s="277"/>
      <c r="K65" s="277"/>
      <c r="L65" s="13"/>
      <c r="M65" s="312"/>
      <c r="N65" s="435"/>
      <c r="O65" s="4"/>
      <c r="P65" s="4"/>
      <c r="Q65" s="4"/>
      <c r="R65" s="4"/>
      <c r="S65" s="4"/>
      <c r="T65" s="4"/>
      <c r="U65" s="4"/>
      <c r="V65" s="4"/>
      <c r="W65" s="4"/>
      <c r="X65" s="4"/>
    </row>
    <row r="66" spans="1:24" hidden="1" x14ac:dyDescent="0.2">
      <c r="A66" s="311"/>
      <c r="B66" s="431"/>
      <c r="C66" s="496"/>
      <c r="D66" s="13"/>
      <c r="E66" s="13"/>
      <c r="F66" s="289"/>
      <c r="G66" s="289"/>
      <c r="H66" s="13"/>
      <c r="I66" s="277"/>
      <c r="J66" s="277"/>
      <c r="K66" s="277"/>
      <c r="L66" s="13"/>
      <c r="M66" s="312"/>
      <c r="N66" s="435"/>
      <c r="O66" s="4"/>
      <c r="P66" s="4"/>
      <c r="Q66" s="4"/>
      <c r="R66" s="4"/>
      <c r="S66" s="4"/>
      <c r="T66" s="4"/>
      <c r="U66" s="4"/>
      <c r="V66" s="4"/>
      <c r="W66" s="4"/>
      <c r="X66" s="4"/>
    </row>
    <row r="67" spans="1:24" hidden="1" x14ac:dyDescent="0.2">
      <c r="A67" s="311"/>
      <c r="B67" s="431"/>
      <c r="C67" s="496"/>
      <c r="D67" s="13"/>
      <c r="E67" s="13"/>
      <c r="F67" s="289"/>
      <c r="G67" s="289"/>
      <c r="H67" s="13"/>
      <c r="I67" s="277"/>
      <c r="J67" s="277"/>
      <c r="K67" s="277"/>
      <c r="L67" s="13"/>
      <c r="M67" s="312"/>
      <c r="N67" s="435"/>
      <c r="O67" s="4"/>
      <c r="P67" s="4"/>
      <c r="Q67" s="4"/>
      <c r="R67" s="4"/>
      <c r="S67" s="4"/>
      <c r="T67" s="4"/>
      <c r="U67" s="4"/>
      <c r="V67" s="4"/>
      <c r="W67" s="4"/>
      <c r="X67" s="4"/>
    </row>
    <row r="68" spans="1:24" hidden="1" x14ac:dyDescent="0.2">
      <c r="A68" s="311"/>
      <c r="B68" s="431"/>
      <c r="C68" s="496"/>
      <c r="D68" s="13"/>
      <c r="E68" s="13"/>
      <c r="F68" s="289"/>
      <c r="G68" s="289"/>
      <c r="H68" s="13"/>
      <c r="I68" s="277"/>
      <c r="J68" s="277"/>
      <c r="K68" s="277"/>
      <c r="L68" s="431"/>
      <c r="M68" s="312"/>
      <c r="N68" s="289"/>
      <c r="O68" s="4"/>
      <c r="P68" s="4"/>
      <c r="Q68" s="4"/>
      <c r="R68" s="4"/>
      <c r="S68" s="4"/>
      <c r="T68" s="4"/>
      <c r="U68" s="4"/>
      <c r="V68" s="4"/>
      <c r="W68" s="4"/>
      <c r="X68" s="4"/>
    </row>
    <row r="69" spans="1:24" hidden="1" x14ac:dyDescent="0.2">
      <c r="A69" s="311"/>
      <c r="B69" s="431"/>
      <c r="C69" s="496"/>
      <c r="D69" s="13"/>
      <c r="E69" s="13"/>
      <c r="F69" s="289"/>
      <c r="G69" s="289"/>
      <c r="H69" s="13"/>
      <c r="I69" s="277"/>
      <c r="J69" s="277"/>
      <c r="K69" s="277"/>
      <c r="L69" s="431"/>
      <c r="M69" s="312"/>
      <c r="N69" s="289"/>
      <c r="O69" s="4"/>
      <c r="P69" s="4"/>
      <c r="Q69" s="4"/>
      <c r="R69" s="4"/>
      <c r="S69" s="4"/>
      <c r="T69" s="4"/>
      <c r="U69" s="4"/>
      <c r="V69" s="4"/>
      <c r="W69" s="4"/>
      <c r="X69" s="4"/>
    </row>
    <row r="70" spans="1:24" hidden="1" x14ac:dyDescent="0.2">
      <c r="A70" s="311"/>
      <c r="B70" s="431"/>
      <c r="C70" s="496"/>
      <c r="D70" s="13"/>
      <c r="E70" s="13"/>
      <c r="F70" s="289"/>
      <c r="G70" s="289"/>
      <c r="H70" s="13"/>
      <c r="I70" s="277"/>
      <c r="J70" s="277"/>
      <c r="K70" s="277"/>
      <c r="L70" s="431"/>
      <c r="M70" s="312"/>
      <c r="N70" s="289"/>
      <c r="O70" s="4"/>
      <c r="P70" s="4"/>
      <c r="Q70" s="4"/>
      <c r="R70" s="4"/>
      <c r="S70" s="4"/>
      <c r="T70" s="4"/>
      <c r="U70" s="4"/>
      <c r="V70" s="4"/>
      <c r="W70" s="4"/>
      <c r="X70" s="4"/>
    </row>
    <row r="71" spans="1:24" x14ac:dyDescent="0.2">
      <c r="A71" s="311"/>
      <c r="B71" s="317"/>
      <c r="C71" s="337"/>
      <c r="D71" s="338"/>
      <c r="E71" s="336"/>
      <c r="F71" s="336"/>
      <c r="G71" s="289"/>
      <c r="H71" s="289"/>
      <c r="I71" s="118"/>
      <c r="J71" s="12"/>
      <c r="K71" s="277"/>
      <c r="L71" s="277"/>
      <c r="M71" s="312"/>
      <c r="N71" s="435"/>
      <c r="O71" s="4"/>
      <c r="P71" s="4"/>
      <c r="Q71" s="4"/>
      <c r="R71" s="4"/>
      <c r="S71" s="4"/>
      <c r="T71" s="4"/>
      <c r="U71" s="4"/>
      <c r="V71" s="4"/>
      <c r="W71" s="4"/>
      <c r="X71" s="4"/>
    </row>
    <row r="72" spans="1:24" x14ac:dyDescent="0.2">
      <c r="A72" s="311"/>
      <c r="B72" s="317"/>
      <c r="C72" s="337"/>
      <c r="D72" s="338"/>
      <c r="E72" s="336"/>
      <c r="F72" s="336"/>
      <c r="G72" s="289"/>
      <c r="H72" s="289"/>
      <c r="I72" s="118"/>
      <c r="J72" s="12"/>
      <c r="K72" s="277"/>
      <c r="L72" s="277"/>
      <c r="M72" s="312"/>
      <c r="N72" s="435"/>
      <c r="O72" s="4"/>
      <c r="P72" s="4"/>
      <c r="Q72" s="4"/>
      <c r="R72" s="4"/>
      <c r="S72" s="4"/>
      <c r="T72" s="4"/>
      <c r="U72" s="4"/>
      <c r="V72" s="4"/>
      <c r="W72" s="4"/>
      <c r="X72" s="4"/>
    </row>
    <row r="73" spans="1:24" x14ac:dyDescent="0.2">
      <c r="A73" s="311"/>
      <c r="B73" s="317"/>
      <c r="C73" s="337"/>
      <c r="D73" s="338"/>
      <c r="E73" s="336"/>
      <c r="F73" s="336"/>
      <c r="G73" s="289"/>
      <c r="H73" s="289"/>
      <c r="I73" s="118"/>
      <c r="J73" s="12"/>
      <c r="K73" s="277"/>
      <c r="L73" s="277"/>
      <c r="M73" s="312"/>
      <c r="N73" s="435"/>
      <c r="O73" s="4"/>
      <c r="P73" s="4"/>
      <c r="Q73" s="4"/>
      <c r="R73" s="4"/>
      <c r="S73" s="4"/>
      <c r="T73" s="4"/>
      <c r="U73" s="4"/>
      <c r="V73" s="4"/>
      <c r="W73" s="4"/>
      <c r="X73" s="4"/>
    </row>
    <row r="74" spans="1:24" x14ac:dyDescent="0.2">
      <c r="A74" s="311"/>
      <c r="B74" s="317"/>
      <c r="C74" s="337"/>
      <c r="D74" s="339"/>
      <c r="E74" s="405"/>
      <c r="F74" s="336"/>
      <c r="G74" s="289"/>
      <c r="H74" s="289"/>
      <c r="I74" s="118"/>
      <c r="J74" s="12"/>
      <c r="K74" s="277"/>
      <c r="L74" s="277"/>
      <c r="M74" s="312"/>
      <c r="N74" s="435"/>
      <c r="O74" s="4"/>
      <c r="P74" s="4"/>
      <c r="Q74" s="4"/>
      <c r="R74" s="4"/>
      <c r="S74" s="4"/>
      <c r="T74" s="4"/>
      <c r="U74" s="4"/>
      <c r="V74" s="4"/>
      <c r="W74" s="4"/>
      <c r="X74" s="4"/>
    </row>
    <row r="75" spans="1:24" x14ac:dyDescent="0.2">
      <c r="A75" s="311"/>
      <c r="B75" s="317"/>
      <c r="C75" s="337"/>
      <c r="D75" s="338"/>
      <c r="E75" s="336"/>
      <c r="F75" s="336"/>
      <c r="G75" s="289"/>
      <c r="H75" s="289"/>
      <c r="I75" s="118"/>
      <c r="J75" s="12"/>
      <c r="K75" s="277"/>
      <c r="L75" s="277"/>
      <c r="M75" s="312"/>
      <c r="N75" s="435"/>
      <c r="O75" s="4"/>
      <c r="P75" s="4"/>
      <c r="Q75" s="4"/>
      <c r="R75" s="4"/>
      <c r="S75" s="4"/>
      <c r="T75" s="4"/>
      <c r="U75" s="4"/>
      <c r="V75" s="4"/>
      <c r="W75" s="4"/>
      <c r="X75" s="4"/>
    </row>
    <row r="76" spans="1:24" x14ac:dyDescent="0.2">
      <c r="A76" s="311"/>
      <c r="B76" s="317"/>
      <c r="C76" s="337"/>
      <c r="D76" s="339"/>
      <c r="E76" s="340"/>
      <c r="F76" s="336"/>
      <c r="G76" s="289"/>
      <c r="H76" s="289"/>
      <c r="I76" s="118"/>
      <c r="J76" s="12"/>
      <c r="K76" s="277"/>
      <c r="L76" s="277"/>
      <c r="M76" s="312"/>
      <c r="N76" s="435"/>
      <c r="O76" s="4"/>
      <c r="P76" s="4"/>
      <c r="Q76" s="4"/>
      <c r="R76" s="4"/>
      <c r="S76" s="4"/>
      <c r="T76" s="4"/>
      <c r="U76" s="4"/>
      <c r="V76" s="4"/>
      <c r="W76" s="4"/>
      <c r="X76" s="4"/>
    </row>
    <row r="77" spans="1:24" x14ac:dyDescent="0.2">
      <c r="A77" s="311"/>
      <c r="B77" s="317"/>
      <c r="C77" s="337"/>
      <c r="D77" s="338"/>
      <c r="E77" s="336"/>
      <c r="F77" s="336"/>
      <c r="G77" s="289"/>
      <c r="H77" s="289"/>
      <c r="I77" s="118"/>
      <c r="J77" s="12"/>
      <c r="K77" s="277"/>
      <c r="L77" s="277"/>
      <c r="M77" s="312"/>
      <c r="N77" s="435"/>
      <c r="O77" s="4"/>
      <c r="P77" s="4"/>
      <c r="Q77" s="4"/>
      <c r="R77" s="4"/>
      <c r="S77" s="4"/>
      <c r="T77" s="4"/>
      <c r="U77" s="4"/>
      <c r="V77" s="4"/>
      <c r="W77" s="4"/>
      <c r="X77" s="4"/>
    </row>
    <row r="78" spans="1:24" x14ac:dyDescent="0.2">
      <c r="A78" s="311"/>
      <c r="B78" s="317"/>
      <c r="C78" s="337"/>
      <c r="D78" s="338"/>
      <c r="E78" s="336"/>
      <c r="F78" s="336"/>
      <c r="G78" s="289"/>
      <c r="H78" s="289"/>
      <c r="I78" s="118"/>
      <c r="J78" s="12"/>
      <c r="K78" s="277"/>
      <c r="L78" s="277"/>
      <c r="M78" s="312"/>
      <c r="N78" s="435"/>
      <c r="O78" s="4"/>
      <c r="P78" s="4"/>
      <c r="Q78" s="4"/>
      <c r="R78" s="4"/>
      <c r="S78" s="4"/>
      <c r="T78" s="4"/>
      <c r="U78" s="4"/>
      <c r="V78" s="4"/>
      <c r="W78" s="4"/>
      <c r="X78" s="4"/>
    </row>
    <row r="79" spans="1:24" x14ac:dyDescent="0.2">
      <c r="A79" s="311"/>
      <c r="B79" s="317"/>
      <c r="C79" s="337"/>
      <c r="D79" s="338"/>
      <c r="E79" s="336"/>
      <c r="F79" s="336"/>
      <c r="G79" s="289"/>
      <c r="H79" s="289"/>
      <c r="I79" s="118"/>
      <c r="J79" s="12"/>
      <c r="K79" s="277"/>
      <c r="L79" s="277"/>
      <c r="M79" s="312"/>
      <c r="N79" s="435"/>
      <c r="O79" s="4"/>
      <c r="P79" s="4"/>
      <c r="Q79" s="4"/>
      <c r="R79" s="4"/>
      <c r="S79" s="4"/>
      <c r="T79" s="4"/>
      <c r="U79" s="4"/>
      <c r="V79" s="4"/>
      <c r="W79" s="4"/>
      <c r="X79" s="4"/>
    </row>
    <row r="80" spans="1:24" x14ac:dyDescent="0.2">
      <c r="A80" s="311"/>
      <c r="B80" s="317"/>
      <c r="C80" s="337"/>
      <c r="D80" s="338"/>
      <c r="E80" s="336"/>
      <c r="F80" s="336"/>
      <c r="G80" s="289"/>
      <c r="H80" s="289"/>
      <c r="I80" s="118"/>
      <c r="J80" s="12"/>
      <c r="K80" s="277"/>
      <c r="L80" s="277"/>
      <c r="M80" s="312"/>
      <c r="N80" s="435"/>
      <c r="O80" s="4"/>
      <c r="P80" s="4"/>
      <c r="Q80" s="4"/>
      <c r="R80" s="4"/>
      <c r="S80" s="4"/>
      <c r="T80" s="4"/>
      <c r="U80" s="4"/>
      <c r="V80" s="4"/>
      <c r="W80" s="4"/>
      <c r="X80" s="4"/>
    </row>
    <row r="81" spans="1:24" x14ac:dyDescent="0.2">
      <c r="A81" s="311"/>
      <c r="B81" s="317"/>
      <c r="C81" s="337"/>
      <c r="D81" s="338"/>
      <c r="E81" s="340"/>
      <c r="F81" s="336"/>
      <c r="G81" s="289"/>
      <c r="H81" s="289"/>
      <c r="I81" s="118"/>
      <c r="J81" s="12"/>
      <c r="K81" s="277"/>
      <c r="L81" s="277"/>
      <c r="M81" s="312"/>
      <c r="N81" s="435"/>
      <c r="O81" s="4"/>
      <c r="P81" s="4"/>
      <c r="Q81" s="4"/>
      <c r="R81" s="4"/>
      <c r="S81" s="4"/>
      <c r="T81" s="4"/>
      <c r="U81" s="4"/>
      <c r="V81" s="4"/>
      <c r="W81" s="4"/>
      <c r="X81" s="4"/>
    </row>
    <row r="82" spans="1:24" x14ac:dyDescent="0.2">
      <c r="A82" s="311"/>
      <c r="B82" s="317"/>
      <c r="C82" s="337"/>
      <c r="D82" s="338"/>
      <c r="E82" s="336"/>
      <c r="F82" s="336"/>
      <c r="G82" s="289"/>
      <c r="H82" s="289"/>
      <c r="I82" s="118"/>
      <c r="J82" s="12"/>
      <c r="K82" s="277"/>
      <c r="L82" s="277"/>
      <c r="M82" s="312"/>
      <c r="N82" s="435"/>
      <c r="O82" s="4"/>
      <c r="P82" s="4"/>
      <c r="Q82" s="4"/>
      <c r="R82" s="4"/>
      <c r="S82" s="4"/>
      <c r="T82" s="4"/>
      <c r="U82" s="4"/>
      <c r="V82" s="4"/>
      <c r="W82" s="4"/>
      <c r="X82" s="4"/>
    </row>
    <row r="83" spans="1:24" x14ac:dyDescent="0.2">
      <c r="A83" s="311"/>
      <c r="B83" s="317"/>
      <c r="C83" s="337"/>
      <c r="D83" s="338"/>
      <c r="E83" s="336"/>
      <c r="F83" s="336"/>
      <c r="G83" s="289"/>
      <c r="H83" s="289"/>
      <c r="I83" s="118"/>
      <c r="J83" s="12"/>
      <c r="K83" s="277"/>
      <c r="L83" s="277"/>
      <c r="M83" s="312"/>
      <c r="N83" s="435"/>
      <c r="O83" s="4"/>
      <c r="P83" s="4"/>
      <c r="Q83" s="4"/>
      <c r="R83" s="4"/>
      <c r="S83" s="4"/>
      <c r="T83" s="4"/>
      <c r="U83" s="4"/>
      <c r="V83" s="4"/>
      <c r="W83" s="4"/>
      <c r="X83" s="4"/>
    </row>
    <row r="84" spans="1:24" x14ac:dyDescent="0.2">
      <c r="A84" s="311"/>
      <c r="B84" s="317"/>
      <c r="C84" s="337"/>
      <c r="D84" s="338"/>
      <c r="E84" s="336"/>
      <c r="F84" s="336"/>
      <c r="G84" s="289"/>
      <c r="H84" s="289"/>
      <c r="I84" s="118"/>
      <c r="J84" s="12"/>
      <c r="K84" s="277"/>
      <c r="L84" s="277"/>
      <c r="M84" s="312"/>
      <c r="N84" s="435"/>
      <c r="O84" s="4"/>
      <c r="P84" s="4"/>
      <c r="Q84" s="4"/>
      <c r="R84" s="4"/>
      <c r="S84" s="4"/>
      <c r="T84" s="4"/>
      <c r="U84" s="4"/>
      <c r="V84" s="4"/>
      <c r="W84" s="4"/>
      <c r="X84" s="4"/>
    </row>
    <row r="85" spans="1:24" x14ac:dyDescent="0.2">
      <c r="A85" s="311"/>
      <c r="B85" s="317"/>
      <c r="C85" s="337"/>
      <c r="D85" s="338"/>
      <c r="E85" s="336"/>
      <c r="F85" s="336"/>
      <c r="G85" s="289"/>
      <c r="H85" s="289"/>
      <c r="I85" s="118"/>
      <c r="J85" s="12"/>
      <c r="K85" s="277"/>
      <c r="L85" s="277"/>
      <c r="M85" s="312"/>
      <c r="N85" s="435"/>
      <c r="O85" s="4"/>
      <c r="P85" s="4"/>
      <c r="Q85" s="4"/>
      <c r="R85" s="4"/>
      <c r="S85" s="4"/>
      <c r="T85" s="4"/>
      <c r="U85" s="4"/>
      <c r="V85" s="4"/>
      <c r="W85" s="4"/>
      <c r="X85" s="4"/>
    </row>
    <row r="86" spans="1:24" x14ac:dyDescent="0.2">
      <c r="A86" s="311"/>
      <c r="B86" s="317"/>
      <c r="C86" s="337"/>
      <c r="D86" s="338"/>
      <c r="E86" s="336"/>
      <c r="F86" s="336"/>
      <c r="G86" s="289"/>
      <c r="H86" s="289"/>
      <c r="I86" s="118"/>
      <c r="J86" s="12"/>
      <c r="K86" s="277"/>
      <c r="L86" s="277"/>
      <c r="M86" s="312"/>
      <c r="N86" s="435"/>
      <c r="O86" s="4"/>
      <c r="P86" s="4"/>
      <c r="Q86" s="4"/>
      <c r="R86" s="4"/>
      <c r="S86" s="4"/>
      <c r="T86" s="4"/>
      <c r="U86" s="4"/>
      <c r="V86" s="4"/>
      <c r="W86" s="4"/>
      <c r="X86" s="4"/>
    </row>
    <row r="87" spans="1:24" x14ac:dyDescent="0.2">
      <c r="A87" s="311"/>
      <c r="B87" s="317"/>
      <c r="C87" s="337"/>
      <c r="D87" s="338"/>
      <c r="E87" s="336"/>
      <c r="F87" s="336"/>
      <c r="G87" s="289"/>
      <c r="H87" s="289"/>
      <c r="I87" s="118"/>
      <c r="J87" s="12"/>
      <c r="K87" s="277"/>
      <c r="L87" s="277"/>
      <c r="M87" s="312"/>
      <c r="N87" s="435"/>
      <c r="O87" s="4"/>
      <c r="P87" s="4"/>
      <c r="Q87" s="4"/>
      <c r="R87" s="4"/>
      <c r="S87" s="4"/>
      <c r="T87" s="4"/>
      <c r="U87" s="4"/>
      <c r="V87" s="4"/>
      <c r="W87" s="4"/>
      <c r="X87" s="4"/>
    </row>
    <row r="88" spans="1:24" x14ac:dyDescent="0.2">
      <c r="A88" s="311"/>
      <c r="B88" s="317"/>
      <c r="C88" s="337"/>
      <c r="D88" s="338"/>
      <c r="E88" s="336"/>
      <c r="F88" s="336"/>
      <c r="G88" s="289"/>
      <c r="H88" s="289"/>
      <c r="I88" s="118"/>
      <c r="J88" s="12"/>
      <c r="K88" s="277"/>
      <c r="L88" s="277"/>
      <c r="M88" s="312"/>
      <c r="N88" s="435"/>
      <c r="O88" s="4"/>
      <c r="P88" s="4"/>
      <c r="Q88" s="4"/>
      <c r="R88" s="4"/>
      <c r="S88" s="4"/>
      <c r="T88" s="4"/>
      <c r="U88" s="4"/>
      <c r="V88" s="4"/>
      <c r="W88" s="4"/>
      <c r="X88" s="4"/>
    </row>
    <row r="89" spans="1:24" x14ac:dyDescent="0.2">
      <c r="A89" s="311"/>
      <c r="B89" s="317"/>
      <c r="C89" s="337"/>
      <c r="D89" s="338"/>
      <c r="E89" s="336"/>
      <c r="F89" s="336"/>
      <c r="G89" s="289"/>
      <c r="H89" s="289"/>
      <c r="I89" s="118"/>
      <c r="J89" s="12"/>
      <c r="K89" s="277"/>
      <c r="L89" s="277"/>
      <c r="M89" s="312"/>
      <c r="N89" s="435"/>
      <c r="O89" s="4"/>
      <c r="P89" s="4"/>
      <c r="Q89" s="4"/>
      <c r="R89" s="4"/>
      <c r="S89" s="4"/>
      <c r="T89" s="4"/>
      <c r="U89" s="4"/>
      <c r="V89" s="4"/>
      <c r="W89" s="4"/>
      <c r="X89" s="4"/>
    </row>
    <row r="90" spans="1:24" x14ac:dyDescent="0.2">
      <c r="A90" s="311"/>
      <c r="B90" s="317"/>
      <c r="C90" s="337"/>
      <c r="D90" s="338"/>
      <c r="E90" s="336"/>
      <c r="F90" s="336"/>
      <c r="G90" s="289"/>
      <c r="H90" s="289"/>
      <c r="I90" s="118"/>
      <c r="J90" s="12"/>
      <c r="K90" s="277"/>
      <c r="L90" s="277"/>
      <c r="M90" s="312"/>
      <c r="N90" s="435"/>
      <c r="O90" s="4"/>
      <c r="P90" s="4"/>
      <c r="Q90" s="4"/>
      <c r="R90" s="4"/>
      <c r="S90" s="4"/>
      <c r="T90" s="4"/>
      <c r="U90" s="4"/>
      <c r="V90" s="4"/>
      <c r="W90" s="4"/>
      <c r="X90" s="4"/>
    </row>
    <row r="91" spans="1:24" x14ac:dyDescent="0.2">
      <c r="A91" s="311"/>
      <c r="B91" s="317"/>
      <c r="C91" s="337"/>
      <c r="D91" s="338"/>
      <c r="E91" s="340"/>
      <c r="F91" s="336"/>
      <c r="G91" s="289"/>
      <c r="H91" s="289"/>
      <c r="I91" s="118"/>
      <c r="J91" s="12"/>
      <c r="K91" s="277"/>
      <c r="L91" s="277"/>
      <c r="M91" s="312"/>
      <c r="N91" s="435"/>
      <c r="O91" s="4"/>
      <c r="P91" s="4"/>
      <c r="Q91" s="4"/>
      <c r="R91" s="4"/>
      <c r="S91" s="4"/>
      <c r="T91" s="4"/>
      <c r="U91" s="4"/>
      <c r="V91" s="4"/>
      <c r="W91" s="4"/>
      <c r="X91" s="4"/>
    </row>
    <row r="92" spans="1:24" x14ac:dyDescent="0.2">
      <c r="A92" s="311"/>
      <c r="B92" s="317"/>
      <c r="C92" s="337"/>
      <c r="D92" s="338"/>
      <c r="E92" s="406"/>
      <c r="F92" s="336"/>
      <c r="G92" s="289"/>
      <c r="H92" s="289"/>
      <c r="I92" s="118"/>
      <c r="J92" s="12"/>
      <c r="K92" s="277"/>
      <c r="L92" s="277"/>
      <c r="M92" s="312"/>
      <c r="N92" s="435"/>
      <c r="O92" s="4"/>
      <c r="P92" s="4"/>
      <c r="Q92" s="4"/>
      <c r="R92" s="4"/>
      <c r="S92" s="4"/>
      <c r="T92" s="4"/>
      <c r="U92" s="4"/>
      <c r="V92" s="4"/>
      <c r="W92" s="4"/>
      <c r="X92" s="4"/>
    </row>
    <row r="93" spans="1:24" x14ac:dyDescent="0.2">
      <c r="A93" s="311"/>
      <c r="B93" s="317"/>
      <c r="C93" s="337"/>
      <c r="D93" s="338"/>
      <c r="E93" s="405"/>
      <c r="F93" s="336"/>
      <c r="G93" s="289"/>
      <c r="H93" s="289"/>
      <c r="I93" s="118"/>
      <c r="J93" s="12"/>
      <c r="K93" s="277"/>
      <c r="L93" s="277"/>
      <c r="M93" s="312"/>
      <c r="N93" s="435"/>
      <c r="O93" s="4"/>
      <c r="P93" s="4"/>
      <c r="Q93" s="4"/>
      <c r="R93" s="4"/>
      <c r="S93" s="4"/>
      <c r="T93" s="4"/>
      <c r="U93" s="4"/>
      <c r="V93" s="4"/>
      <c r="W93" s="4"/>
      <c r="X93" s="4"/>
    </row>
    <row r="94" spans="1:24" x14ac:dyDescent="0.2">
      <c r="A94" s="311"/>
      <c r="B94" s="317"/>
      <c r="C94" s="337"/>
      <c r="D94" s="338"/>
      <c r="E94" s="336"/>
      <c r="F94" s="336"/>
      <c r="G94" s="289"/>
      <c r="H94" s="289"/>
      <c r="I94" s="118"/>
      <c r="J94" s="12"/>
      <c r="K94" s="277"/>
      <c r="L94" s="277"/>
      <c r="M94" s="312"/>
      <c r="N94" s="435"/>
      <c r="O94" s="4"/>
      <c r="P94" s="4"/>
      <c r="Q94" s="4"/>
      <c r="R94" s="4"/>
      <c r="S94" s="4"/>
      <c r="T94" s="4"/>
      <c r="U94" s="4"/>
      <c r="V94" s="4"/>
      <c r="W94" s="4"/>
      <c r="X94" s="4"/>
    </row>
    <row r="95" spans="1:24" x14ac:dyDescent="0.2">
      <c r="A95" s="311"/>
      <c r="B95" s="317"/>
      <c r="C95" s="337"/>
      <c r="D95" s="338"/>
      <c r="E95" s="336"/>
      <c r="F95" s="336"/>
      <c r="G95" s="289"/>
      <c r="H95" s="289"/>
      <c r="I95" s="118"/>
      <c r="J95" s="12"/>
      <c r="K95" s="277"/>
      <c r="L95" s="277"/>
      <c r="M95" s="312"/>
      <c r="N95" s="435"/>
      <c r="O95" s="4"/>
      <c r="P95" s="4"/>
      <c r="Q95" s="4"/>
      <c r="R95" s="4"/>
      <c r="S95" s="4"/>
      <c r="T95" s="4"/>
      <c r="U95" s="4"/>
      <c r="V95" s="4"/>
      <c r="W95" s="4"/>
      <c r="X95" s="4"/>
    </row>
    <row r="96" spans="1:24" x14ac:dyDescent="0.2">
      <c r="A96" s="311"/>
      <c r="B96" s="317"/>
      <c r="C96" s="337"/>
      <c r="D96" s="338"/>
      <c r="E96" s="336"/>
      <c r="F96" s="336"/>
      <c r="G96" s="289"/>
      <c r="H96" s="289"/>
      <c r="I96" s="118"/>
      <c r="J96" s="12"/>
      <c r="K96" s="277"/>
      <c r="L96" s="277"/>
      <c r="M96" s="312"/>
      <c r="N96" s="435"/>
      <c r="O96" s="4"/>
      <c r="P96" s="4"/>
      <c r="Q96" s="4"/>
      <c r="R96" s="4"/>
      <c r="S96" s="4"/>
      <c r="T96" s="4"/>
      <c r="U96" s="4"/>
      <c r="V96" s="4"/>
      <c r="W96" s="4"/>
      <c r="X96" s="4"/>
    </row>
    <row r="97" spans="1:24" x14ac:dyDescent="0.2">
      <c r="A97" s="311"/>
      <c r="B97" s="317"/>
      <c r="C97" s="337"/>
      <c r="D97" s="338"/>
      <c r="E97" s="336"/>
      <c r="F97" s="336"/>
      <c r="G97" s="289"/>
      <c r="H97" s="289"/>
      <c r="I97" s="118"/>
      <c r="J97" s="12"/>
      <c r="K97" s="277"/>
      <c r="L97" s="277"/>
      <c r="M97" s="312"/>
      <c r="N97" s="435"/>
      <c r="O97" s="4"/>
      <c r="P97" s="4"/>
      <c r="Q97" s="4"/>
      <c r="R97" s="4"/>
      <c r="S97" s="4"/>
      <c r="T97" s="4"/>
      <c r="U97" s="4"/>
      <c r="V97" s="4"/>
      <c r="W97" s="4"/>
      <c r="X97" s="4"/>
    </row>
    <row r="98" spans="1:24" x14ac:dyDescent="0.2">
      <c r="A98" s="311"/>
      <c r="B98" s="317"/>
      <c r="C98" s="337"/>
      <c r="D98" s="338"/>
      <c r="E98" s="336"/>
      <c r="F98" s="336"/>
      <c r="G98" s="289"/>
      <c r="H98" s="289"/>
      <c r="I98" s="118"/>
      <c r="J98" s="12"/>
      <c r="K98" s="277"/>
      <c r="L98" s="277"/>
      <c r="M98" s="312"/>
      <c r="N98" s="435"/>
      <c r="O98" s="4"/>
      <c r="P98" s="4"/>
      <c r="Q98" s="4"/>
      <c r="R98" s="4"/>
      <c r="S98" s="4"/>
      <c r="T98" s="4"/>
      <c r="U98" s="4"/>
      <c r="V98" s="4"/>
      <c r="W98" s="4"/>
      <c r="X98" s="4"/>
    </row>
    <row r="99" spans="1:24" x14ac:dyDescent="0.2">
      <c r="A99" s="311"/>
      <c r="B99" s="317"/>
      <c r="C99" s="337"/>
      <c r="D99" s="338"/>
      <c r="E99" s="336"/>
      <c r="F99" s="336"/>
      <c r="G99" s="289"/>
      <c r="H99" s="289"/>
      <c r="I99" s="118"/>
      <c r="J99" s="12"/>
      <c r="K99" s="277"/>
      <c r="L99" s="277"/>
      <c r="M99" s="312"/>
      <c r="N99" s="435"/>
      <c r="O99" s="4"/>
      <c r="P99" s="4"/>
      <c r="Q99" s="4"/>
      <c r="R99" s="4"/>
      <c r="S99" s="4"/>
      <c r="T99" s="4"/>
      <c r="U99" s="4"/>
      <c r="V99" s="4"/>
      <c r="W99" s="4"/>
      <c r="X99" s="4"/>
    </row>
    <row r="100" spans="1:24" x14ac:dyDescent="0.2">
      <c r="A100" s="311"/>
      <c r="B100" s="317"/>
      <c r="C100" s="337"/>
      <c r="D100" s="338"/>
      <c r="E100" s="336"/>
      <c r="F100" s="336"/>
      <c r="G100" s="289"/>
      <c r="H100" s="289"/>
      <c r="I100" s="118"/>
      <c r="J100" s="12"/>
      <c r="K100" s="277"/>
      <c r="L100" s="277"/>
      <c r="M100" s="312"/>
      <c r="N100" s="435"/>
      <c r="O100" s="4"/>
      <c r="P100" s="4"/>
      <c r="Q100" s="4"/>
      <c r="R100" s="4"/>
      <c r="S100" s="4"/>
      <c r="T100" s="4"/>
      <c r="U100" s="4"/>
      <c r="V100" s="4"/>
      <c r="W100" s="4"/>
      <c r="X100" s="4"/>
    </row>
    <row r="101" spans="1:24" x14ac:dyDescent="0.2">
      <c r="A101" s="311"/>
      <c r="B101" s="317"/>
      <c r="C101" s="337"/>
      <c r="D101" s="338"/>
      <c r="E101" s="404"/>
      <c r="F101" s="336"/>
      <c r="G101" s="289"/>
      <c r="H101" s="289"/>
      <c r="I101" s="118"/>
      <c r="J101" s="12"/>
      <c r="K101" s="277"/>
      <c r="L101" s="277"/>
      <c r="M101" s="312"/>
      <c r="N101" s="435"/>
      <c r="O101" s="4"/>
      <c r="P101" s="4"/>
      <c r="Q101" s="4"/>
      <c r="R101" s="4"/>
      <c r="S101" s="4"/>
      <c r="T101" s="4"/>
      <c r="U101" s="4"/>
      <c r="V101" s="4"/>
      <c r="W101" s="4"/>
      <c r="X101" s="4"/>
    </row>
    <row r="102" spans="1:24" x14ac:dyDescent="0.2">
      <c r="A102" s="311"/>
      <c r="B102" s="317"/>
      <c r="C102" s="337"/>
      <c r="D102" s="338"/>
      <c r="E102" s="340"/>
      <c r="F102" s="336"/>
      <c r="G102" s="289"/>
      <c r="H102" s="289"/>
      <c r="I102" s="118"/>
      <c r="J102" s="12"/>
      <c r="K102" s="277"/>
      <c r="L102" s="277"/>
      <c r="M102" s="312"/>
      <c r="N102" s="435"/>
      <c r="O102" s="4"/>
      <c r="P102" s="4"/>
      <c r="Q102" s="4"/>
      <c r="R102" s="4"/>
      <c r="S102" s="4"/>
      <c r="T102" s="4"/>
      <c r="U102" s="4"/>
      <c r="V102" s="4"/>
      <c r="W102" s="4"/>
      <c r="X102" s="4"/>
    </row>
    <row r="103" spans="1:24" x14ac:dyDescent="0.2">
      <c r="A103" s="311"/>
      <c r="B103" s="317"/>
      <c r="C103" s="337"/>
      <c r="D103" s="338"/>
      <c r="E103" s="336"/>
      <c r="F103" s="336"/>
      <c r="G103" s="289"/>
      <c r="H103" s="289"/>
      <c r="I103" s="118"/>
      <c r="J103" s="12"/>
      <c r="K103" s="277"/>
      <c r="L103" s="277"/>
      <c r="M103" s="312"/>
      <c r="N103" s="435"/>
      <c r="O103" s="4"/>
      <c r="P103" s="4"/>
      <c r="Q103" s="4"/>
      <c r="R103" s="4"/>
      <c r="S103" s="4"/>
      <c r="T103" s="4"/>
      <c r="U103" s="4"/>
      <c r="V103" s="4"/>
      <c r="W103" s="4"/>
      <c r="X103" s="4"/>
    </row>
    <row r="104" spans="1:24" x14ac:dyDescent="0.2">
      <c r="A104" s="311"/>
      <c r="B104" s="317"/>
      <c r="C104" s="337"/>
      <c r="D104" s="338"/>
      <c r="E104" s="336"/>
      <c r="F104" s="336"/>
      <c r="G104" s="289"/>
      <c r="H104" s="289"/>
      <c r="I104" s="118"/>
      <c r="J104" s="12"/>
      <c r="K104" s="277"/>
      <c r="L104" s="277"/>
      <c r="M104" s="312"/>
      <c r="N104" s="435"/>
      <c r="O104" s="4"/>
      <c r="P104" s="4"/>
      <c r="Q104" s="4"/>
      <c r="R104" s="4"/>
      <c r="S104" s="4"/>
      <c r="T104" s="4"/>
      <c r="U104" s="4"/>
      <c r="V104" s="4"/>
      <c r="W104" s="4"/>
      <c r="X104" s="4"/>
    </row>
    <row r="105" spans="1:24" x14ac:dyDescent="0.2">
      <c r="A105" s="311"/>
      <c r="B105" s="317"/>
      <c r="C105" s="335"/>
      <c r="D105" s="334"/>
      <c r="E105" s="335"/>
      <c r="F105" s="432"/>
      <c r="G105" s="317"/>
      <c r="H105" s="317"/>
      <c r="I105" s="118"/>
      <c r="J105" s="12"/>
      <c r="K105" s="277"/>
      <c r="L105" s="277"/>
      <c r="M105" s="312"/>
      <c r="N105" s="435"/>
      <c r="O105" s="4"/>
      <c r="P105" s="4"/>
      <c r="Q105" s="4"/>
      <c r="R105" s="4"/>
      <c r="S105" s="4"/>
      <c r="T105" s="4"/>
      <c r="U105" s="4"/>
      <c r="V105" s="4"/>
      <c r="W105" s="4"/>
      <c r="X105" s="4"/>
    </row>
    <row r="106" spans="1:24" x14ac:dyDescent="0.2">
      <c r="A106" s="311"/>
      <c r="B106" s="317"/>
      <c r="C106" s="337"/>
      <c r="D106" s="338"/>
      <c r="E106" s="336"/>
      <c r="F106" s="336"/>
      <c r="G106" s="289"/>
      <c r="H106" s="289"/>
      <c r="I106" s="118"/>
      <c r="J106" s="12"/>
      <c r="K106" s="277"/>
      <c r="L106" s="277"/>
      <c r="M106" s="312"/>
      <c r="N106" s="435"/>
      <c r="O106" s="4"/>
      <c r="P106" s="4"/>
      <c r="Q106" s="4"/>
      <c r="R106" s="4"/>
      <c r="S106" s="4"/>
      <c r="T106" s="4"/>
      <c r="U106" s="4"/>
      <c r="V106" s="4"/>
      <c r="W106" s="4"/>
      <c r="X106" s="4"/>
    </row>
    <row r="107" spans="1:24" x14ac:dyDescent="0.2">
      <c r="A107" s="311"/>
      <c r="B107" s="317"/>
      <c r="C107" s="337"/>
      <c r="D107" s="338"/>
      <c r="E107" s="336"/>
      <c r="F107" s="336"/>
      <c r="G107" s="289"/>
      <c r="H107" s="289"/>
      <c r="I107" s="118"/>
      <c r="J107" s="12"/>
      <c r="K107" s="277"/>
      <c r="L107" s="277"/>
      <c r="M107" s="312"/>
      <c r="N107" s="435"/>
      <c r="O107" s="4"/>
      <c r="P107" s="4"/>
      <c r="Q107" s="4"/>
      <c r="R107" s="4"/>
      <c r="S107" s="4"/>
      <c r="T107" s="4"/>
      <c r="U107" s="4"/>
      <c r="V107" s="4"/>
      <c r="W107" s="4"/>
      <c r="X107" s="4"/>
    </row>
    <row r="108" spans="1:24" x14ac:dyDescent="0.2">
      <c r="A108" s="311"/>
      <c r="B108" s="317"/>
      <c r="C108" s="337"/>
      <c r="D108" s="338"/>
      <c r="E108" s="336"/>
      <c r="F108" s="336"/>
      <c r="G108" s="289"/>
      <c r="H108" s="289"/>
      <c r="I108" s="118"/>
      <c r="J108" s="12"/>
      <c r="K108" s="277"/>
      <c r="L108" s="277"/>
      <c r="M108" s="312"/>
      <c r="N108" s="435"/>
      <c r="O108" s="4"/>
      <c r="P108" s="4"/>
      <c r="Q108" s="4"/>
      <c r="R108" s="4"/>
      <c r="S108" s="4"/>
      <c r="T108" s="4"/>
      <c r="U108" s="4"/>
      <c r="V108" s="4"/>
      <c r="W108" s="4"/>
      <c r="X108" s="4"/>
    </row>
    <row r="109" spans="1:24" x14ac:dyDescent="0.2">
      <c r="A109" s="311"/>
      <c r="B109" s="317"/>
      <c r="C109" s="337"/>
      <c r="D109" s="338"/>
      <c r="E109" s="336"/>
      <c r="F109" s="336"/>
      <c r="G109" s="289"/>
      <c r="H109" s="289"/>
      <c r="I109" s="118"/>
      <c r="J109" s="277"/>
      <c r="K109" s="277"/>
      <c r="L109" s="277"/>
      <c r="M109" s="312"/>
      <c r="N109" s="435"/>
      <c r="O109" s="4"/>
      <c r="P109" s="4"/>
      <c r="Q109" s="4"/>
      <c r="R109" s="4"/>
      <c r="S109" s="4"/>
      <c r="T109" s="4"/>
      <c r="U109" s="4"/>
      <c r="V109" s="4"/>
      <c r="W109" s="4"/>
      <c r="X109" s="4"/>
    </row>
    <row r="110" spans="1:24" x14ac:dyDescent="0.2">
      <c r="A110" s="311"/>
      <c r="B110" s="317"/>
      <c r="C110" s="337"/>
      <c r="D110" s="338"/>
      <c r="E110" s="336"/>
      <c r="F110" s="336"/>
      <c r="G110" s="289"/>
      <c r="H110" s="289"/>
      <c r="I110" s="118"/>
      <c r="J110" s="12"/>
      <c r="K110" s="277"/>
      <c r="L110" s="277"/>
      <c r="M110" s="312"/>
      <c r="N110" s="435"/>
      <c r="O110" s="4"/>
      <c r="P110" s="4"/>
      <c r="Q110" s="4"/>
      <c r="R110" s="4"/>
      <c r="S110" s="4"/>
      <c r="T110" s="4"/>
      <c r="U110" s="4"/>
      <c r="V110" s="4"/>
      <c r="W110" s="4"/>
      <c r="X110" s="4"/>
    </row>
    <row r="111" spans="1:24" x14ac:dyDescent="0.2">
      <c r="A111" s="311"/>
      <c r="B111" s="317"/>
      <c r="C111" s="337"/>
      <c r="D111" s="338"/>
      <c r="E111" s="336"/>
      <c r="F111" s="336"/>
      <c r="G111" s="289"/>
      <c r="H111" s="289"/>
      <c r="I111" s="118"/>
      <c r="J111" s="12"/>
      <c r="K111" s="277"/>
      <c r="L111" s="277"/>
      <c r="M111" s="312"/>
      <c r="N111" s="435"/>
      <c r="O111" s="4"/>
      <c r="P111" s="4"/>
      <c r="Q111" s="4"/>
      <c r="R111" s="4"/>
      <c r="S111" s="4"/>
      <c r="T111" s="4"/>
      <c r="U111" s="4"/>
      <c r="V111" s="4"/>
      <c r="W111" s="4"/>
      <c r="X111" s="4"/>
    </row>
    <row r="112" spans="1:24" x14ac:dyDescent="0.2">
      <c r="A112" s="311"/>
      <c r="B112" s="317"/>
      <c r="C112" s="337"/>
      <c r="D112" s="338"/>
      <c r="E112" s="336"/>
      <c r="F112" s="336"/>
      <c r="G112" s="289"/>
      <c r="H112" s="289"/>
      <c r="I112" s="118"/>
      <c r="J112" s="12"/>
      <c r="K112" s="277"/>
      <c r="L112" s="277"/>
      <c r="M112" s="312"/>
      <c r="N112" s="435"/>
      <c r="O112" s="4"/>
      <c r="P112" s="4"/>
      <c r="Q112" s="4"/>
      <c r="R112" s="4"/>
      <c r="S112" s="4"/>
      <c r="T112" s="4"/>
      <c r="U112" s="4"/>
      <c r="V112" s="4"/>
      <c r="W112" s="4"/>
      <c r="X112" s="4"/>
    </row>
    <row r="113" spans="1:24" x14ac:dyDescent="0.2">
      <c r="A113" s="311"/>
      <c r="B113" s="317"/>
      <c r="C113" s="337"/>
      <c r="D113" s="338"/>
      <c r="E113" s="336"/>
      <c r="F113" s="336"/>
      <c r="G113" s="289"/>
      <c r="H113" s="289"/>
      <c r="I113" s="118"/>
      <c r="J113" s="12"/>
      <c r="K113" s="277"/>
      <c r="L113" s="277"/>
      <c r="M113" s="312"/>
      <c r="N113" s="435"/>
      <c r="O113" s="4"/>
      <c r="P113" s="4"/>
      <c r="Q113" s="4"/>
      <c r="R113" s="4"/>
      <c r="S113" s="4"/>
      <c r="T113" s="4"/>
      <c r="U113" s="4"/>
      <c r="V113" s="4"/>
      <c r="W113" s="4"/>
      <c r="X113" s="4"/>
    </row>
    <row r="114" spans="1:24" x14ac:dyDescent="0.2">
      <c r="A114" s="311"/>
      <c r="B114" s="317"/>
      <c r="C114" s="337"/>
      <c r="D114" s="338"/>
      <c r="E114" s="336"/>
      <c r="F114" s="336"/>
      <c r="G114" s="289"/>
      <c r="H114" s="289"/>
      <c r="I114" s="118"/>
      <c r="J114" s="12"/>
      <c r="K114" s="277"/>
      <c r="L114" s="277"/>
      <c r="M114" s="312"/>
      <c r="N114" s="435"/>
      <c r="O114" s="4"/>
      <c r="P114" s="4"/>
      <c r="Q114" s="4"/>
      <c r="R114" s="4"/>
      <c r="S114" s="4"/>
      <c r="T114" s="4"/>
      <c r="U114" s="4"/>
      <c r="V114" s="4"/>
      <c r="W114" s="4"/>
      <c r="X114" s="4"/>
    </row>
  </sheetData>
  <autoFilter ref="A10:Q70">
    <filterColumn colId="12">
      <filters>
        <filter val="ФГ &quot;Основа&quot;"/>
      </filters>
    </filterColumn>
  </autoFilter>
  <printOptions horizontalCentered="1"/>
  <pageMargins left="0" right="0" top="0.59055118110236227" bottom="0.78740157480314965" header="0.31496062992125984" footer="0.31496062992125984"/>
  <pageSetup scale="90" orientation="landscape" r:id="rId1"/>
  <headerFooter alignWithMargins="0"/>
  <colBreaks count="1" manualBreakCount="1">
    <brk id="16" max="1048575" man="1"/>
  </colBreaks>
  <drawing r:id="rId2"/>
  <legacyDrawing r:id="rId3"/>
  <controls>
    <mc:AlternateContent xmlns:mc="http://schemas.openxmlformats.org/markup-compatibility/2006">
      <mc:Choice Requires="x14">
        <control shapeId="60417" r:id="rId4" name="CommandButton1901">
          <controlPr defaultSize="0" autoLine="0" r:id="rId5">
            <anchor moveWithCells="1">
              <from>
                <xdr:col>0</xdr:col>
                <xdr:colOff>0</xdr:colOff>
                <xdr:row>1</xdr:row>
                <xdr:rowOff>19050</xdr:rowOff>
              </from>
              <to>
                <xdr:col>2</xdr:col>
                <xdr:colOff>476250</xdr:colOff>
                <xdr:row>3</xdr:row>
                <xdr:rowOff>161925</xdr:rowOff>
              </to>
            </anchor>
          </controlPr>
        </control>
      </mc:Choice>
      <mc:Fallback>
        <control shapeId="60417" r:id="rId4" name="CommandButton1901"/>
      </mc:Fallback>
    </mc:AlternateContent>
    <mc:AlternateContent xmlns:mc="http://schemas.openxmlformats.org/markup-compatibility/2006">
      <mc:Choice Requires="x14">
        <control shapeId="60418" r:id="rId6" name="CommandButton1903">
          <controlPr defaultSize="0" autoLine="0" autoPict="0" r:id="rId7">
            <anchor moveWithCells="1">
              <from>
                <xdr:col>12</xdr:col>
                <xdr:colOff>19050</xdr:colOff>
                <xdr:row>0</xdr:row>
                <xdr:rowOff>152400</xdr:rowOff>
              </from>
              <to>
                <xdr:col>12</xdr:col>
                <xdr:colOff>1038225</xdr:colOff>
                <xdr:row>3</xdr:row>
                <xdr:rowOff>142875</xdr:rowOff>
              </to>
            </anchor>
          </controlPr>
        </control>
      </mc:Choice>
      <mc:Fallback>
        <control shapeId="60418" r:id="rId6" name="CommandButton1903"/>
      </mc:Fallback>
    </mc:AlternateContent>
    <mc:AlternateContent xmlns:mc="http://schemas.openxmlformats.org/markup-compatibility/2006">
      <mc:Choice Requires="x14">
        <control shapeId="60419" r:id="rId8" name="CommandButton1902">
          <controlPr defaultSize="0" autoLine="0" autoPict="0" r:id="rId9">
            <anchor moveWithCells="1">
              <from>
                <xdr:col>6</xdr:col>
                <xdr:colOff>9525</xdr:colOff>
                <xdr:row>1</xdr:row>
                <xdr:rowOff>9525</xdr:rowOff>
              </from>
              <to>
                <xdr:col>7</xdr:col>
                <xdr:colOff>514350</xdr:colOff>
                <xdr:row>3</xdr:row>
                <xdr:rowOff>152400</xdr:rowOff>
              </to>
            </anchor>
          </controlPr>
        </control>
      </mc:Choice>
      <mc:Fallback>
        <control shapeId="60419" r:id="rId8" name="CommandButton190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X58"/>
  <sheetViews>
    <sheetView workbookViewId="0">
      <pane ySplit="10" topLeftCell="A11" activePane="bottomLeft" state="frozen"/>
      <selection pane="bottomLeft" activeCell="I43" sqref="I43:I44"/>
    </sheetView>
  </sheetViews>
  <sheetFormatPr defaultRowHeight="12.75" x14ac:dyDescent="0.2"/>
  <cols>
    <col min="1" max="1" width="5.7109375" customWidth="1"/>
    <col min="2" max="2" width="10.140625" customWidth="1"/>
    <col min="3" max="3" width="10.28515625" customWidth="1"/>
    <col min="4" max="4" width="10.5703125" customWidth="1"/>
    <col min="5" max="5" width="13" customWidth="1"/>
    <col min="6" max="6" width="29.7109375" customWidth="1"/>
    <col min="7" max="8" width="10.7109375" customWidth="1"/>
    <col min="9" max="9" width="12.7109375" customWidth="1"/>
    <col min="10" max="10" width="8.7109375" customWidth="1"/>
    <col min="11" max="11" width="10.7109375" customWidth="1"/>
    <col min="12" max="13" width="15.7109375" customWidth="1"/>
    <col min="14" max="14" width="6.85546875" customWidth="1"/>
    <col min="15" max="15" width="9.28515625" customWidth="1"/>
    <col min="16" max="16" width="9.85546875" customWidth="1"/>
  </cols>
  <sheetData>
    <row r="1" spans="1:17" x14ac:dyDescent="0.2">
      <c r="A1" s="1">
        <v>1</v>
      </c>
      <c r="B1" s="1">
        <v>2</v>
      </c>
      <c r="C1" s="1">
        <v>3</v>
      </c>
      <c r="D1" s="1">
        <v>4</v>
      </c>
      <c r="E1" s="1">
        <v>5</v>
      </c>
      <c r="F1" s="1">
        <v>6</v>
      </c>
      <c r="G1" s="1">
        <v>7</v>
      </c>
      <c r="H1" s="1">
        <v>8</v>
      </c>
      <c r="I1" s="1">
        <v>9</v>
      </c>
      <c r="J1" s="1">
        <v>10</v>
      </c>
      <c r="K1" s="1">
        <v>11</v>
      </c>
      <c r="L1" s="1">
        <v>12</v>
      </c>
      <c r="M1" s="1">
        <v>13</v>
      </c>
      <c r="N1" s="1">
        <v>14</v>
      </c>
      <c r="O1" s="1">
        <v>15</v>
      </c>
      <c r="P1" s="1">
        <v>16</v>
      </c>
      <c r="Q1" s="1">
        <v>17</v>
      </c>
    </row>
    <row r="2" spans="1:17" x14ac:dyDescent="0.2">
      <c r="I2" s="118" t="s">
        <v>142</v>
      </c>
      <c r="J2" s="12"/>
    </row>
    <row r="3" spans="1:17" x14ac:dyDescent="0.2">
      <c r="I3" s="118" t="s">
        <v>143</v>
      </c>
      <c r="J3" s="12"/>
    </row>
    <row r="4" spans="1:17" ht="13.5" thickBot="1" x14ac:dyDescent="0.25">
      <c r="I4" s="118" t="s">
        <v>145</v>
      </c>
      <c r="J4" s="12" t="s">
        <v>147</v>
      </c>
    </row>
    <row r="5" spans="1:17" ht="13.5" thickBot="1" x14ac:dyDescent="0.25">
      <c r="C5" s="48" t="s">
        <v>179</v>
      </c>
      <c r="D5" s="113"/>
      <c r="G5" s="109" t="s">
        <v>175</v>
      </c>
      <c r="I5" s="118" t="s">
        <v>145</v>
      </c>
      <c r="J5" s="12" t="s">
        <v>148</v>
      </c>
    </row>
    <row r="6" spans="1:17" x14ac:dyDescent="0.2">
      <c r="C6" s="46"/>
      <c r="I6" s="118" t="s">
        <v>145</v>
      </c>
      <c r="J6" s="12" t="s">
        <v>149</v>
      </c>
    </row>
    <row r="7" spans="1:17" x14ac:dyDescent="0.2">
      <c r="C7" s="46"/>
      <c r="I7" s="118" t="s">
        <v>67</v>
      </c>
      <c r="J7" s="12" t="s">
        <v>154</v>
      </c>
    </row>
    <row r="8" spans="1:17" x14ac:dyDescent="0.2">
      <c r="C8" s="46"/>
    </row>
    <row r="9" spans="1:17" ht="13.5" thickBot="1" x14ac:dyDescent="0.25">
      <c r="C9" s="46"/>
    </row>
    <row r="10" spans="1:17" ht="36.75" thickBot="1" x14ac:dyDescent="0.25">
      <c r="A10" s="127" t="s">
        <v>21</v>
      </c>
      <c r="B10" s="128" t="s">
        <v>158</v>
      </c>
      <c r="C10" s="132" t="s">
        <v>0</v>
      </c>
      <c r="D10" s="133" t="s">
        <v>159</v>
      </c>
      <c r="E10" s="132" t="s">
        <v>160</v>
      </c>
      <c r="F10" s="129" t="s">
        <v>161</v>
      </c>
      <c r="G10" s="130" t="s">
        <v>162</v>
      </c>
      <c r="H10" s="134" t="s">
        <v>163</v>
      </c>
      <c r="I10" s="135" t="s">
        <v>164</v>
      </c>
      <c r="J10" s="134" t="s">
        <v>165</v>
      </c>
      <c r="K10" s="129" t="s">
        <v>43</v>
      </c>
      <c r="L10" s="130" t="s">
        <v>166</v>
      </c>
      <c r="M10" s="136" t="s">
        <v>167</v>
      </c>
      <c r="N10" s="134" t="s">
        <v>168</v>
      </c>
      <c r="O10" s="134" t="s">
        <v>169</v>
      </c>
      <c r="P10" s="130" t="s">
        <v>170</v>
      </c>
      <c r="Q10" s="131" t="s">
        <v>60</v>
      </c>
    </row>
    <row r="11" spans="1:17" s="112" customFormat="1" x14ac:dyDescent="0.2">
      <c r="A11" s="144"/>
      <c r="B11" s="144" t="s">
        <v>172</v>
      </c>
      <c r="C11" s="145">
        <v>40757</v>
      </c>
      <c r="D11" s="150">
        <v>257744</v>
      </c>
      <c r="E11" s="150" t="s">
        <v>177</v>
      </c>
      <c r="F11" s="125" t="s">
        <v>176</v>
      </c>
      <c r="G11" s="140" t="s">
        <v>17</v>
      </c>
      <c r="H11" s="151">
        <v>21760</v>
      </c>
      <c r="I11" s="118" t="s">
        <v>67</v>
      </c>
      <c r="J11" s="12" t="s">
        <v>154</v>
      </c>
      <c r="K11" s="144" t="s">
        <v>173</v>
      </c>
      <c r="L11" s="144" t="s">
        <v>178</v>
      </c>
      <c r="M11" s="144" t="s">
        <v>174</v>
      </c>
      <c r="N11" s="126">
        <v>11.7</v>
      </c>
      <c r="O11" s="126">
        <v>1.1000000000000001</v>
      </c>
      <c r="P11" s="126">
        <v>0.6</v>
      </c>
      <c r="Q11" s="13">
        <v>630</v>
      </c>
    </row>
    <row r="12" spans="1:17" s="112" customFormat="1" x14ac:dyDescent="0.2">
      <c r="A12" s="144"/>
      <c r="B12" s="144"/>
      <c r="C12" s="145"/>
      <c r="D12" s="141"/>
      <c r="E12" s="140"/>
      <c r="F12" s="140"/>
      <c r="G12" s="140"/>
      <c r="H12" s="140"/>
      <c r="I12" s="118"/>
      <c r="J12" s="12"/>
      <c r="K12" s="144"/>
      <c r="L12" s="144"/>
      <c r="M12" s="144"/>
      <c r="N12" s="126"/>
      <c r="O12" s="126"/>
      <c r="P12" s="126"/>
      <c r="Q12" s="13"/>
    </row>
    <row r="13" spans="1:17" s="112" customFormat="1" x14ac:dyDescent="0.2">
      <c r="A13" s="144"/>
      <c r="B13" s="144"/>
      <c r="C13" s="145"/>
      <c r="D13" s="141"/>
      <c r="E13" s="142"/>
      <c r="F13" s="140"/>
      <c r="G13" s="140"/>
      <c r="H13" s="140"/>
      <c r="I13" s="118"/>
      <c r="J13" s="12"/>
      <c r="K13" s="144"/>
      <c r="L13" s="144"/>
      <c r="M13" s="144"/>
      <c r="N13" s="126"/>
      <c r="O13" s="126"/>
      <c r="P13" s="126"/>
      <c r="Q13" s="13"/>
    </row>
    <row r="14" spans="1:17" s="112" customFormat="1" x14ac:dyDescent="0.2">
      <c r="A14" s="144"/>
      <c r="B14" s="144"/>
      <c r="C14" s="145"/>
      <c r="D14" s="141"/>
      <c r="E14" s="140"/>
      <c r="F14" s="140"/>
      <c r="G14" s="140"/>
      <c r="H14" s="140"/>
      <c r="I14" s="118"/>
      <c r="J14" s="12"/>
      <c r="K14" s="144"/>
      <c r="L14" s="152"/>
      <c r="M14" s="144"/>
      <c r="N14" s="126"/>
      <c r="O14" s="126"/>
      <c r="P14" s="126"/>
      <c r="Q14" s="13"/>
    </row>
    <row r="15" spans="1:17" s="112" customFormat="1" x14ac:dyDescent="0.2">
      <c r="A15" s="144"/>
      <c r="B15" s="144"/>
      <c r="C15" s="145"/>
      <c r="D15" s="141"/>
      <c r="E15" s="142"/>
      <c r="F15" s="140"/>
      <c r="G15" s="140"/>
      <c r="H15" s="140"/>
      <c r="I15" s="118"/>
      <c r="J15" s="12"/>
      <c r="K15" s="144"/>
      <c r="L15" s="144"/>
      <c r="M15" s="144"/>
      <c r="N15" s="126"/>
      <c r="O15" s="126"/>
      <c r="P15" s="126"/>
      <c r="Q15" s="13"/>
    </row>
    <row r="16" spans="1:17" s="112" customFormat="1" x14ac:dyDescent="0.2">
      <c r="A16" s="144"/>
      <c r="B16" s="144"/>
      <c r="C16" s="145"/>
      <c r="D16" s="141"/>
      <c r="E16" s="142"/>
      <c r="F16" s="140"/>
      <c r="G16" s="140"/>
      <c r="H16" s="140"/>
      <c r="I16" s="118"/>
      <c r="J16" s="12"/>
      <c r="K16" s="144"/>
      <c r="L16" s="144"/>
      <c r="M16" s="144"/>
      <c r="N16" s="126"/>
      <c r="O16" s="126"/>
      <c r="P16" s="126"/>
      <c r="Q16" s="13"/>
    </row>
    <row r="17" spans="1:24" s="112" customFormat="1" x14ac:dyDescent="0.2">
      <c r="A17" s="144"/>
      <c r="B17" s="144"/>
      <c r="C17" s="145"/>
      <c r="D17" s="141"/>
      <c r="E17" s="140"/>
      <c r="F17" s="140"/>
      <c r="G17" s="140"/>
      <c r="H17" s="140"/>
      <c r="I17" s="118"/>
      <c r="J17" s="12"/>
      <c r="K17" s="144"/>
      <c r="L17" s="144"/>
      <c r="M17" s="144"/>
      <c r="N17" s="126"/>
      <c r="O17" s="126"/>
      <c r="P17" s="126"/>
      <c r="Q17" s="13"/>
    </row>
    <row r="18" spans="1:24" s="112" customFormat="1" x14ac:dyDescent="0.2">
      <c r="A18" s="144"/>
      <c r="B18" s="144"/>
      <c r="C18" s="145"/>
      <c r="D18" s="141"/>
      <c r="E18" s="140"/>
      <c r="F18" s="140"/>
      <c r="G18" s="140"/>
      <c r="H18" s="140"/>
      <c r="I18" s="118"/>
      <c r="J18" s="12"/>
      <c r="K18" s="144"/>
      <c r="L18" s="144"/>
      <c r="M18" s="144"/>
      <c r="N18" s="126"/>
      <c r="O18" s="126"/>
      <c r="P18" s="126"/>
      <c r="Q18" s="13"/>
    </row>
    <row r="19" spans="1:24" s="112" customFormat="1" x14ac:dyDescent="0.2">
      <c r="A19" s="144"/>
      <c r="B19" s="144"/>
      <c r="C19" s="145"/>
      <c r="D19" s="141"/>
      <c r="E19" s="140"/>
      <c r="F19" s="140"/>
      <c r="G19" s="140"/>
      <c r="H19" s="140"/>
      <c r="I19" s="118"/>
      <c r="J19" s="12"/>
      <c r="K19" s="144"/>
      <c r="L19" s="144"/>
      <c r="M19" s="144"/>
      <c r="N19" s="126"/>
      <c r="O19" s="126"/>
      <c r="P19" s="126"/>
      <c r="Q19" s="13"/>
    </row>
    <row r="20" spans="1:24" s="112" customFormat="1" x14ac:dyDescent="0.2">
      <c r="A20" s="144"/>
      <c r="B20" s="144"/>
      <c r="C20" s="145"/>
      <c r="D20" s="141"/>
      <c r="E20" s="140"/>
      <c r="F20" s="140"/>
      <c r="G20" s="140"/>
      <c r="H20" s="140"/>
      <c r="I20" s="118"/>
      <c r="J20" s="12"/>
      <c r="K20" s="144"/>
      <c r="L20" s="144"/>
      <c r="M20" s="144"/>
      <c r="N20" s="126"/>
      <c r="O20" s="126"/>
      <c r="P20" s="126"/>
      <c r="Q20" s="13"/>
    </row>
    <row r="21" spans="1:24" s="112" customFormat="1" x14ac:dyDescent="0.2">
      <c r="A21" s="144"/>
      <c r="B21" s="144"/>
      <c r="C21" s="145"/>
      <c r="D21" s="141"/>
      <c r="E21" s="140"/>
      <c r="F21" s="140"/>
      <c r="G21" s="140"/>
      <c r="H21" s="140"/>
      <c r="I21" s="118"/>
      <c r="J21" s="12"/>
      <c r="K21" s="144"/>
      <c r="L21" s="144"/>
      <c r="M21" s="144"/>
      <c r="N21" s="126"/>
      <c r="O21" s="126"/>
      <c r="P21" s="126"/>
      <c r="Q21" s="13"/>
    </row>
    <row r="22" spans="1:24" s="112" customFormat="1" x14ac:dyDescent="0.2">
      <c r="A22" s="144"/>
      <c r="B22" s="144"/>
      <c r="C22" s="145"/>
      <c r="D22" s="141"/>
      <c r="E22" s="142"/>
      <c r="F22" s="140"/>
      <c r="G22" s="140"/>
      <c r="H22" s="140"/>
      <c r="I22" s="118"/>
      <c r="J22" s="12"/>
      <c r="K22" s="144"/>
      <c r="L22" s="144"/>
      <c r="M22" s="144"/>
      <c r="N22" s="126"/>
      <c r="O22" s="126"/>
      <c r="P22" s="126"/>
      <c r="Q22" s="13"/>
    </row>
    <row r="23" spans="1:24" s="112" customFormat="1" x14ac:dyDescent="0.2">
      <c r="A23" s="144"/>
      <c r="B23" s="144"/>
      <c r="C23" s="145"/>
      <c r="D23" s="141"/>
      <c r="E23" s="142"/>
      <c r="F23" s="140"/>
      <c r="G23" s="140"/>
      <c r="H23" s="140"/>
      <c r="I23" s="118"/>
      <c r="J23" s="12"/>
      <c r="K23" s="144"/>
      <c r="L23" s="144"/>
      <c r="M23" s="144"/>
      <c r="N23" s="126"/>
      <c r="O23" s="126"/>
      <c r="P23" s="126"/>
      <c r="Q23" s="13"/>
    </row>
    <row r="24" spans="1:24" s="112" customFormat="1" x14ac:dyDescent="0.2">
      <c r="A24" s="144"/>
      <c r="B24" s="144"/>
      <c r="C24" s="145"/>
      <c r="D24" s="141"/>
      <c r="E24" s="140"/>
      <c r="F24" s="140"/>
      <c r="G24" s="140"/>
      <c r="H24" s="140"/>
      <c r="I24" s="118"/>
      <c r="J24" s="12"/>
      <c r="K24" s="144"/>
      <c r="L24" s="144"/>
      <c r="M24" s="144"/>
      <c r="N24" s="126"/>
      <c r="O24" s="126"/>
      <c r="P24" s="126"/>
      <c r="Q24" s="13"/>
    </row>
    <row r="25" spans="1:24" s="112" customFormat="1" x14ac:dyDescent="0.2">
      <c r="A25" s="144"/>
      <c r="B25" s="144"/>
      <c r="C25" s="145"/>
      <c r="D25" s="141"/>
      <c r="E25" s="140"/>
      <c r="F25" s="140"/>
      <c r="G25" s="140"/>
      <c r="H25" s="140"/>
      <c r="I25" s="118"/>
      <c r="J25" s="12"/>
      <c r="K25" s="144"/>
      <c r="L25" s="144"/>
      <c r="M25" s="144"/>
      <c r="N25" s="126"/>
      <c r="O25" s="126"/>
      <c r="P25" s="126"/>
      <c r="Q25" s="13"/>
    </row>
    <row r="26" spans="1:24" s="112" customFormat="1" x14ac:dyDescent="0.2">
      <c r="A26" s="144"/>
      <c r="B26" s="144"/>
      <c r="C26" s="145"/>
      <c r="D26" s="141"/>
      <c r="E26" s="153"/>
      <c r="F26" s="140"/>
      <c r="G26" s="140"/>
      <c r="H26" s="140"/>
      <c r="I26" s="118"/>
      <c r="J26" s="12"/>
      <c r="K26" s="144"/>
      <c r="L26" s="144"/>
      <c r="M26" s="144"/>
      <c r="N26" s="126"/>
      <c r="O26" s="126"/>
      <c r="P26" s="126"/>
      <c r="Q26" s="13"/>
    </row>
    <row r="27" spans="1:24" s="112" customFormat="1" x14ac:dyDescent="0.2">
      <c r="A27" s="144"/>
      <c r="B27" s="144"/>
      <c r="C27" s="145"/>
      <c r="D27" s="141"/>
      <c r="E27" s="142"/>
      <c r="F27" s="140"/>
      <c r="G27" s="140"/>
      <c r="H27" s="140"/>
      <c r="I27" s="118"/>
      <c r="J27" s="12"/>
      <c r="K27" s="144"/>
      <c r="L27" s="144"/>
      <c r="M27" s="144"/>
      <c r="N27" s="126"/>
      <c r="O27" s="126"/>
      <c r="P27" s="126"/>
      <c r="Q27" s="13"/>
    </row>
    <row r="28" spans="1:24" s="112" customFormat="1" x14ac:dyDescent="0.2">
      <c r="A28" s="144"/>
      <c r="B28" s="144"/>
      <c r="C28" s="145"/>
      <c r="D28" s="141"/>
      <c r="E28" s="142"/>
      <c r="F28" s="140"/>
      <c r="G28" s="140"/>
      <c r="H28" s="140"/>
      <c r="I28" s="118"/>
      <c r="J28" s="12"/>
      <c r="K28" s="144"/>
      <c r="L28" s="144"/>
      <c r="M28" s="144"/>
      <c r="N28" s="126"/>
      <c r="O28" s="126"/>
      <c r="P28" s="126"/>
      <c r="Q28" s="13"/>
    </row>
    <row r="29" spans="1:24" s="112" customFormat="1" x14ac:dyDescent="0.2">
      <c r="A29" s="144"/>
      <c r="B29" s="144"/>
      <c r="C29" s="145"/>
      <c r="D29" s="141"/>
      <c r="E29" s="142"/>
      <c r="F29" s="140"/>
      <c r="G29" s="140"/>
      <c r="H29" s="140"/>
      <c r="I29" s="118"/>
      <c r="J29" s="12"/>
      <c r="K29" s="144"/>
      <c r="L29" s="144"/>
      <c r="M29" s="144"/>
      <c r="N29" s="126"/>
      <c r="O29" s="126"/>
      <c r="P29" s="126"/>
      <c r="Q29" s="13"/>
    </row>
    <row r="30" spans="1:24" s="112" customFormat="1" x14ac:dyDescent="0.2">
      <c r="A30" s="144"/>
      <c r="B30" s="144"/>
      <c r="C30" s="145"/>
      <c r="D30" s="141"/>
      <c r="E30" s="142"/>
      <c r="F30" s="140"/>
      <c r="G30" s="140"/>
      <c r="H30" s="140"/>
      <c r="I30" s="118"/>
      <c r="J30" s="12"/>
      <c r="K30" s="144"/>
      <c r="L30" s="144"/>
      <c r="M30" s="144"/>
      <c r="N30" s="126"/>
      <c r="O30" s="126"/>
      <c r="P30" s="126"/>
      <c r="Q30" s="13"/>
    </row>
    <row r="31" spans="1:24" x14ac:dyDescent="0.2">
      <c r="A31" s="144"/>
      <c r="B31" s="144"/>
      <c r="C31" s="145"/>
      <c r="D31" s="141"/>
      <c r="E31" s="142"/>
      <c r="F31" s="140"/>
      <c r="G31" s="140"/>
      <c r="H31" s="140"/>
      <c r="I31" s="118"/>
      <c r="J31" s="12"/>
      <c r="K31" s="144"/>
      <c r="L31" s="144"/>
      <c r="M31" s="144"/>
      <c r="N31" s="126"/>
      <c r="O31" s="126"/>
      <c r="P31" s="126"/>
      <c r="Q31" s="13"/>
      <c r="R31" s="4"/>
      <c r="S31" s="4"/>
      <c r="T31" s="4"/>
      <c r="U31" s="4"/>
      <c r="V31" s="4"/>
      <c r="W31" s="4"/>
      <c r="X31" s="4"/>
    </row>
    <row r="32" spans="1:24" x14ac:dyDescent="0.2">
      <c r="A32" s="144"/>
      <c r="B32" s="144"/>
      <c r="C32" s="145"/>
      <c r="D32" s="150"/>
      <c r="E32" s="150"/>
      <c r="F32" s="125"/>
      <c r="G32" s="125"/>
      <c r="H32" s="151"/>
      <c r="I32" s="148"/>
      <c r="J32" s="148"/>
      <c r="K32" s="144"/>
      <c r="L32" s="144"/>
      <c r="M32" s="144"/>
      <c r="N32" s="126"/>
      <c r="O32" s="126"/>
      <c r="P32" s="126"/>
      <c r="Q32" s="13"/>
      <c r="R32" s="4"/>
      <c r="S32" s="4"/>
      <c r="T32" s="4"/>
      <c r="U32" s="4"/>
      <c r="V32" s="4"/>
      <c r="W32" s="4"/>
      <c r="X32" s="4"/>
    </row>
    <row r="33" spans="1:24" x14ac:dyDescent="0.2">
      <c r="A33" s="144"/>
      <c r="B33" s="144"/>
      <c r="C33" s="145"/>
      <c r="D33" s="150"/>
      <c r="E33" s="150"/>
      <c r="F33" s="125"/>
      <c r="G33" s="125"/>
      <c r="H33" s="151"/>
      <c r="I33" s="148"/>
      <c r="J33" s="148"/>
      <c r="K33" s="144"/>
      <c r="L33" s="144"/>
      <c r="M33" s="144"/>
      <c r="N33" s="126"/>
      <c r="O33" s="126"/>
      <c r="P33" s="126"/>
      <c r="Q33" s="13"/>
      <c r="R33" s="4"/>
      <c r="S33" s="4"/>
      <c r="T33" s="4"/>
      <c r="U33" s="4"/>
      <c r="V33" s="4"/>
      <c r="W33" s="4"/>
      <c r="X33" s="4"/>
    </row>
    <row r="34" spans="1:24" x14ac:dyDescent="0.2">
      <c r="A34" s="144"/>
      <c r="B34" s="144"/>
      <c r="C34" s="145"/>
      <c r="D34" s="149"/>
      <c r="E34" s="150"/>
      <c r="F34" s="125"/>
      <c r="G34" s="125"/>
      <c r="H34" s="151"/>
      <c r="I34" s="148"/>
      <c r="J34" s="148"/>
      <c r="K34" s="144"/>
      <c r="L34" s="144"/>
      <c r="M34" s="144"/>
      <c r="N34" s="126"/>
      <c r="O34" s="126"/>
      <c r="P34" s="126"/>
      <c r="Q34" s="13"/>
      <c r="R34" s="4"/>
      <c r="S34" s="4"/>
      <c r="T34" s="4"/>
      <c r="U34" s="4"/>
      <c r="V34" s="4"/>
      <c r="W34" s="4"/>
      <c r="X34" s="4"/>
    </row>
    <row r="35" spans="1:24" x14ac:dyDescent="0.2">
      <c r="A35" s="144"/>
      <c r="B35" s="144"/>
      <c r="C35" s="145"/>
      <c r="D35" s="146"/>
      <c r="E35" s="146"/>
      <c r="F35" s="140"/>
      <c r="G35" s="140"/>
      <c r="H35" s="147"/>
      <c r="I35" s="118"/>
      <c r="J35" s="12"/>
      <c r="K35" s="144"/>
      <c r="L35" s="144"/>
      <c r="M35" s="144"/>
      <c r="N35" s="126"/>
      <c r="O35" s="126"/>
      <c r="P35" s="126"/>
      <c r="Q35" s="13"/>
      <c r="R35" s="4"/>
      <c r="S35" s="4"/>
      <c r="T35" s="4"/>
      <c r="U35" s="4"/>
      <c r="V35" s="4"/>
      <c r="W35" s="4"/>
      <c r="X35" s="4"/>
    </row>
    <row r="36" spans="1:24" x14ac:dyDescent="0.2">
      <c r="A36" s="144"/>
      <c r="B36" s="144"/>
      <c r="C36" s="145"/>
      <c r="D36" s="146"/>
      <c r="E36" s="146"/>
      <c r="F36" s="140"/>
      <c r="G36" s="140"/>
      <c r="H36" s="147"/>
      <c r="I36" s="118"/>
      <c r="J36" s="12"/>
      <c r="K36" s="144"/>
      <c r="L36" s="144"/>
      <c r="M36" s="144"/>
      <c r="N36" s="126"/>
      <c r="O36" s="126"/>
      <c r="P36" s="126"/>
      <c r="Q36" s="13"/>
      <c r="R36" s="4"/>
      <c r="S36" s="4"/>
      <c r="T36" s="4"/>
      <c r="U36" s="4"/>
      <c r="V36" s="4"/>
      <c r="W36" s="4"/>
      <c r="X36" s="4"/>
    </row>
    <row r="37" spans="1:24" x14ac:dyDescent="0.2">
      <c r="A37" s="144"/>
      <c r="B37" s="144"/>
      <c r="C37" s="145"/>
      <c r="D37" s="146"/>
      <c r="E37" s="146"/>
      <c r="F37" s="140"/>
      <c r="G37" s="140"/>
      <c r="H37" s="147"/>
      <c r="I37" s="118"/>
      <c r="J37" s="12"/>
      <c r="K37" s="144"/>
      <c r="L37" s="144"/>
      <c r="M37" s="144"/>
      <c r="N37" s="126"/>
      <c r="O37" s="126"/>
      <c r="P37" s="126"/>
      <c r="Q37" s="13"/>
      <c r="R37" s="4"/>
      <c r="S37" s="4"/>
      <c r="T37" s="4"/>
      <c r="U37" s="4"/>
      <c r="V37" s="4"/>
      <c r="W37" s="4"/>
      <c r="X37" s="4"/>
    </row>
    <row r="38" spans="1:24" x14ac:dyDescent="0.2">
      <c r="A38" s="144"/>
      <c r="B38" s="144"/>
      <c r="C38" s="145"/>
      <c r="D38" s="146"/>
      <c r="E38" s="146"/>
      <c r="F38" s="140"/>
      <c r="G38" s="140"/>
      <c r="H38" s="147"/>
      <c r="I38" s="118"/>
      <c r="J38" s="12"/>
      <c r="K38" s="144"/>
      <c r="L38" s="144"/>
      <c r="M38" s="144"/>
      <c r="N38" s="126"/>
      <c r="O38" s="126"/>
      <c r="P38" s="126"/>
      <c r="Q38" s="13"/>
      <c r="R38" s="4"/>
      <c r="S38" s="4"/>
      <c r="T38" s="4"/>
      <c r="U38" s="4"/>
      <c r="V38" s="4"/>
      <c r="W38" s="4"/>
      <c r="X38" s="4"/>
    </row>
    <row r="39" spans="1:24" x14ac:dyDescent="0.2">
      <c r="A39" s="144"/>
      <c r="B39" s="144"/>
      <c r="C39" s="145"/>
      <c r="D39" s="146"/>
      <c r="E39" s="146"/>
      <c r="F39" s="140"/>
      <c r="G39" s="140"/>
      <c r="H39" s="147"/>
      <c r="I39" s="118"/>
      <c r="J39" s="12"/>
      <c r="K39" s="144"/>
      <c r="L39" s="144"/>
      <c r="M39" s="144"/>
      <c r="N39" s="126"/>
      <c r="O39" s="126"/>
      <c r="P39" s="126"/>
      <c r="Q39" s="13"/>
      <c r="R39" s="4"/>
      <c r="S39" s="4"/>
      <c r="T39" s="4"/>
      <c r="U39" s="4"/>
      <c r="V39" s="4"/>
      <c r="W39" s="4"/>
      <c r="X39" s="4"/>
    </row>
    <row r="40" spans="1:24" x14ac:dyDescent="0.2">
      <c r="A40" s="144"/>
      <c r="B40" s="144"/>
      <c r="C40" s="145"/>
      <c r="D40" s="146"/>
      <c r="E40" s="146"/>
      <c r="F40" s="140"/>
      <c r="G40" s="140"/>
      <c r="H40" s="147"/>
      <c r="I40" s="118"/>
      <c r="J40" s="12"/>
      <c r="K40" s="144"/>
      <c r="L40" s="144"/>
      <c r="M40" s="144"/>
      <c r="N40" s="126"/>
      <c r="O40" s="126"/>
      <c r="P40" s="126"/>
      <c r="Q40" s="13"/>
      <c r="R40" s="4"/>
      <c r="S40" s="4"/>
      <c r="T40" s="4"/>
      <c r="U40" s="4"/>
      <c r="V40" s="4"/>
      <c r="W40" s="4"/>
      <c r="X40" s="4"/>
    </row>
    <row r="41" spans="1:24" x14ac:dyDescent="0.2">
      <c r="A41" s="138"/>
      <c r="B41" s="138"/>
      <c r="C41" s="139"/>
      <c r="D41" s="141"/>
      <c r="E41" s="140"/>
      <c r="F41" s="140"/>
      <c r="G41" s="140"/>
      <c r="H41" s="140"/>
      <c r="I41" s="118"/>
      <c r="J41" s="12"/>
      <c r="K41" s="138"/>
      <c r="L41" s="138"/>
      <c r="M41" s="138"/>
      <c r="N41" s="126"/>
      <c r="O41" s="126"/>
      <c r="P41" s="126"/>
      <c r="Q41" s="13"/>
      <c r="R41" s="4"/>
      <c r="S41" s="4"/>
      <c r="T41" s="4"/>
      <c r="U41" s="4"/>
      <c r="V41" s="4"/>
      <c r="W41" s="4"/>
      <c r="X41" s="4"/>
    </row>
    <row r="42" spans="1:24" x14ac:dyDescent="0.2">
      <c r="A42" s="138"/>
      <c r="B42" s="138"/>
      <c r="C42" s="139"/>
      <c r="D42" s="141"/>
      <c r="E42" s="140"/>
      <c r="F42" s="140"/>
      <c r="G42" s="140"/>
      <c r="H42" s="140"/>
      <c r="I42" s="118"/>
      <c r="J42" s="12"/>
      <c r="K42" s="138"/>
      <c r="L42" s="138"/>
      <c r="M42" s="138"/>
      <c r="N42" s="126"/>
      <c r="O42" s="126"/>
      <c r="P42" s="126"/>
      <c r="Q42" s="13"/>
      <c r="R42" s="4"/>
      <c r="S42" s="4"/>
      <c r="T42" s="4"/>
      <c r="U42" s="4"/>
      <c r="V42" s="4"/>
      <c r="W42" s="4"/>
      <c r="X42" s="4"/>
    </row>
    <row r="43" spans="1:24" x14ac:dyDescent="0.2">
      <c r="A43" s="138"/>
      <c r="B43" s="138"/>
      <c r="C43" s="139"/>
      <c r="D43" s="143"/>
      <c r="E43" s="140"/>
      <c r="F43" s="140"/>
      <c r="G43" s="140"/>
      <c r="H43" s="140"/>
      <c r="I43" s="118"/>
      <c r="J43" s="12"/>
      <c r="K43" s="138"/>
      <c r="L43" s="138"/>
      <c r="M43" s="138"/>
      <c r="N43" s="126"/>
      <c r="O43" s="126"/>
      <c r="P43" s="126"/>
      <c r="Q43" s="13"/>
      <c r="R43" s="4"/>
      <c r="S43" s="4"/>
      <c r="T43" s="4"/>
      <c r="U43" s="4"/>
      <c r="V43" s="4"/>
      <c r="W43" s="4"/>
      <c r="X43" s="4"/>
    </row>
    <row r="44" spans="1:24" x14ac:dyDescent="0.2">
      <c r="A44" s="138"/>
      <c r="B44" s="138"/>
      <c r="C44" s="139"/>
      <c r="D44" s="141"/>
      <c r="E44" s="140"/>
      <c r="F44" s="140"/>
      <c r="G44" s="140"/>
      <c r="H44" s="140"/>
      <c r="I44" s="118"/>
      <c r="J44" s="12"/>
      <c r="K44" s="138"/>
      <c r="L44" s="138"/>
      <c r="M44" s="138"/>
      <c r="N44" s="126"/>
      <c r="O44" s="126"/>
      <c r="P44" s="126"/>
      <c r="Q44" s="13"/>
      <c r="R44" s="4"/>
      <c r="S44" s="4"/>
      <c r="T44" s="4"/>
      <c r="U44" s="4"/>
      <c r="V44" s="4"/>
      <c r="W44" s="4"/>
      <c r="X44" s="4"/>
    </row>
    <row r="45" spans="1:24" x14ac:dyDescent="0.2">
      <c r="A45" s="138"/>
      <c r="B45" s="138"/>
      <c r="C45" s="139"/>
      <c r="D45" s="141"/>
      <c r="E45" s="140"/>
      <c r="F45" s="140"/>
      <c r="G45" s="140"/>
      <c r="H45" s="140"/>
      <c r="I45" s="118"/>
      <c r="J45" s="12"/>
      <c r="K45" s="138"/>
      <c r="L45" s="138"/>
      <c r="M45" s="138"/>
      <c r="N45" s="126"/>
      <c r="O45" s="126"/>
      <c r="P45" s="126"/>
      <c r="Q45" s="13"/>
      <c r="R45" s="4"/>
      <c r="S45" s="4"/>
      <c r="T45" s="4"/>
      <c r="U45" s="4"/>
      <c r="V45" s="4"/>
      <c r="W45" s="4"/>
      <c r="X45" s="4"/>
    </row>
    <row r="46" spans="1:24" x14ac:dyDescent="0.2">
      <c r="A46" s="138"/>
      <c r="B46" s="138"/>
      <c r="C46" s="139"/>
      <c r="D46" s="141"/>
      <c r="E46" s="142"/>
      <c r="F46" s="140"/>
      <c r="G46" s="140"/>
      <c r="H46" s="140"/>
      <c r="I46" s="118"/>
      <c r="J46" s="12"/>
      <c r="K46" s="138"/>
      <c r="L46" s="138"/>
      <c r="M46" s="138"/>
      <c r="N46" s="126"/>
      <c r="O46" s="126"/>
      <c r="P46" s="126"/>
      <c r="Q46" s="13"/>
      <c r="R46" s="4"/>
      <c r="S46" s="4"/>
      <c r="T46" s="4"/>
      <c r="U46" s="4"/>
      <c r="V46" s="4"/>
      <c r="W46" s="4"/>
      <c r="X46" s="4"/>
    </row>
    <row r="47" spans="1:24" x14ac:dyDescent="0.2">
      <c r="A47" s="138"/>
      <c r="B47" s="138"/>
      <c r="C47" s="139"/>
      <c r="D47" s="141"/>
      <c r="E47" s="140"/>
      <c r="F47" s="140"/>
      <c r="G47" s="140"/>
      <c r="H47" s="140"/>
      <c r="I47" s="118"/>
      <c r="J47" s="12"/>
      <c r="K47" s="138"/>
      <c r="L47" s="138"/>
      <c r="M47" s="138"/>
      <c r="N47" s="126"/>
      <c r="O47" s="126"/>
      <c r="P47" s="126"/>
      <c r="Q47" s="13"/>
      <c r="R47" s="4"/>
      <c r="S47" s="4"/>
      <c r="T47" s="4"/>
      <c r="U47" s="4"/>
      <c r="V47" s="4"/>
      <c r="W47" s="4"/>
      <c r="X47" s="4"/>
    </row>
    <row r="48" spans="1:24" x14ac:dyDescent="0.2">
      <c r="A48" s="138"/>
      <c r="B48" s="138"/>
      <c r="C48" s="139"/>
      <c r="D48" s="141"/>
      <c r="E48" s="140"/>
      <c r="F48" s="140"/>
      <c r="G48" s="140"/>
      <c r="H48" s="140"/>
      <c r="I48" s="118"/>
      <c r="J48" s="12"/>
      <c r="K48" s="138"/>
      <c r="L48" s="138"/>
      <c r="M48" s="138"/>
      <c r="N48" s="126"/>
      <c r="O48" s="126"/>
      <c r="P48" s="126"/>
      <c r="Q48" s="13"/>
      <c r="R48" s="4"/>
      <c r="S48" s="4"/>
      <c r="T48" s="4"/>
      <c r="U48" s="4"/>
      <c r="V48" s="4"/>
      <c r="W48" s="4"/>
      <c r="X48" s="4"/>
    </row>
    <row r="49" spans="1:24" x14ac:dyDescent="0.2">
      <c r="A49" s="138"/>
      <c r="B49" s="138"/>
      <c r="C49" s="139"/>
      <c r="D49" s="141"/>
      <c r="E49" s="140"/>
      <c r="F49" s="140"/>
      <c r="G49" s="140"/>
      <c r="H49" s="140"/>
      <c r="I49" s="118"/>
      <c r="J49" s="12"/>
      <c r="K49" s="138"/>
      <c r="L49" s="138"/>
      <c r="M49" s="138"/>
      <c r="N49" s="126"/>
      <c r="O49" s="126"/>
      <c r="P49" s="126"/>
      <c r="Q49" s="13"/>
      <c r="R49" s="4"/>
      <c r="S49" s="4"/>
      <c r="T49" s="4"/>
      <c r="U49" s="4"/>
      <c r="V49" s="4"/>
      <c r="W49" s="4"/>
      <c r="X49" s="4"/>
    </row>
    <row r="50" spans="1:24" x14ac:dyDescent="0.2">
      <c r="A50" s="138"/>
      <c r="B50" s="138"/>
      <c r="C50" s="139"/>
      <c r="D50" s="141"/>
      <c r="E50" s="140"/>
      <c r="F50" s="140"/>
      <c r="G50" s="140"/>
      <c r="H50" s="140"/>
      <c r="I50" s="118"/>
      <c r="J50" s="12"/>
      <c r="K50" s="138"/>
      <c r="L50" s="138"/>
      <c r="M50" s="138"/>
      <c r="N50" s="126"/>
      <c r="O50" s="126"/>
      <c r="P50" s="126"/>
      <c r="Q50" s="13"/>
      <c r="R50" s="4"/>
      <c r="S50" s="4"/>
      <c r="T50" s="4"/>
      <c r="U50" s="4"/>
      <c r="V50" s="4"/>
      <c r="W50" s="4"/>
      <c r="X50" s="4"/>
    </row>
    <row r="51" spans="1:24" x14ac:dyDescent="0.2">
      <c r="A51" s="138"/>
      <c r="B51" s="138"/>
      <c r="C51" s="139"/>
      <c r="D51" s="141"/>
      <c r="E51" s="140"/>
      <c r="F51" s="140"/>
      <c r="G51" s="140"/>
      <c r="H51" s="140"/>
      <c r="I51" s="118"/>
      <c r="J51" s="12"/>
      <c r="K51" s="138"/>
      <c r="L51" s="138"/>
      <c r="M51" s="138"/>
      <c r="N51" s="126"/>
      <c r="O51" s="126"/>
      <c r="P51" s="126"/>
      <c r="Q51" s="13"/>
      <c r="R51" s="4"/>
      <c r="S51" s="4"/>
      <c r="T51" s="4"/>
      <c r="U51" s="4"/>
      <c r="V51" s="4"/>
      <c r="W51" s="4"/>
      <c r="X51" s="4"/>
    </row>
    <row r="52" spans="1:24" x14ac:dyDescent="0.2">
      <c r="A52" s="138"/>
      <c r="B52" s="138"/>
      <c r="C52" s="139"/>
      <c r="D52" s="141"/>
      <c r="E52" s="142"/>
      <c r="F52" s="140"/>
      <c r="G52" s="140"/>
      <c r="H52" s="140"/>
      <c r="I52" s="118"/>
      <c r="J52" s="12"/>
      <c r="K52" s="138"/>
      <c r="L52" s="138"/>
      <c r="M52" s="138"/>
      <c r="N52" s="126"/>
      <c r="O52" s="126"/>
      <c r="P52" s="126"/>
      <c r="Q52" s="13"/>
      <c r="R52" s="4"/>
      <c r="S52" s="4"/>
      <c r="T52" s="4"/>
      <c r="U52" s="4"/>
      <c r="V52" s="4"/>
      <c r="W52" s="4"/>
      <c r="X52" s="4"/>
    </row>
    <row r="53" spans="1:24" x14ac:dyDescent="0.2">
      <c r="A53" s="138"/>
      <c r="B53" s="138"/>
      <c r="C53" s="139"/>
      <c r="D53" s="141"/>
      <c r="E53" s="140"/>
      <c r="F53" s="140"/>
      <c r="G53" s="140"/>
      <c r="H53" s="140"/>
      <c r="I53" s="118"/>
      <c r="J53" s="12"/>
      <c r="K53" s="138"/>
      <c r="L53" s="138"/>
      <c r="M53" s="138"/>
      <c r="N53" s="126"/>
      <c r="O53" s="126"/>
      <c r="P53" s="126"/>
      <c r="Q53" s="13"/>
      <c r="R53" s="4"/>
      <c r="S53" s="4"/>
      <c r="T53" s="4"/>
      <c r="U53" s="4"/>
      <c r="V53" s="4"/>
      <c r="W53" s="4"/>
      <c r="X53" s="4"/>
    </row>
    <row r="54" spans="1:24" x14ac:dyDescent="0.2">
      <c r="A54" s="138"/>
      <c r="B54" s="138"/>
      <c r="C54" s="139"/>
      <c r="D54" s="141"/>
      <c r="E54" s="140"/>
      <c r="F54" s="140"/>
      <c r="G54" s="140"/>
      <c r="H54" s="140"/>
      <c r="I54" s="118"/>
      <c r="J54" s="12"/>
      <c r="K54" s="138"/>
      <c r="L54" s="138"/>
      <c r="M54" s="138"/>
      <c r="N54" s="126"/>
      <c r="O54" s="126"/>
      <c r="P54" s="126"/>
      <c r="Q54" s="13"/>
      <c r="R54" s="4"/>
      <c r="S54" s="4"/>
      <c r="T54" s="4"/>
      <c r="U54" s="4"/>
      <c r="V54" s="4"/>
      <c r="W54" s="4"/>
      <c r="X54" s="4"/>
    </row>
    <row r="55" spans="1:24" x14ac:dyDescent="0.2">
      <c r="A55" s="138"/>
      <c r="B55" s="138"/>
      <c r="C55" s="139"/>
      <c r="D55" s="141"/>
      <c r="E55" s="140"/>
      <c r="F55" s="140"/>
      <c r="G55" s="140"/>
      <c r="H55" s="140"/>
      <c r="I55" s="118"/>
      <c r="J55" s="12"/>
      <c r="K55" s="138"/>
      <c r="L55" s="138"/>
      <c r="M55" s="138"/>
      <c r="N55" s="126"/>
      <c r="O55" s="126"/>
      <c r="P55" s="126"/>
      <c r="Q55" s="13"/>
      <c r="R55" s="4"/>
      <c r="S55" s="4"/>
      <c r="T55" s="4"/>
      <c r="U55" s="4"/>
      <c r="V55" s="4"/>
      <c r="W55" s="4"/>
      <c r="X55" s="4"/>
    </row>
    <row r="56" spans="1:24" x14ac:dyDescent="0.2">
      <c r="A56" s="138"/>
      <c r="B56" s="138"/>
      <c r="C56" s="139"/>
      <c r="D56" s="141"/>
      <c r="E56" s="140"/>
      <c r="F56" s="140"/>
      <c r="G56" s="140"/>
      <c r="H56" s="140"/>
      <c r="I56" s="118"/>
      <c r="J56" s="12"/>
      <c r="K56" s="138"/>
      <c r="L56" s="138"/>
      <c r="M56" s="138"/>
      <c r="N56" s="126"/>
      <c r="O56" s="126"/>
      <c r="P56" s="126"/>
      <c r="Q56" s="13"/>
      <c r="R56" s="4"/>
      <c r="S56" s="4"/>
      <c r="T56" s="4"/>
      <c r="U56" s="4"/>
      <c r="V56" s="4"/>
      <c r="W56" s="4"/>
      <c r="X56" s="4"/>
    </row>
    <row r="57" spans="1:24" x14ac:dyDescent="0.2">
      <c r="A57" s="138"/>
      <c r="B57" s="138"/>
      <c r="C57" s="139"/>
      <c r="D57" s="141"/>
      <c r="E57" s="140"/>
      <c r="F57" s="140"/>
      <c r="G57" s="140"/>
      <c r="H57" s="140"/>
      <c r="I57" s="118"/>
      <c r="J57" s="12"/>
      <c r="K57" s="138"/>
      <c r="L57" s="138"/>
      <c r="M57" s="138"/>
      <c r="N57" s="126"/>
      <c r="O57" s="126"/>
      <c r="P57" s="126"/>
      <c r="Q57" s="13"/>
      <c r="R57" s="4"/>
      <c r="S57" s="4"/>
      <c r="T57" s="4"/>
      <c r="U57" s="4"/>
      <c r="V57" s="4"/>
      <c r="W57" s="4"/>
      <c r="X57" s="4"/>
    </row>
    <row r="58" spans="1:24" x14ac:dyDescent="0.2">
      <c r="A58" s="138"/>
      <c r="B58" s="138"/>
      <c r="C58" s="139"/>
      <c r="D58" s="141"/>
      <c r="E58" s="140"/>
      <c r="F58" s="140"/>
      <c r="G58" s="140"/>
      <c r="H58" s="140"/>
      <c r="I58" s="118"/>
      <c r="J58" s="12"/>
      <c r="K58" s="138"/>
      <c r="L58" s="138"/>
      <c r="M58" s="138"/>
      <c r="N58" s="126"/>
      <c r="O58" s="126"/>
      <c r="P58" s="126"/>
      <c r="Q58" s="13"/>
      <c r="R58" s="4"/>
      <c r="S58" s="4"/>
      <c r="T58" s="4"/>
      <c r="U58" s="4"/>
      <c r="V58" s="4"/>
      <c r="W58" s="4"/>
      <c r="X58" s="4"/>
    </row>
  </sheetData>
  <autoFilter ref="A10:Q56"/>
  <pageMargins left="0.19685039370078741" right="0.15748031496062992" top="0.98425196850393704" bottom="0.98425196850393704" header="0.51181102362204722" footer="0.51181102362204722"/>
  <pageSetup scale="65" orientation="landscape" r:id="rId1"/>
  <headerFooter alignWithMargins="0"/>
  <drawing r:id="rId2"/>
  <legacyDrawing r:id="rId3"/>
  <controls>
    <mc:AlternateContent xmlns:mc="http://schemas.openxmlformats.org/markup-compatibility/2006">
      <mc:Choice Requires="x14">
        <control shapeId="130049" r:id="rId4" name="CommandButton2001">
          <controlPr defaultSize="0" autoLine="0" r:id="rId5">
            <anchor moveWithCells="1">
              <from>
                <xdr:col>0</xdr:col>
                <xdr:colOff>0</xdr:colOff>
                <xdr:row>1</xdr:row>
                <xdr:rowOff>19050</xdr:rowOff>
              </from>
              <to>
                <xdr:col>3</xdr:col>
                <xdr:colOff>0</xdr:colOff>
                <xdr:row>3</xdr:row>
                <xdr:rowOff>161925</xdr:rowOff>
              </to>
            </anchor>
          </controlPr>
        </control>
      </mc:Choice>
      <mc:Fallback>
        <control shapeId="130049" r:id="rId4" name="CommandButton2001"/>
      </mc:Fallback>
    </mc:AlternateContent>
    <mc:AlternateContent xmlns:mc="http://schemas.openxmlformats.org/markup-compatibility/2006">
      <mc:Choice Requires="x14">
        <control shapeId="130050" r:id="rId6" name="CommandButton2003">
          <controlPr defaultSize="0" autoLine="0" autoPict="0" r:id="rId7">
            <anchor moveWithCells="1">
              <from>
                <xdr:col>12</xdr:col>
                <xdr:colOff>19050</xdr:colOff>
                <xdr:row>0</xdr:row>
                <xdr:rowOff>152400</xdr:rowOff>
              </from>
              <to>
                <xdr:col>12</xdr:col>
                <xdr:colOff>1038225</xdr:colOff>
                <xdr:row>3</xdr:row>
                <xdr:rowOff>142875</xdr:rowOff>
              </to>
            </anchor>
          </controlPr>
        </control>
      </mc:Choice>
      <mc:Fallback>
        <control shapeId="130050" r:id="rId6" name="CommandButton2003"/>
      </mc:Fallback>
    </mc:AlternateContent>
    <mc:AlternateContent xmlns:mc="http://schemas.openxmlformats.org/markup-compatibility/2006">
      <mc:Choice Requires="x14">
        <control shapeId="130051" r:id="rId8" name="CommandButton2002">
          <controlPr defaultSize="0" autoLine="0" autoPict="0" r:id="rId9">
            <anchor moveWithCells="1">
              <from>
                <xdr:col>6</xdr:col>
                <xdr:colOff>9525</xdr:colOff>
                <xdr:row>1</xdr:row>
                <xdr:rowOff>9525</xdr:rowOff>
              </from>
              <to>
                <xdr:col>8</xdr:col>
                <xdr:colOff>0</xdr:colOff>
                <xdr:row>3</xdr:row>
                <xdr:rowOff>152400</xdr:rowOff>
              </to>
            </anchor>
          </controlPr>
        </control>
      </mc:Choice>
      <mc:Fallback>
        <control shapeId="130051" r:id="rId8" name="CommandButton200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BD182"/>
  <sheetViews>
    <sheetView tabSelected="1" topLeftCell="C1" zoomScale="85" zoomScaleNormal="85" workbookViewId="0">
      <pane ySplit="9" topLeftCell="A10" activePane="bottomLeft" state="frozen"/>
      <selection pane="bottomLeft" activeCell="K17" sqref="K17"/>
    </sheetView>
  </sheetViews>
  <sheetFormatPr defaultColWidth="15.28515625" defaultRowHeight="12.75" x14ac:dyDescent="0.2"/>
  <cols>
    <col min="1" max="1" width="5.5703125" hidden="1" customWidth="1"/>
    <col min="2" max="2" width="5" hidden="1" customWidth="1"/>
    <col min="3" max="3" width="6.7109375" customWidth="1"/>
    <col min="4" max="4" width="12.5703125" hidden="1" customWidth="1"/>
    <col min="5" max="5" width="24" hidden="1" customWidth="1"/>
    <col min="6" max="6" width="15.7109375" customWidth="1"/>
    <col min="7" max="7" width="10.85546875" bestFit="1" customWidth="1"/>
    <col min="8" max="8" width="19" hidden="1" customWidth="1"/>
    <col min="9" max="9" width="10.28515625" hidden="1" customWidth="1"/>
    <col min="10" max="10" width="32.7109375" customWidth="1"/>
    <col min="11" max="11" width="42.140625" style="122" customWidth="1"/>
    <col min="12" max="12" width="12.85546875" customWidth="1"/>
    <col min="13" max="13" width="21.85546875" customWidth="1"/>
    <col min="14" max="14" width="8.7109375" hidden="1" customWidth="1"/>
    <col min="15" max="15" width="19.28515625" customWidth="1"/>
    <col min="16" max="16" width="9.5703125" customWidth="1"/>
    <col min="17" max="17" width="10.5703125" customWidth="1"/>
    <col min="18" max="18" width="12.85546875" hidden="1" customWidth="1"/>
    <col min="19" max="19" width="8" hidden="1" customWidth="1"/>
    <col min="20" max="20" width="17" hidden="1" customWidth="1"/>
    <col min="21" max="21" width="9.7109375" hidden="1" customWidth="1"/>
    <col min="22" max="22" width="10" hidden="1" customWidth="1"/>
    <col min="23" max="23" width="24" hidden="1" customWidth="1"/>
    <col min="24" max="24" width="11.140625" hidden="1" customWidth="1"/>
    <col min="25" max="25" width="12.140625" hidden="1" customWidth="1"/>
    <col min="26" max="26" width="0" hidden="1" customWidth="1"/>
    <col min="27" max="27" width="10.28515625" hidden="1" customWidth="1"/>
    <col min="28" max="28" width="9.140625" hidden="1" customWidth="1"/>
    <col min="29" max="29" width="12.28515625" customWidth="1"/>
    <col min="30" max="30" width="9.140625" customWidth="1"/>
  </cols>
  <sheetData>
    <row r="1" spans="1:56" x14ac:dyDescent="0.2">
      <c r="A1" s="1">
        <v>1</v>
      </c>
      <c r="B1" s="1">
        <v>2</v>
      </c>
      <c r="C1" s="1">
        <v>3</v>
      </c>
      <c r="D1" s="1">
        <v>4</v>
      </c>
      <c r="E1" s="1">
        <v>5</v>
      </c>
      <c r="F1" s="1">
        <v>6</v>
      </c>
      <c r="G1" s="1">
        <v>7</v>
      </c>
      <c r="H1" s="1">
        <v>8</v>
      </c>
      <c r="I1" s="1">
        <v>9</v>
      </c>
      <c r="J1" s="1">
        <v>10</v>
      </c>
      <c r="K1" s="122">
        <v>11</v>
      </c>
      <c r="L1" s="1">
        <v>12</v>
      </c>
      <c r="M1" s="1">
        <v>13</v>
      </c>
      <c r="N1" s="1">
        <v>14</v>
      </c>
      <c r="O1" s="1">
        <v>15</v>
      </c>
      <c r="P1" s="1">
        <v>16</v>
      </c>
      <c r="Q1" s="1">
        <v>17</v>
      </c>
      <c r="R1" s="1">
        <v>18</v>
      </c>
      <c r="S1" s="1">
        <v>19</v>
      </c>
      <c r="T1" s="1">
        <v>20</v>
      </c>
      <c r="U1" s="1">
        <v>21</v>
      </c>
      <c r="V1" s="1">
        <v>22</v>
      </c>
      <c r="W1" s="1">
        <v>23</v>
      </c>
      <c r="X1" s="1">
        <v>24</v>
      </c>
      <c r="Y1" s="1">
        <v>25</v>
      </c>
      <c r="Z1" s="1">
        <v>26</v>
      </c>
      <c r="AA1" s="1">
        <v>27</v>
      </c>
      <c r="AB1" s="1">
        <v>28</v>
      </c>
      <c r="AC1" s="1">
        <v>29</v>
      </c>
      <c r="AD1" s="1">
        <v>30</v>
      </c>
    </row>
    <row r="2" spans="1:56" x14ac:dyDescent="0.2">
      <c r="O2" s="3" t="s">
        <v>67</v>
      </c>
      <c r="P2" s="3" t="s">
        <v>154</v>
      </c>
      <c r="R2" s="53"/>
      <c r="S2" s="124"/>
    </row>
    <row r="3" spans="1:56" x14ac:dyDescent="0.2">
      <c r="O3" s="118" t="s">
        <v>142</v>
      </c>
      <c r="P3" s="12" t="s">
        <v>210</v>
      </c>
      <c r="R3" s="53"/>
      <c r="S3" s="124"/>
    </row>
    <row r="4" spans="1:56" ht="13.5" thickBot="1" x14ac:dyDescent="0.25">
      <c r="O4" s="118" t="s">
        <v>143</v>
      </c>
      <c r="P4" s="12" t="s">
        <v>219</v>
      </c>
    </row>
    <row r="5" spans="1:56" ht="13.5" thickBot="1" x14ac:dyDescent="0.25">
      <c r="C5" s="48" t="s">
        <v>305</v>
      </c>
      <c r="H5" s="109" t="s">
        <v>225</v>
      </c>
      <c r="O5" s="118" t="s">
        <v>145</v>
      </c>
      <c r="P5" s="12" t="s">
        <v>147</v>
      </c>
    </row>
    <row r="6" spans="1:56" x14ac:dyDescent="0.2">
      <c r="C6" s="46"/>
      <c r="D6" s="46"/>
      <c r="O6" s="118" t="s">
        <v>145</v>
      </c>
      <c r="P6" s="12" t="s">
        <v>148</v>
      </c>
    </row>
    <row r="7" spans="1:56" x14ac:dyDescent="0.2">
      <c r="H7" s="198"/>
      <c r="O7" s="118" t="s">
        <v>145</v>
      </c>
      <c r="P7" s="12" t="s">
        <v>149</v>
      </c>
      <c r="R7">
        <v>1000</v>
      </c>
    </row>
    <row r="8" spans="1:56" x14ac:dyDescent="0.2">
      <c r="J8" s="5"/>
      <c r="K8" s="747"/>
      <c r="O8" s="734" t="s">
        <v>760</v>
      </c>
      <c r="P8" s="735" t="s">
        <v>885</v>
      </c>
    </row>
    <row r="9" spans="1:56" ht="33.75" x14ac:dyDescent="0.2">
      <c r="A9" s="736" t="s">
        <v>15</v>
      </c>
      <c r="B9" s="737" t="s">
        <v>231</v>
      </c>
      <c r="C9" s="737" t="s">
        <v>232</v>
      </c>
      <c r="D9" s="736" t="s">
        <v>233</v>
      </c>
      <c r="E9" s="738" t="s">
        <v>234</v>
      </c>
      <c r="F9" s="738" t="s">
        <v>235</v>
      </c>
      <c r="G9" s="736" t="s">
        <v>236</v>
      </c>
      <c r="H9" s="736" t="s">
        <v>237</v>
      </c>
      <c r="I9" s="736" t="s">
        <v>238</v>
      </c>
      <c r="J9" s="736" t="s">
        <v>164</v>
      </c>
      <c r="K9" s="748" t="s">
        <v>239</v>
      </c>
      <c r="L9" s="739" t="s">
        <v>240</v>
      </c>
      <c r="M9" s="740" t="s">
        <v>241</v>
      </c>
      <c r="N9" s="741" t="s">
        <v>242</v>
      </c>
      <c r="O9" s="897" t="s">
        <v>243</v>
      </c>
      <c r="P9" s="897"/>
      <c r="Q9" s="897"/>
      <c r="R9" s="742"/>
      <c r="S9" s="743" t="s">
        <v>244</v>
      </c>
      <c r="T9" s="743" t="s">
        <v>245</v>
      </c>
      <c r="U9" s="741" t="s">
        <v>246</v>
      </c>
      <c r="V9" s="736" t="s">
        <v>247</v>
      </c>
      <c r="W9" s="736" t="s">
        <v>248</v>
      </c>
      <c r="X9" s="744" t="s">
        <v>249</v>
      </c>
      <c r="Y9" s="745" t="s">
        <v>250</v>
      </c>
      <c r="Z9" s="736" t="s">
        <v>251</v>
      </c>
      <c r="AA9" s="736" t="s">
        <v>252</v>
      </c>
      <c r="AB9" s="736" t="s">
        <v>257</v>
      </c>
      <c r="AC9" s="746" t="s">
        <v>258</v>
      </c>
      <c r="AD9" s="746" t="s">
        <v>259</v>
      </c>
      <c r="AE9" s="4"/>
      <c r="AF9" s="4"/>
    </row>
    <row r="10" spans="1:56" x14ac:dyDescent="0.2">
      <c r="A10" s="851"/>
      <c r="B10" s="852"/>
      <c r="C10" s="852"/>
      <c r="D10" s="851"/>
      <c r="E10" s="853"/>
      <c r="F10" s="854"/>
      <c r="G10" s="851"/>
      <c r="H10" s="851"/>
      <c r="I10" s="851"/>
      <c r="J10" s="855"/>
      <c r="K10" s="856"/>
      <c r="L10" s="857"/>
      <c r="M10" s="858"/>
      <c r="N10" s="859"/>
      <c r="O10" s="860"/>
      <c r="P10" s="860"/>
      <c r="Q10" s="861"/>
      <c r="R10" s="862"/>
      <c r="S10" s="313"/>
      <c r="T10" s="313"/>
      <c r="U10" s="859"/>
      <c r="V10" s="851"/>
      <c r="W10" s="851"/>
      <c r="X10" s="863"/>
      <c r="Y10" s="864"/>
      <c r="Z10" s="851"/>
      <c r="AA10" s="851"/>
      <c r="AB10" s="851"/>
      <c r="AC10" s="865"/>
      <c r="AD10" s="865"/>
      <c r="AE10" s="4"/>
      <c r="AF10" s="4"/>
    </row>
    <row r="11" spans="1:56" s="466" customFormat="1" ht="14.25" x14ac:dyDescent="0.2">
      <c r="A11" s="459"/>
      <c r="B11" s="459"/>
      <c r="C11" s="459"/>
      <c r="D11" s="459"/>
      <c r="E11" s="481"/>
      <c r="F11" s="849">
        <v>42622</v>
      </c>
      <c r="G11" s="752"/>
      <c r="H11" s="459"/>
      <c r="I11" s="459"/>
      <c r="J11" s="647"/>
      <c r="K11" s="610" t="s">
        <v>767</v>
      </c>
      <c r="L11" s="647">
        <v>44118941</v>
      </c>
      <c r="M11" s="647">
        <v>95525762</v>
      </c>
      <c r="N11" s="469"/>
      <c r="O11" s="118" t="s">
        <v>143</v>
      </c>
      <c r="P11" s="12" t="s">
        <v>219</v>
      </c>
      <c r="Q11" s="806">
        <v>67000</v>
      </c>
      <c r="R11" s="751"/>
      <c r="S11" s="751"/>
      <c r="T11" s="459"/>
      <c r="U11" s="469"/>
      <c r="V11" s="459"/>
      <c r="W11" s="467"/>
      <c r="X11" s="459"/>
      <c r="Y11" s="469"/>
      <c r="Z11" s="467"/>
      <c r="AA11" s="459"/>
      <c r="AB11" s="459"/>
      <c r="AC11" s="832"/>
      <c r="AD11" s="803"/>
      <c r="AF11" s="481"/>
      <c r="AG11" s="682"/>
      <c r="AH11" s="459"/>
      <c r="AJ11" s="459"/>
      <c r="AK11" s="459"/>
      <c r="AL11" s="683"/>
      <c r="AM11" s="684"/>
      <c r="AN11" s="683"/>
      <c r="AO11" s="469"/>
      <c r="AP11" s="118"/>
      <c r="AQ11" s="12"/>
      <c r="AR11" s="685"/>
      <c r="AS11" s="469"/>
      <c r="AT11" s="469"/>
      <c r="AU11" s="459"/>
      <c r="AV11" s="469"/>
      <c r="AW11" s="459"/>
      <c r="AX11" s="467"/>
      <c r="AY11" s="459"/>
      <c r="AZ11" s="469"/>
      <c r="BA11" s="467"/>
      <c r="BD11" s="686"/>
    </row>
    <row r="12" spans="1:56" s="466" customFormat="1" ht="14.25" x14ac:dyDescent="0.2">
      <c r="A12" s="459"/>
      <c r="B12" s="459"/>
      <c r="C12" s="459"/>
      <c r="D12" s="459"/>
      <c r="E12" s="481"/>
      <c r="F12" s="849">
        <v>42622</v>
      </c>
      <c r="G12" s="459"/>
      <c r="H12" s="459"/>
      <c r="I12" s="459"/>
      <c r="J12" s="647"/>
      <c r="K12" s="610" t="s">
        <v>767</v>
      </c>
      <c r="L12" s="647">
        <v>44118941</v>
      </c>
      <c r="M12" s="647">
        <v>95830543</v>
      </c>
      <c r="N12" s="469"/>
      <c r="O12" s="118" t="s">
        <v>143</v>
      </c>
      <c r="P12" s="12" t="s">
        <v>219</v>
      </c>
      <c r="Q12" s="806">
        <v>65500</v>
      </c>
      <c r="R12" s="751"/>
      <c r="S12" s="751"/>
      <c r="T12" s="459"/>
      <c r="U12" s="469"/>
      <c r="V12" s="459"/>
      <c r="W12" s="467"/>
      <c r="X12" s="459"/>
      <c r="Y12" s="469"/>
      <c r="Z12" s="467"/>
      <c r="AA12" s="459"/>
      <c r="AB12" s="459"/>
      <c r="AC12" s="833"/>
      <c r="AD12" s="803"/>
      <c r="AF12" s="481"/>
      <c r="AG12" s="682"/>
      <c r="AH12" s="459"/>
      <c r="AJ12" s="459"/>
      <c r="AK12" s="459"/>
      <c r="AL12" s="683"/>
      <c r="AM12" s="684"/>
      <c r="AN12" s="683"/>
      <c r="AO12" s="469"/>
      <c r="AP12" s="118"/>
      <c r="AQ12" s="12"/>
      <c r="AR12" s="685"/>
      <c r="AS12" s="469"/>
      <c r="AT12" s="469"/>
      <c r="AU12" s="459"/>
      <c r="AV12" s="469"/>
      <c r="AW12" s="459"/>
      <c r="AX12" s="467"/>
      <c r="AY12" s="459"/>
      <c r="AZ12" s="469"/>
      <c r="BA12" s="467"/>
      <c r="BD12" s="686"/>
    </row>
    <row r="13" spans="1:56" s="466" customFormat="1" ht="14.25" x14ac:dyDescent="0.2">
      <c r="A13" s="459"/>
      <c r="B13" s="459"/>
      <c r="C13" s="459"/>
      <c r="D13" s="459"/>
      <c r="E13" s="481"/>
      <c r="F13" s="849">
        <v>42622</v>
      </c>
      <c r="G13" s="459"/>
      <c r="H13" s="459"/>
      <c r="I13" s="459"/>
      <c r="J13" s="647"/>
      <c r="K13" s="610" t="s">
        <v>767</v>
      </c>
      <c r="L13" s="647">
        <v>44118941</v>
      </c>
      <c r="M13" s="647">
        <v>95538781</v>
      </c>
      <c r="N13" s="469"/>
      <c r="O13" s="118" t="s">
        <v>143</v>
      </c>
      <c r="P13" s="12" t="s">
        <v>219</v>
      </c>
      <c r="Q13" s="806">
        <v>65450</v>
      </c>
      <c r="R13" s="751"/>
      <c r="S13" s="751"/>
      <c r="T13" s="459"/>
      <c r="U13" s="469"/>
      <c r="V13" s="459"/>
      <c r="W13" s="467"/>
      <c r="X13" s="459"/>
      <c r="Y13" s="469"/>
      <c r="Z13" s="467"/>
      <c r="AA13" s="459"/>
      <c r="AB13" s="459"/>
      <c r="AC13" s="833"/>
      <c r="AD13" s="803"/>
      <c r="AF13" s="481"/>
      <c r="AG13" s="682"/>
      <c r="AH13" s="459"/>
      <c r="AJ13" s="459"/>
      <c r="AK13" s="459"/>
      <c r="AL13" s="683"/>
      <c r="AM13" s="684"/>
      <c r="AN13" s="683"/>
      <c r="AO13" s="469"/>
      <c r="AP13" s="118"/>
      <c r="AQ13" s="12"/>
      <c r="AR13" s="685"/>
      <c r="AS13" s="469"/>
      <c r="AT13" s="469"/>
      <c r="AU13" s="459"/>
      <c r="AV13" s="469"/>
      <c r="AW13" s="459"/>
      <c r="AX13" s="467"/>
      <c r="AY13" s="459"/>
      <c r="AZ13" s="469"/>
      <c r="BA13" s="467"/>
      <c r="BD13" s="686"/>
    </row>
    <row r="14" spans="1:56" s="466" customFormat="1" ht="14.25" x14ac:dyDescent="0.2">
      <c r="A14" s="459"/>
      <c r="B14" s="459"/>
      <c r="C14" s="459"/>
      <c r="D14" s="459"/>
      <c r="E14" s="481"/>
      <c r="F14" s="849">
        <v>42622</v>
      </c>
      <c r="G14" s="459"/>
      <c r="H14" s="459"/>
      <c r="I14" s="459"/>
      <c r="J14" s="647"/>
      <c r="K14" s="610" t="s">
        <v>767</v>
      </c>
      <c r="L14" s="647">
        <v>44118941</v>
      </c>
      <c r="M14" s="647">
        <v>95829040</v>
      </c>
      <c r="N14" s="469"/>
      <c r="O14" s="118" t="s">
        <v>143</v>
      </c>
      <c r="P14" s="12" t="s">
        <v>219</v>
      </c>
      <c r="Q14" s="806">
        <v>64350</v>
      </c>
      <c r="R14" s="751"/>
      <c r="S14" s="751"/>
      <c r="T14" s="459"/>
      <c r="U14" s="469"/>
      <c r="V14" s="459"/>
      <c r="W14" s="467"/>
      <c r="X14" s="459"/>
      <c r="Y14" s="469"/>
      <c r="Z14" s="467"/>
      <c r="AA14" s="459"/>
      <c r="AB14" s="459"/>
      <c r="AC14" s="833"/>
      <c r="AD14" s="803"/>
      <c r="AF14" s="481"/>
      <c r="AG14" s="682"/>
      <c r="AH14" s="459"/>
      <c r="AJ14" s="459"/>
      <c r="AK14" s="459"/>
      <c r="AL14" s="683"/>
      <c r="AM14" s="684"/>
      <c r="AN14" s="683"/>
      <c r="AO14" s="469"/>
      <c r="AP14" s="118"/>
      <c r="AQ14" s="12"/>
      <c r="AR14" s="685"/>
      <c r="AS14" s="469"/>
      <c r="AT14" s="469"/>
      <c r="AU14" s="459"/>
      <c r="AV14" s="469"/>
      <c r="AW14" s="459"/>
      <c r="AX14" s="467"/>
      <c r="AY14" s="459"/>
      <c r="AZ14" s="469"/>
      <c r="BA14" s="467"/>
      <c r="BD14" s="686"/>
    </row>
    <row r="15" spans="1:56" s="466" customFormat="1" ht="14.25" x14ac:dyDescent="0.2">
      <c r="A15" s="459"/>
      <c r="B15" s="459"/>
      <c r="C15" s="459"/>
      <c r="D15" s="459"/>
      <c r="E15" s="481"/>
      <c r="F15" s="849">
        <v>42622</v>
      </c>
      <c r="G15" s="459"/>
      <c r="H15" s="459"/>
      <c r="I15" s="459"/>
      <c r="J15" s="647"/>
      <c r="K15" s="610" t="s">
        <v>767</v>
      </c>
      <c r="L15" s="647">
        <v>44118941</v>
      </c>
      <c r="M15" s="647">
        <v>95271441</v>
      </c>
      <c r="N15" s="469"/>
      <c r="O15" s="118" t="s">
        <v>143</v>
      </c>
      <c r="P15" s="12" t="s">
        <v>219</v>
      </c>
      <c r="Q15" s="806">
        <v>69150</v>
      </c>
      <c r="R15" s="751"/>
      <c r="S15" s="751"/>
      <c r="T15" s="459"/>
      <c r="U15" s="469"/>
      <c r="V15" s="459"/>
      <c r="W15" s="467"/>
      <c r="X15" s="459"/>
      <c r="Y15" s="469"/>
      <c r="Z15" s="467"/>
      <c r="AA15" s="459"/>
      <c r="AB15" s="459"/>
      <c r="AC15" s="833"/>
      <c r="AD15" s="803"/>
      <c r="AF15" s="481"/>
      <c r="AG15" s="682"/>
      <c r="AH15" s="459"/>
      <c r="AJ15" s="459"/>
      <c r="AK15" s="459"/>
      <c r="AL15" s="683"/>
      <c r="AM15" s="684"/>
      <c r="AN15" s="683"/>
      <c r="AO15" s="469"/>
      <c r="AP15" s="118"/>
      <c r="AQ15" s="12"/>
      <c r="AR15" s="685"/>
      <c r="AS15" s="469"/>
      <c r="AT15" s="469"/>
      <c r="AU15" s="459"/>
      <c r="AV15" s="469"/>
      <c r="AW15" s="459"/>
      <c r="AX15" s="467"/>
      <c r="AY15" s="459"/>
      <c r="AZ15" s="469"/>
      <c r="BA15" s="467"/>
      <c r="BD15" s="686"/>
    </row>
    <row r="16" spans="1:56" s="466" customFormat="1" ht="14.25" x14ac:dyDescent="0.2">
      <c r="A16" s="459"/>
      <c r="B16" s="459"/>
      <c r="C16" s="459"/>
      <c r="D16" s="459"/>
      <c r="E16" s="481"/>
      <c r="F16" s="849">
        <v>42622</v>
      </c>
      <c r="G16" s="459"/>
      <c r="H16" s="459"/>
      <c r="I16" s="459"/>
      <c r="J16" s="647"/>
      <c r="K16" s="610" t="s">
        <v>767</v>
      </c>
      <c r="L16" s="647">
        <v>44124923</v>
      </c>
      <c r="M16" s="647">
        <v>95541363</v>
      </c>
      <c r="N16" s="469"/>
      <c r="O16" s="118" t="s">
        <v>143</v>
      </c>
      <c r="P16" s="12" t="s">
        <v>219</v>
      </c>
      <c r="Q16" s="806">
        <v>64950</v>
      </c>
      <c r="R16" s="751"/>
      <c r="S16" s="751"/>
      <c r="T16" s="459"/>
      <c r="U16" s="469"/>
      <c r="V16" s="459"/>
      <c r="W16" s="467"/>
      <c r="X16" s="459"/>
      <c r="Y16" s="469"/>
      <c r="Z16" s="467"/>
      <c r="AA16" s="459"/>
      <c r="AB16" s="459"/>
      <c r="AC16" s="833"/>
      <c r="AD16" s="803"/>
      <c r="AF16" s="481"/>
      <c r="AG16" s="682"/>
      <c r="AH16" s="459"/>
      <c r="AJ16" s="459"/>
      <c r="AK16" s="459"/>
      <c r="AL16" s="683"/>
      <c r="AM16" s="684"/>
      <c r="AN16" s="683"/>
      <c r="AO16" s="469"/>
      <c r="AP16" s="118"/>
      <c r="AQ16" s="12"/>
      <c r="AR16" s="685"/>
      <c r="AS16" s="469"/>
      <c r="AT16" s="469"/>
      <c r="AU16" s="459"/>
      <c r="AV16" s="469"/>
      <c r="AW16" s="459"/>
      <c r="AX16" s="467"/>
      <c r="AY16" s="459"/>
      <c r="AZ16" s="469"/>
      <c r="BA16" s="467"/>
      <c r="BD16" s="686"/>
    </row>
    <row r="17" spans="1:56" s="466" customFormat="1" ht="14.25" x14ac:dyDescent="0.2">
      <c r="A17" s="459"/>
      <c r="B17" s="459"/>
      <c r="C17" s="459"/>
      <c r="D17" s="459"/>
      <c r="E17" s="481"/>
      <c r="F17" s="849">
        <v>42622</v>
      </c>
      <c r="G17" s="459"/>
      <c r="H17" s="459"/>
      <c r="I17" s="459"/>
      <c r="J17" s="647"/>
      <c r="K17" s="610" t="s">
        <v>767</v>
      </c>
      <c r="L17" s="647">
        <v>44124923</v>
      </c>
      <c r="M17" s="647">
        <v>95543930</v>
      </c>
      <c r="N17" s="469"/>
      <c r="O17" s="118" t="s">
        <v>143</v>
      </c>
      <c r="P17" s="12" t="s">
        <v>219</v>
      </c>
      <c r="Q17" s="806">
        <v>65850</v>
      </c>
      <c r="R17" s="751"/>
      <c r="S17" s="751"/>
      <c r="T17" s="459"/>
      <c r="U17" s="469"/>
      <c r="V17" s="459"/>
      <c r="W17" s="467"/>
      <c r="X17" s="459"/>
      <c r="Y17" s="469"/>
      <c r="Z17" s="467"/>
      <c r="AA17" s="459"/>
      <c r="AB17" s="459"/>
      <c r="AC17" s="833"/>
      <c r="AD17" s="803"/>
      <c r="AF17" s="481"/>
      <c r="AG17" s="682"/>
      <c r="AH17" s="459"/>
      <c r="AJ17" s="459"/>
      <c r="AK17" s="459"/>
      <c r="AL17" s="683"/>
      <c r="AM17" s="684"/>
      <c r="AN17" s="683"/>
      <c r="AO17" s="469"/>
      <c r="AP17" s="118"/>
      <c r="AQ17" s="12"/>
      <c r="AR17" s="685"/>
      <c r="AS17" s="469"/>
      <c r="AT17" s="469"/>
      <c r="AU17" s="459"/>
      <c r="AV17" s="469"/>
      <c r="AW17" s="459"/>
      <c r="AX17" s="467"/>
      <c r="AY17" s="459"/>
      <c r="AZ17" s="469"/>
      <c r="BA17" s="467"/>
      <c r="BD17" s="686"/>
    </row>
    <row r="18" spans="1:56" s="466" customFormat="1" ht="14.25" x14ac:dyDescent="0.2">
      <c r="A18" s="459"/>
      <c r="B18" s="459"/>
      <c r="C18" s="459"/>
      <c r="D18" s="459"/>
      <c r="E18" s="481"/>
      <c r="F18" s="849">
        <v>42622</v>
      </c>
      <c r="G18" s="459"/>
      <c r="H18" s="459"/>
      <c r="I18" s="459"/>
      <c r="J18" s="647"/>
      <c r="K18" s="610" t="s">
        <v>767</v>
      </c>
      <c r="L18" s="647">
        <v>44124923</v>
      </c>
      <c r="M18" s="647">
        <v>95369526</v>
      </c>
      <c r="N18" s="469"/>
      <c r="O18" s="118" t="s">
        <v>143</v>
      </c>
      <c r="P18" s="12" t="s">
        <v>219</v>
      </c>
      <c r="Q18" s="806">
        <v>65300</v>
      </c>
      <c r="R18" s="751"/>
      <c r="S18" s="751"/>
      <c r="T18" s="459"/>
      <c r="U18" s="469"/>
      <c r="V18" s="459"/>
      <c r="W18" s="467"/>
      <c r="X18" s="459"/>
      <c r="Y18" s="469"/>
      <c r="Z18" s="467"/>
      <c r="AA18" s="459"/>
      <c r="AB18" s="459"/>
      <c r="AC18" s="833"/>
      <c r="AD18" s="803"/>
      <c r="AF18" s="481"/>
      <c r="AG18" s="682"/>
      <c r="AH18" s="459"/>
      <c r="AJ18" s="459"/>
      <c r="AK18" s="459"/>
      <c r="AL18" s="683"/>
      <c r="AM18" s="684"/>
      <c r="AN18" s="683"/>
      <c r="AO18" s="469"/>
      <c r="AP18" s="118"/>
      <c r="AQ18" s="12"/>
      <c r="AR18" s="685"/>
      <c r="AS18" s="469"/>
      <c r="AT18" s="469"/>
      <c r="AU18" s="459"/>
      <c r="AV18" s="469"/>
      <c r="AW18" s="459"/>
      <c r="AX18" s="467"/>
      <c r="AY18" s="459"/>
      <c r="AZ18" s="469"/>
      <c r="BA18" s="467"/>
      <c r="BD18" s="686"/>
    </row>
    <row r="19" spans="1:56" s="466" customFormat="1" ht="14.25" x14ac:dyDescent="0.2">
      <c r="A19" s="459"/>
      <c r="B19" s="459"/>
      <c r="C19" s="459"/>
      <c r="D19" s="459"/>
      <c r="E19" s="481"/>
      <c r="F19" s="849">
        <v>42622</v>
      </c>
      <c r="G19" s="459"/>
      <c r="H19" s="459"/>
      <c r="I19" s="459"/>
      <c r="J19" s="647"/>
      <c r="K19" s="610" t="s">
        <v>767</v>
      </c>
      <c r="L19" s="647">
        <v>44124923</v>
      </c>
      <c r="M19" s="647">
        <v>95348462</v>
      </c>
      <c r="N19" s="469"/>
      <c r="O19" s="118" t="s">
        <v>143</v>
      </c>
      <c r="P19" s="12" t="s">
        <v>219</v>
      </c>
      <c r="Q19" s="806">
        <v>66550</v>
      </c>
      <c r="R19" s="751"/>
      <c r="S19" s="751"/>
      <c r="T19" s="459"/>
      <c r="U19" s="469"/>
      <c r="V19" s="459"/>
      <c r="W19" s="467"/>
      <c r="X19" s="459"/>
      <c r="Y19" s="469"/>
      <c r="Z19" s="467"/>
      <c r="AA19" s="459"/>
      <c r="AB19" s="459"/>
      <c r="AC19" s="833"/>
      <c r="AD19" s="803"/>
      <c r="AF19" s="481"/>
      <c r="AG19" s="682"/>
      <c r="AH19" s="459"/>
      <c r="AJ19" s="459"/>
      <c r="AK19" s="459"/>
      <c r="AL19" s="683"/>
      <c r="AM19" s="684"/>
      <c r="AN19" s="683"/>
      <c r="AO19" s="469"/>
      <c r="AP19" s="118"/>
      <c r="AQ19" s="12"/>
      <c r="AR19" s="685"/>
      <c r="AS19" s="469"/>
      <c r="AT19" s="469"/>
      <c r="AU19" s="459"/>
      <c r="AV19" s="469"/>
      <c r="AW19" s="459"/>
      <c r="AX19" s="467"/>
      <c r="AY19" s="459"/>
      <c r="AZ19" s="469"/>
      <c r="BA19" s="467"/>
      <c r="BD19" s="686"/>
    </row>
    <row r="20" spans="1:56" s="466" customFormat="1" ht="14.25" x14ac:dyDescent="0.2">
      <c r="A20" s="459"/>
      <c r="B20" s="459"/>
      <c r="C20" s="459"/>
      <c r="D20" s="459"/>
      <c r="E20" s="481"/>
      <c r="F20" s="849">
        <v>42622</v>
      </c>
      <c r="G20" s="459"/>
      <c r="H20" s="459"/>
      <c r="I20" s="459"/>
      <c r="J20" s="647"/>
      <c r="K20" s="610" t="s">
        <v>767</v>
      </c>
      <c r="L20" s="647">
        <v>44124923</v>
      </c>
      <c r="M20" s="647">
        <v>95388724</v>
      </c>
      <c r="N20" s="469"/>
      <c r="O20" s="118" t="s">
        <v>143</v>
      </c>
      <c r="P20" s="12" t="s">
        <v>219</v>
      </c>
      <c r="Q20" s="806">
        <v>65450</v>
      </c>
      <c r="R20" s="751"/>
      <c r="S20" s="751"/>
      <c r="T20" s="459"/>
      <c r="U20" s="469"/>
      <c r="V20" s="459"/>
      <c r="W20" s="467"/>
      <c r="X20" s="459"/>
      <c r="Y20" s="469"/>
      <c r="Z20" s="467"/>
      <c r="AA20" s="459"/>
      <c r="AB20" s="459"/>
      <c r="AC20" s="833"/>
      <c r="AD20" s="803"/>
      <c r="AF20" s="481"/>
      <c r="AG20" s="682"/>
      <c r="AH20" s="459"/>
      <c r="AJ20" s="459"/>
      <c r="AK20" s="459"/>
      <c r="AL20" s="683"/>
      <c r="AM20" s="684"/>
      <c r="AN20" s="683"/>
      <c r="AO20" s="469"/>
      <c r="AP20" s="118"/>
      <c r="AQ20" s="12"/>
      <c r="AR20" s="685"/>
      <c r="AS20" s="469"/>
      <c r="AT20" s="469"/>
      <c r="AU20" s="459"/>
      <c r="AV20" s="469"/>
      <c r="AW20" s="459"/>
      <c r="AX20" s="467"/>
      <c r="AY20" s="459"/>
      <c r="AZ20" s="469"/>
      <c r="BA20" s="467"/>
      <c r="BD20" s="686"/>
    </row>
    <row r="21" spans="1:56" s="466" customFormat="1" ht="14.25" x14ac:dyDescent="0.2">
      <c r="A21" s="459"/>
      <c r="B21" s="459"/>
      <c r="C21" s="459"/>
      <c r="D21" s="459"/>
      <c r="E21" s="481"/>
      <c r="F21" s="849">
        <v>42622</v>
      </c>
      <c r="G21" s="459"/>
      <c r="H21" s="459"/>
      <c r="I21" s="459"/>
      <c r="J21" s="647"/>
      <c r="K21" s="610" t="s">
        <v>712</v>
      </c>
      <c r="L21" s="647">
        <v>40594640</v>
      </c>
      <c r="M21" s="647">
        <v>95615282</v>
      </c>
      <c r="N21" s="469"/>
      <c r="O21" s="118" t="s">
        <v>143</v>
      </c>
      <c r="P21" s="12" t="s">
        <v>219</v>
      </c>
      <c r="Q21" s="806">
        <v>67200</v>
      </c>
      <c r="R21" s="751"/>
      <c r="S21" s="751"/>
      <c r="T21" s="459"/>
      <c r="U21" s="469"/>
      <c r="V21" s="459"/>
      <c r="W21" s="467"/>
      <c r="X21" s="459"/>
      <c r="Y21" s="469"/>
      <c r="Z21" s="467"/>
      <c r="AA21" s="459"/>
      <c r="AB21" s="459"/>
      <c r="AC21" s="833"/>
      <c r="AD21" s="803"/>
      <c r="AF21" s="481"/>
      <c r="AG21" s="682"/>
      <c r="AH21" s="459"/>
      <c r="AJ21" s="459"/>
      <c r="AK21" s="459"/>
      <c r="AL21" s="683"/>
      <c r="AM21" s="684"/>
      <c r="AN21" s="683"/>
      <c r="AO21" s="469"/>
      <c r="AP21" s="118"/>
      <c r="AQ21" s="12"/>
      <c r="AR21" s="685"/>
      <c r="AS21" s="469"/>
      <c r="AT21" s="469"/>
      <c r="AU21" s="459"/>
      <c r="AV21" s="469"/>
      <c r="AW21" s="459"/>
      <c r="AX21" s="467"/>
      <c r="AY21" s="459"/>
      <c r="AZ21" s="469"/>
      <c r="BA21" s="467"/>
      <c r="BD21" s="686"/>
    </row>
    <row r="22" spans="1:56" s="466" customFormat="1" ht="14.25" x14ac:dyDescent="0.2">
      <c r="A22" s="459"/>
      <c r="B22" s="459"/>
      <c r="C22" s="459"/>
      <c r="D22" s="459"/>
      <c r="E22" s="481"/>
      <c r="F22" s="849">
        <v>42622</v>
      </c>
      <c r="G22" s="459"/>
      <c r="H22" s="459"/>
      <c r="I22" s="459"/>
      <c r="J22" s="647"/>
      <c r="K22" s="610" t="s">
        <v>712</v>
      </c>
      <c r="L22" s="647">
        <v>40594640</v>
      </c>
      <c r="M22" s="647">
        <v>95352555</v>
      </c>
      <c r="N22" s="469"/>
      <c r="O22" s="118" t="s">
        <v>143</v>
      </c>
      <c r="P22" s="12" t="s">
        <v>219</v>
      </c>
      <c r="Q22" s="806">
        <v>66850</v>
      </c>
      <c r="R22" s="751"/>
      <c r="S22" s="751"/>
      <c r="T22" s="459"/>
      <c r="U22" s="469"/>
      <c r="V22" s="459"/>
      <c r="W22" s="467"/>
      <c r="X22" s="459"/>
      <c r="Y22" s="469"/>
      <c r="Z22" s="467"/>
      <c r="AA22" s="459"/>
      <c r="AB22" s="459"/>
      <c r="AC22" s="833"/>
      <c r="AD22" s="803"/>
      <c r="AF22" s="481"/>
      <c r="AG22" s="682"/>
      <c r="AH22" s="459"/>
      <c r="AJ22" s="459"/>
      <c r="AK22" s="459"/>
      <c r="AL22" s="683"/>
      <c r="AM22" s="684"/>
      <c r="AN22" s="683"/>
      <c r="AO22" s="469"/>
      <c r="AP22" s="118"/>
      <c r="AQ22" s="12"/>
      <c r="AR22" s="685"/>
      <c r="AS22" s="469"/>
      <c r="AT22" s="469"/>
      <c r="AU22" s="459"/>
      <c r="AV22" s="469"/>
      <c r="AW22" s="459"/>
      <c r="AX22" s="467"/>
      <c r="AY22" s="459"/>
      <c r="AZ22" s="469"/>
      <c r="BA22" s="467"/>
      <c r="BD22" s="686"/>
    </row>
    <row r="23" spans="1:56" s="466" customFormat="1" ht="14.25" x14ac:dyDescent="0.2">
      <c r="A23" s="459"/>
      <c r="B23" s="459"/>
      <c r="C23" s="459"/>
      <c r="D23" s="459"/>
      <c r="E23" s="481"/>
      <c r="F23" s="849">
        <v>42622</v>
      </c>
      <c r="G23" s="459"/>
      <c r="H23" s="459"/>
      <c r="I23" s="459"/>
      <c r="J23" s="647"/>
      <c r="K23" s="610" t="s">
        <v>712</v>
      </c>
      <c r="L23" s="647">
        <v>40594640</v>
      </c>
      <c r="M23" s="647">
        <v>95544110</v>
      </c>
      <c r="N23" s="469"/>
      <c r="O23" s="118" t="s">
        <v>143</v>
      </c>
      <c r="P23" s="12" t="s">
        <v>219</v>
      </c>
      <c r="Q23" s="806">
        <v>69950</v>
      </c>
      <c r="R23" s="751"/>
      <c r="S23" s="751"/>
      <c r="T23" s="459"/>
      <c r="U23" s="469"/>
      <c r="V23" s="459"/>
      <c r="W23" s="467"/>
      <c r="X23" s="459"/>
      <c r="Y23" s="469"/>
      <c r="Z23" s="467"/>
      <c r="AA23" s="459"/>
      <c r="AB23" s="459"/>
      <c r="AC23" s="834"/>
      <c r="AD23" s="751"/>
      <c r="AF23" s="481"/>
      <c r="AG23" s="682"/>
      <c r="AH23" s="459"/>
      <c r="AJ23" s="459"/>
      <c r="AK23" s="459"/>
      <c r="AL23" s="683"/>
      <c r="AM23" s="684"/>
      <c r="AN23" s="683"/>
      <c r="AO23" s="469"/>
      <c r="AP23" s="118"/>
      <c r="AQ23" s="12"/>
      <c r="AR23" s="685"/>
      <c r="AS23" s="469"/>
      <c r="AT23" s="469"/>
      <c r="AU23" s="459"/>
      <c r="AV23" s="469"/>
      <c r="AW23" s="459"/>
      <c r="AX23" s="467"/>
      <c r="AY23" s="459"/>
      <c r="AZ23" s="469"/>
      <c r="BA23" s="467"/>
      <c r="BD23" s="686"/>
    </row>
    <row r="24" spans="1:56" s="466" customFormat="1" ht="14.25" x14ac:dyDescent="0.2">
      <c r="A24" s="459"/>
      <c r="B24" s="459"/>
      <c r="C24" s="459"/>
      <c r="D24" s="459"/>
      <c r="E24" s="481"/>
      <c r="F24" s="849">
        <v>42622</v>
      </c>
      <c r="G24" s="459"/>
      <c r="H24" s="459"/>
      <c r="I24" s="459"/>
      <c r="J24" s="845"/>
      <c r="K24" s="610" t="s">
        <v>934</v>
      </c>
      <c r="L24" s="845">
        <v>271068</v>
      </c>
      <c r="M24" s="844" t="s">
        <v>894</v>
      </c>
      <c r="N24" s="469"/>
      <c r="O24" s="118" t="s">
        <v>143</v>
      </c>
      <c r="P24" s="12" t="s">
        <v>219</v>
      </c>
      <c r="Q24" s="846">
        <v>21960</v>
      </c>
      <c r="R24" s="751"/>
      <c r="S24" s="751"/>
      <c r="T24" s="459"/>
      <c r="U24" s="469"/>
      <c r="V24" s="459"/>
      <c r="W24" s="467"/>
      <c r="X24" s="459"/>
      <c r="Y24" s="469"/>
      <c r="Z24" s="467"/>
      <c r="AA24" s="459"/>
      <c r="AB24" s="459"/>
      <c r="AC24" s="834"/>
      <c r="AD24" s="751"/>
      <c r="AF24" s="481"/>
      <c r="AG24" s="682"/>
      <c r="AH24" s="459"/>
      <c r="AJ24" s="459"/>
      <c r="AK24" s="459"/>
      <c r="AL24" s="683"/>
      <c r="AM24" s="684"/>
      <c r="AN24" s="683"/>
      <c r="AO24" s="469"/>
      <c r="AP24" s="118"/>
      <c r="AQ24" s="12"/>
      <c r="AR24" s="685"/>
      <c r="AS24" s="469"/>
      <c r="AT24" s="469"/>
      <c r="AU24" s="459"/>
      <c r="AV24" s="469"/>
      <c r="AW24" s="459"/>
      <c r="AX24" s="467"/>
      <c r="AY24" s="459"/>
      <c r="AZ24" s="469"/>
      <c r="BA24" s="467"/>
      <c r="BD24" s="686"/>
    </row>
    <row r="25" spans="1:56" s="466" customFormat="1" ht="14.25" x14ac:dyDescent="0.2">
      <c r="A25" s="459"/>
      <c r="B25" s="459"/>
      <c r="C25" s="459"/>
      <c r="D25" s="459"/>
      <c r="E25" s="481"/>
      <c r="F25" s="849">
        <v>42623</v>
      </c>
      <c r="G25" s="459"/>
      <c r="H25" s="459"/>
      <c r="I25" s="459"/>
      <c r="J25" s="647"/>
      <c r="K25" s="610" t="s">
        <v>712</v>
      </c>
      <c r="L25" s="647">
        <v>40594640</v>
      </c>
      <c r="M25" s="647">
        <v>95695441</v>
      </c>
      <c r="N25" s="469"/>
      <c r="O25" s="118" t="s">
        <v>143</v>
      </c>
      <c r="P25" s="12" t="s">
        <v>219</v>
      </c>
      <c r="Q25" s="806">
        <v>68300</v>
      </c>
      <c r="R25" s="751"/>
      <c r="S25" s="751"/>
      <c r="T25" s="459"/>
      <c r="U25" s="469"/>
      <c r="V25" s="459"/>
      <c r="W25" s="467"/>
      <c r="X25" s="459"/>
      <c r="Y25" s="469"/>
      <c r="Z25" s="467"/>
      <c r="AA25" s="459"/>
      <c r="AB25" s="459"/>
      <c r="AC25" s="833"/>
      <c r="AD25" s="751"/>
      <c r="AF25" s="481"/>
      <c r="AG25" s="682"/>
      <c r="AH25" s="459"/>
      <c r="AJ25" s="459"/>
      <c r="AK25" s="459"/>
      <c r="AL25" s="683"/>
      <c r="AM25" s="684"/>
      <c r="AN25" s="683"/>
      <c r="AO25" s="469"/>
      <c r="AP25" s="118"/>
      <c r="AQ25" s="12"/>
      <c r="AR25" s="685"/>
      <c r="AS25" s="469"/>
      <c r="AT25" s="469"/>
      <c r="AU25" s="459"/>
      <c r="AV25" s="469"/>
      <c r="AW25" s="459"/>
      <c r="AX25" s="467"/>
      <c r="AY25" s="459"/>
      <c r="AZ25" s="469"/>
      <c r="BA25" s="467"/>
      <c r="BD25" s="686"/>
    </row>
    <row r="26" spans="1:56" s="466" customFormat="1" ht="14.25" x14ac:dyDescent="0.2">
      <c r="A26" s="459"/>
      <c r="B26" s="459"/>
      <c r="C26" s="459"/>
      <c r="D26" s="459"/>
      <c r="E26" s="481"/>
      <c r="F26" s="849">
        <v>42623</v>
      </c>
      <c r="G26" s="459"/>
      <c r="H26" s="459"/>
      <c r="I26" s="459"/>
      <c r="J26" s="647"/>
      <c r="K26" s="610" t="s">
        <v>712</v>
      </c>
      <c r="L26" s="647">
        <v>40594640</v>
      </c>
      <c r="M26" s="647">
        <v>95020202</v>
      </c>
      <c r="N26" s="469"/>
      <c r="O26" s="118" t="s">
        <v>143</v>
      </c>
      <c r="P26" s="12" t="s">
        <v>219</v>
      </c>
      <c r="Q26" s="806">
        <v>67800</v>
      </c>
      <c r="R26" s="751"/>
      <c r="S26" s="751"/>
      <c r="T26" s="459"/>
      <c r="U26" s="469"/>
      <c r="V26" s="459"/>
      <c r="W26" s="467"/>
      <c r="X26" s="459"/>
      <c r="Y26" s="469"/>
      <c r="Z26" s="467"/>
      <c r="AA26" s="459"/>
      <c r="AB26" s="459"/>
      <c r="AC26" s="833"/>
      <c r="AD26" s="751"/>
      <c r="AF26" s="481"/>
      <c r="AG26" s="682"/>
      <c r="AH26" s="459"/>
      <c r="AJ26" s="459"/>
      <c r="AK26" s="459"/>
      <c r="AL26" s="683"/>
      <c r="AM26" s="684"/>
      <c r="AN26" s="683"/>
      <c r="AO26" s="469"/>
      <c r="AP26" s="118"/>
      <c r="AQ26" s="12"/>
      <c r="AR26" s="685"/>
      <c r="AS26" s="469"/>
      <c r="AT26" s="469"/>
      <c r="AU26" s="459"/>
      <c r="AV26" s="469"/>
      <c r="AW26" s="459"/>
      <c r="AX26" s="467"/>
      <c r="AY26" s="459"/>
      <c r="AZ26" s="469"/>
      <c r="BA26" s="467"/>
      <c r="BD26" s="686"/>
    </row>
    <row r="27" spans="1:56" s="466" customFormat="1" ht="14.25" x14ac:dyDescent="0.2">
      <c r="A27" s="459"/>
      <c r="B27" s="459"/>
      <c r="C27" s="459"/>
      <c r="D27" s="459"/>
      <c r="E27" s="481"/>
      <c r="F27" s="849">
        <v>42623</v>
      </c>
      <c r="G27" s="459"/>
      <c r="H27" s="459"/>
      <c r="I27" s="459"/>
      <c r="J27" s="647"/>
      <c r="K27" s="610" t="s">
        <v>712</v>
      </c>
      <c r="L27" s="647">
        <v>40594640</v>
      </c>
      <c r="M27" s="647">
        <v>95794434</v>
      </c>
      <c r="N27" s="469"/>
      <c r="O27" s="118" t="s">
        <v>143</v>
      </c>
      <c r="P27" s="12" t="s">
        <v>219</v>
      </c>
      <c r="Q27" s="806">
        <v>66950</v>
      </c>
      <c r="R27" s="751"/>
      <c r="S27" s="751"/>
      <c r="T27" s="459"/>
      <c r="U27" s="469"/>
      <c r="V27" s="459"/>
      <c r="W27" s="467"/>
      <c r="X27" s="459"/>
      <c r="Y27" s="469"/>
      <c r="Z27" s="467"/>
      <c r="AA27" s="459"/>
      <c r="AB27" s="459"/>
      <c r="AC27" s="833"/>
      <c r="AD27" s="751"/>
      <c r="AF27" s="481"/>
      <c r="AG27" s="682"/>
      <c r="AH27" s="459"/>
      <c r="AJ27" s="459"/>
      <c r="AK27" s="459"/>
      <c r="AL27" s="683"/>
      <c r="AM27" s="684"/>
      <c r="AN27" s="683"/>
      <c r="AO27" s="469"/>
      <c r="AP27" s="118"/>
      <c r="AQ27" s="12"/>
      <c r="AR27" s="685"/>
      <c r="AS27" s="469"/>
      <c r="AT27" s="469"/>
      <c r="AU27" s="459"/>
      <c r="AV27" s="469"/>
      <c r="AW27" s="459"/>
      <c r="AX27" s="467"/>
      <c r="AY27" s="459"/>
      <c r="AZ27" s="469"/>
      <c r="BA27" s="467"/>
      <c r="BD27" s="686"/>
    </row>
    <row r="28" spans="1:56" s="466" customFormat="1" ht="14.25" x14ac:dyDescent="0.2">
      <c r="A28" s="459"/>
      <c r="B28" s="459"/>
      <c r="C28" s="459"/>
      <c r="D28" s="459"/>
      <c r="E28" s="481"/>
      <c r="F28" s="849">
        <v>42623</v>
      </c>
      <c r="G28" s="459"/>
      <c r="H28" s="459"/>
      <c r="I28" s="459"/>
      <c r="J28" s="647"/>
      <c r="K28" s="610" t="s">
        <v>712</v>
      </c>
      <c r="L28" s="647">
        <v>40594640</v>
      </c>
      <c r="M28" s="647">
        <v>95680260</v>
      </c>
      <c r="N28" s="469"/>
      <c r="O28" s="118" t="s">
        <v>143</v>
      </c>
      <c r="P28" s="12" t="s">
        <v>219</v>
      </c>
      <c r="Q28" s="806">
        <v>68750</v>
      </c>
      <c r="R28" s="751"/>
      <c r="S28" s="751"/>
      <c r="T28" s="459"/>
      <c r="U28" s="469"/>
      <c r="V28" s="459"/>
      <c r="W28" s="467"/>
      <c r="X28" s="459"/>
      <c r="Y28" s="469"/>
      <c r="Z28" s="467"/>
      <c r="AA28" s="459"/>
      <c r="AB28" s="459"/>
      <c r="AC28" s="833"/>
      <c r="AD28" s="751"/>
      <c r="AF28" s="481"/>
      <c r="AG28" s="682"/>
      <c r="AH28" s="459"/>
      <c r="AJ28" s="459"/>
      <c r="AK28" s="459"/>
      <c r="AL28" s="683"/>
      <c r="AM28" s="684"/>
      <c r="AN28" s="683"/>
      <c r="AO28" s="469"/>
      <c r="AP28" s="118"/>
      <c r="AQ28" s="12"/>
      <c r="AR28" s="685"/>
      <c r="AS28" s="469"/>
      <c r="AT28" s="469"/>
      <c r="AU28" s="459"/>
      <c r="AV28" s="469"/>
      <c r="AW28" s="459"/>
      <c r="AX28" s="467"/>
      <c r="AY28" s="459"/>
      <c r="AZ28" s="469"/>
      <c r="BA28" s="467"/>
      <c r="BD28" s="686"/>
    </row>
    <row r="29" spans="1:56" s="466" customFormat="1" ht="14.25" x14ac:dyDescent="0.2">
      <c r="A29" s="459"/>
      <c r="B29" s="459"/>
      <c r="C29" s="459"/>
      <c r="D29" s="459"/>
      <c r="E29" s="481"/>
      <c r="F29" s="849">
        <v>42623</v>
      </c>
      <c r="G29" s="459"/>
      <c r="H29" s="459"/>
      <c r="I29" s="459"/>
      <c r="J29" s="647"/>
      <c r="K29" s="610" t="s">
        <v>712</v>
      </c>
      <c r="L29" s="647">
        <v>40594640</v>
      </c>
      <c r="M29" s="647">
        <v>95655387</v>
      </c>
      <c r="N29" s="469"/>
      <c r="O29" s="118" t="s">
        <v>143</v>
      </c>
      <c r="P29" s="12" t="s">
        <v>219</v>
      </c>
      <c r="Q29" s="806">
        <v>68000</v>
      </c>
      <c r="R29" s="751"/>
      <c r="S29" s="751"/>
      <c r="T29" s="459"/>
      <c r="U29" s="469"/>
      <c r="V29" s="459"/>
      <c r="W29" s="467"/>
      <c r="X29" s="459"/>
      <c r="Y29" s="469"/>
      <c r="Z29" s="467"/>
      <c r="AA29" s="459"/>
      <c r="AB29" s="459"/>
      <c r="AC29" s="833"/>
      <c r="AD29" s="751"/>
      <c r="AF29" s="481"/>
      <c r="AG29" s="682"/>
      <c r="AH29" s="459"/>
      <c r="AJ29" s="459"/>
      <c r="AK29" s="459"/>
      <c r="AL29" s="683"/>
      <c r="AM29" s="684"/>
      <c r="AN29" s="683"/>
      <c r="AO29" s="469"/>
      <c r="AP29" s="118"/>
      <c r="AQ29" s="12"/>
      <c r="AR29" s="685"/>
      <c r="AS29" s="469"/>
      <c r="AT29" s="469"/>
      <c r="AU29" s="459"/>
      <c r="AV29" s="469"/>
      <c r="AW29" s="459"/>
      <c r="AX29" s="467"/>
      <c r="AY29" s="459"/>
      <c r="AZ29" s="469"/>
      <c r="BA29" s="467"/>
      <c r="BD29" s="686"/>
    </row>
    <row r="30" spans="1:56" s="466" customFormat="1" ht="14.25" x14ac:dyDescent="0.2">
      <c r="A30" s="459"/>
      <c r="B30" s="459"/>
      <c r="C30" s="459"/>
      <c r="D30" s="459"/>
      <c r="E30" s="481"/>
      <c r="F30" s="849">
        <v>42623</v>
      </c>
      <c r="G30" s="459"/>
      <c r="H30" s="459"/>
      <c r="I30" s="459"/>
      <c r="J30" s="647"/>
      <c r="K30" s="610" t="s">
        <v>712</v>
      </c>
      <c r="L30" s="647">
        <v>40594640</v>
      </c>
      <c r="M30" s="647">
        <v>95613303</v>
      </c>
      <c r="N30" s="469"/>
      <c r="O30" s="118" t="s">
        <v>143</v>
      </c>
      <c r="P30" s="12" t="s">
        <v>219</v>
      </c>
      <c r="Q30" s="806">
        <v>68250</v>
      </c>
      <c r="R30" s="751"/>
      <c r="S30" s="751"/>
      <c r="T30" s="459"/>
      <c r="U30" s="469"/>
      <c r="V30" s="459"/>
      <c r="W30" s="467"/>
      <c r="X30" s="459"/>
      <c r="Y30" s="469"/>
      <c r="Z30" s="467"/>
      <c r="AA30" s="459"/>
      <c r="AB30" s="459"/>
      <c r="AC30" s="834"/>
      <c r="AD30" s="751"/>
      <c r="AF30" s="481"/>
      <c r="AG30" s="682"/>
      <c r="AH30" s="459"/>
      <c r="AJ30" s="459"/>
      <c r="AK30" s="459"/>
      <c r="AL30" s="683"/>
      <c r="AM30" s="684"/>
      <c r="AN30" s="683"/>
      <c r="AO30" s="469"/>
      <c r="AP30" s="118"/>
      <c r="AQ30" s="12"/>
      <c r="AR30" s="685"/>
      <c r="AS30" s="469"/>
      <c r="AT30" s="469"/>
      <c r="AU30" s="459"/>
      <c r="AV30" s="469"/>
      <c r="AW30" s="459"/>
      <c r="AX30" s="467"/>
      <c r="AY30" s="459"/>
      <c r="AZ30" s="469"/>
      <c r="BA30" s="467"/>
      <c r="BD30" s="686"/>
    </row>
    <row r="31" spans="1:56" s="466" customFormat="1" ht="14.25" x14ac:dyDescent="0.2">
      <c r="A31" s="459"/>
      <c r="B31" s="459"/>
      <c r="C31" s="459"/>
      <c r="D31" s="459"/>
      <c r="E31" s="481"/>
      <c r="F31" s="849">
        <v>42623</v>
      </c>
      <c r="G31" s="459"/>
      <c r="H31" s="459"/>
      <c r="I31" s="459"/>
      <c r="J31" s="647"/>
      <c r="K31" s="610" t="s">
        <v>712</v>
      </c>
      <c r="L31" s="647">
        <v>40594640</v>
      </c>
      <c r="M31" s="647">
        <v>95173589</v>
      </c>
      <c r="N31" s="469"/>
      <c r="O31" s="118" t="s">
        <v>143</v>
      </c>
      <c r="P31" s="12" t="s">
        <v>219</v>
      </c>
      <c r="Q31" s="806">
        <v>69050</v>
      </c>
      <c r="R31" s="751"/>
      <c r="S31" s="751"/>
      <c r="T31" s="459"/>
      <c r="U31" s="469"/>
      <c r="V31" s="459"/>
      <c r="W31" s="467"/>
      <c r="X31" s="459"/>
      <c r="Y31" s="469"/>
      <c r="Z31" s="467"/>
      <c r="AA31" s="459"/>
      <c r="AB31" s="459"/>
      <c r="AC31" s="834"/>
      <c r="AD31" s="751"/>
      <c r="AF31" s="481"/>
      <c r="AG31" s="682"/>
      <c r="AH31" s="459"/>
      <c r="AJ31" s="459"/>
      <c r="AK31" s="459"/>
      <c r="AL31" s="683"/>
      <c r="AM31" s="684"/>
      <c r="AN31" s="683"/>
      <c r="AO31" s="469"/>
      <c r="AP31" s="118"/>
      <c r="AQ31" s="12"/>
      <c r="AR31" s="685"/>
      <c r="AS31" s="469"/>
      <c r="AT31" s="469"/>
      <c r="AU31" s="459"/>
      <c r="AV31" s="469"/>
      <c r="AW31" s="459"/>
      <c r="AX31" s="467"/>
      <c r="AY31" s="459"/>
      <c r="AZ31" s="469"/>
      <c r="BA31" s="467"/>
      <c r="BD31" s="686"/>
    </row>
    <row r="32" spans="1:56" s="466" customFormat="1" ht="14.25" x14ac:dyDescent="0.2">
      <c r="A32" s="459"/>
      <c r="B32" s="459"/>
      <c r="C32" s="459"/>
      <c r="D32" s="459"/>
      <c r="E32" s="481"/>
      <c r="F32" s="849">
        <v>42623</v>
      </c>
      <c r="G32" s="459"/>
      <c r="H32" s="459"/>
      <c r="I32" s="459"/>
      <c r="J32" s="647"/>
      <c r="K32" s="610" t="s">
        <v>712</v>
      </c>
      <c r="L32" s="647">
        <v>40594640</v>
      </c>
      <c r="M32" s="647">
        <v>95650529</v>
      </c>
      <c r="N32" s="469"/>
      <c r="O32" s="118" t="s">
        <v>143</v>
      </c>
      <c r="P32" s="12" t="s">
        <v>219</v>
      </c>
      <c r="Q32" s="806">
        <v>66200</v>
      </c>
      <c r="R32" s="751"/>
      <c r="S32" s="751"/>
      <c r="T32" s="459"/>
      <c r="U32" s="469"/>
      <c r="V32" s="459"/>
      <c r="W32" s="467"/>
      <c r="X32" s="459"/>
      <c r="Y32" s="469"/>
      <c r="Z32" s="467"/>
      <c r="AA32" s="459"/>
      <c r="AB32" s="459"/>
      <c r="AC32" s="834"/>
      <c r="AD32" s="751"/>
      <c r="AF32" s="481"/>
      <c r="AG32" s="682"/>
      <c r="AH32" s="459"/>
      <c r="AJ32" s="459"/>
      <c r="AK32" s="459"/>
      <c r="AL32" s="683"/>
      <c r="AM32" s="684"/>
      <c r="AN32" s="683"/>
      <c r="AO32" s="469"/>
      <c r="AP32" s="118"/>
      <c r="AQ32" s="12"/>
      <c r="AR32" s="685"/>
      <c r="AS32" s="469"/>
      <c r="AT32" s="469"/>
      <c r="AU32" s="459"/>
      <c r="AV32" s="469"/>
      <c r="AW32" s="459"/>
      <c r="AX32" s="467"/>
      <c r="AY32" s="459"/>
      <c r="AZ32" s="469"/>
      <c r="BA32" s="467"/>
      <c r="BD32" s="686"/>
    </row>
    <row r="33" spans="1:56" s="466" customFormat="1" ht="14.25" x14ac:dyDescent="0.2">
      <c r="A33" s="459"/>
      <c r="B33" s="459"/>
      <c r="C33" s="459"/>
      <c r="D33" s="459"/>
      <c r="E33" s="481"/>
      <c r="F33" s="849">
        <v>42623</v>
      </c>
      <c r="G33" s="459"/>
      <c r="H33" s="459"/>
      <c r="I33" s="459"/>
      <c r="J33" s="647"/>
      <c r="K33" s="610" t="s">
        <v>712</v>
      </c>
      <c r="L33" s="647">
        <v>40594640</v>
      </c>
      <c r="M33" s="647">
        <v>95449617</v>
      </c>
      <c r="N33" s="469"/>
      <c r="O33" s="118" t="s">
        <v>143</v>
      </c>
      <c r="P33" s="12" t="s">
        <v>219</v>
      </c>
      <c r="Q33" s="806">
        <v>67000</v>
      </c>
      <c r="R33" s="751"/>
      <c r="S33" s="751"/>
      <c r="T33" s="459"/>
      <c r="U33" s="469"/>
      <c r="V33" s="459"/>
      <c r="W33" s="467"/>
      <c r="X33" s="459"/>
      <c r="Y33" s="469"/>
      <c r="Z33" s="467"/>
      <c r="AA33" s="459"/>
      <c r="AB33" s="459"/>
      <c r="AC33" s="834"/>
      <c r="AD33" s="751"/>
      <c r="AF33" s="481"/>
      <c r="AG33" s="682"/>
      <c r="AH33" s="459"/>
      <c r="AJ33" s="459"/>
      <c r="AK33" s="459"/>
      <c r="AL33" s="683"/>
      <c r="AM33" s="684"/>
      <c r="AN33" s="683"/>
      <c r="AO33" s="469"/>
      <c r="AP33" s="118"/>
      <c r="AQ33" s="12"/>
      <c r="AR33" s="685"/>
      <c r="AS33" s="469"/>
      <c r="AT33" s="469"/>
      <c r="AU33" s="459"/>
      <c r="AV33" s="469"/>
      <c r="AW33" s="459"/>
      <c r="AX33" s="467"/>
      <c r="AY33" s="459"/>
      <c r="AZ33" s="469"/>
      <c r="BA33" s="467"/>
      <c r="BD33" s="686"/>
    </row>
    <row r="34" spans="1:56" s="466" customFormat="1" ht="14.25" x14ac:dyDescent="0.2">
      <c r="A34" s="459"/>
      <c r="B34" s="459"/>
      <c r="C34" s="459"/>
      <c r="D34" s="459"/>
      <c r="E34" s="481"/>
      <c r="F34" s="849">
        <v>42623</v>
      </c>
      <c r="G34" s="459"/>
      <c r="H34" s="459"/>
      <c r="I34" s="459"/>
      <c r="J34" s="647"/>
      <c r="K34" s="610" t="s">
        <v>712</v>
      </c>
      <c r="L34" s="647">
        <v>40622698</v>
      </c>
      <c r="M34" s="647">
        <v>95654430</v>
      </c>
      <c r="N34" s="469"/>
      <c r="O34" s="118" t="s">
        <v>143</v>
      </c>
      <c r="P34" s="12" t="s">
        <v>219</v>
      </c>
      <c r="Q34" s="806">
        <v>69750</v>
      </c>
      <c r="R34" s="751"/>
      <c r="S34" s="751"/>
      <c r="T34" s="459"/>
      <c r="U34" s="469"/>
      <c r="V34" s="459"/>
      <c r="W34" s="467"/>
      <c r="X34" s="459"/>
      <c r="Y34" s="469"/>
      <c r="Z34" s="467"/>
      <c r="AA34" s="459"/>
      <c r="AB34" s="459"/>
      <c r="AC34" s="834"/>
      <c r="AD34" s="751"/>
      <c r="AF34" s="481"/>
      <c r="AG34" s="682"/>
      <c r="AH34" s="459"/>
      <c r="AJ34" s="459"/>
      <c r="AK34" s="459"/>
      <c r="AL34" s="683"/>
      <c r="AM34" s="684"/>
      <c r="AN34" s="683"/>
      <c r="AO34" s="469"/>
      <c r="AP34" s="118"/>
      <c r="AQ34" s="12"/>
      <c r="AR34" s="685"/>
      <c r="AS34" s="469"/>
      <c r="AT34" s="469"/>
      <c r="AU34" s="459"/>
      <c r="AV34" s="469"/>
      <c r="AW34" s="459"/>
      <c r="AX34" s="467"/>
      <c r="AY34" s="459"/>
      <c r="AZ34" s="469"/>
      <c r="BA34" s="467"/>
      <c r="BD34" s="686"/>
    </row>
    <row r="35" spans="1:56" s="466" customFormat="1" ht="14.25" x14ac:dyDescent="0.2">
      <c r="A35" s="459"/>
      <c r="B35" s="459"/>
      <c r="C35" s="459"/>
      <c r="D35" s="459"/>
      <c r="E35" s="481"/>
      <c r="F35" s="849">
        <v>42623</v>
      </c>
      <c r="G35" s="459"/>
      <c r="H35" s="459"/>
      <c r="I35" s="459"/>
      <c r="J35" s="647"/>
      <c r="K35" s="610" t="s">
        <v>712</v>
      </c>
      <c r="L35" s="647">
        <v>40623100</v>
      </c>
      <c r="M35" s="647">
        <v>95755914</v>
      </c>
      <c r="N35" s="469"/>
      <c r="O35" s="118" t="s">
        <v>143</v>
      </c>
      <c r="P35" s="12" t="s">
        <v>219</v>
      </c>
      <c r="Q35" s="806">
        <v>67250</v>
      </c>
      <c r="R35" s="751"/>
      <c r="S35" s="751"/>
      <c r="T35" s="459"/>
      <c r="U35" s="469"/>
      <c r="V35" s="459"/>
      <c r="W35" s="467"/>
      <c r="X35" s="459"/>
      <c r="Y35" s="469"/>
      <c r="Z35" s="467"/>
      <c r="AA35" s="459"/>
      <c r="AB35" s="459"/>
      <c r="AC35" s="751"/>
      <c r="AD35" s="751"/>
      <c r="AF35" s="481"/>
      <c r="AG35" s="682"/>
      <c r="AH35" s="459"/>
      <c r="AJ35" s="459"/>
      <c r="AK35" s="459"/>
      <c r="AL35" s="683"/>
      <c r="AM35" s="684"/>
      <c r="AN35" s="683"/>
      <c r="AO35" s="469"/>
      <c r="AP35" s="118"/>
      <c r="AQ35" s="12"/>
      <c r="AR35" s="685"/>
      <c r="AS35" s="469"/>
      <c r="AT35" s="469"/>
      <c r="AU35" s="459"/>
      <c r="AV35" s="469"/>
      <c r="AW35" s="459"/>
      <c r="AX35" s="467"/>
      <c r="AY35" s="459"/>
      <c r="AZ35" s="469"/>
      <c r="BA35" s="467"/>
      <c r="BD35" s="686"/>
    </row>
    <row r="36" spans="1:56" s="466" customFormat="1" ht="14.25" x14ac:dyDescent="0.2">
      <c r="A36" s="459"/>
      <c r="B36" s="459"/>
      <c r="C36" s="459"/>
      <c r="D36" s="459"/>
      <c r="E36" s="481"/>
      <c r="F36" s="849">
        <v>42623</v>
      </c>
      <c r="G36" s="459"/>
      <c r="H36" s="459"/>
      <c r="I36" s="459"/>
      <c r="J36" s="647"/>
      <c r="K36" s="610" t="s">
        <v>712</v>
      </c>
      <c r="L36" s="647">
        <v>40623100</v>
      </c>
      <c r="M36" s="647">
        <v>95524369</v>
      </c>
      <c r="N36" s="469"/>
      <c r="O36" s="118" t="s">
        <v>143</v>
      </c>
      <c r="P36" s="12" t="s">
        <v>219</v>
      </c>
      <c r="Q36" s="806">
        <v>66300</v>
      </c>
      <c r="R36" s="751"/>
      <c r="S36" s="751"/>
      <c r="T36" s="459"/>
      <c r="U36" s="469"/>
      <c r="V36" s="459"/>
      <c r="W36" s="467"/>
      <c r="X36" s="459"/>
      <c r="Y36" s="469"/>
      <c r="Z36" s="467"/>
      <c r="AA36" s="459"/>
      <c r="AB36" s="459"/>
      <c r="AC36" s="751"/>
      <c r="AD36" s="751"/>
      <c r="AF36" s="481"/>
      <c r="AG36" s="682"/>
      <c r="AH36" s="459"/>
      <c r="AJ36" s="459"/>
      <c r="AK36" s="459"/>
      <c r="AL36" s="683"/>
      <c r="AM36" s="684"/>
      <c r="AN36" s="683"/>
      <c r="AO36" s="469"/>
      <c r="AP36" s="118"/>
      <c r="AQ36" s="12"/>
      <c r="AR36" s="685"/>
      <c r="AS36" s="469"/>
      <c r="AT36" s="469"/>
      <c r="AU36" s="459"/>
      <c r="AV36" s="469"/>
      <c r="AW36" s="459"/>
      <c r="AX36" s="467"/>
      <c r="AY36" s="459"/>
      <c r="AZ36" s="469"/>
      <c r="BA36" s="467"/>
      <c r="BD36" s="686"/>
    </row>
    <row r="37" spans="1:56" s="466" customFormat="1" ht="14.25" x14ac:dyDescent="0.2">
      <c r="A37" s="459"/>
      <c r="B37" s="459"/>
      <c r="C37" s="459"/>
      <c r="D37" s="459"/>
      <c r="E37" s="481"/>
      <c r="F37" s="849">
        <v>42623</v>
      </c>
      <c r="G37" s="459"/>
      <c r="H37" s="459"/>
      <c r="I37" s="459"/>
      <c r="J37" s="647"/>
      <c r="K37" s="610" t="s">
        <v>712</v>
      </c>
      <c r="L37" s="647">
        <v>40623100</v>
      </c>
      <c r="M37" s="647">
        <v>95795373</v>
      </c>
      <c r="N37" s="469"/>
      <c r="O37" s="118" t="s">
        <v>143</v>
      </c>
      <c r="P37" s="12" t="s">
        <v>219</v>
      </c>
      <c r="Q37" s="806">
        <v>65950</v>
      </c>
      <c r="R37" s="751"/>
      <c r="S37" s="751"/>
      <c r="T37" s="459"/>
      <c r="U37" s="469"/>
      <c r="V37" s="459"/>
      <c r="W37" s="467"/>
      <c r="X37" s="459"/>
      <c r="Y37" s="469"/>
      <c r="Z37" s="467"/>
      <c r="AA37" s="459"/>
      <c r="AB37" s="459"/>
      <c r="AC37" s="751"/>
      <c r="AD37" s="751"/>
      <c r="AF37" s="481"/>
      <c r="AG37" s="682"/>
      <c r="AH37" s="459"/>
      <c r="AJ37" s="459"/>
      <c r="AK37" s="459"/>
      <c r="AL37" s="683"/>
      <c r="AM37" s="684"/>
      <c r="AN37" s="683"/>
      <c r="AO37" s="469"/>
      <c r="AP37" s="118"/>
      <c r="AQ37" s="12"/>
      <c r="AR37" s="685"/>
      <c r="AS37" s="469"/>
      <c r="AT37" s="469"/>
      <c r="AU37" s="459"/>
      <c r="AV37" s="469"/>
      <c r="AW37" s="459"/>
      <c r="AX37" s="467"/>
      <c r="AY37" s="459"/>
      <c r="AZ37" s="469"/>
      <c r="BA37" s="467"/>
      <c r="BD37" s="686"/>
    </row>
    <row r="38" spans="1:56" s="466" customFormat="1" ht="14.25" x14ac:dyDescent="0.2">
      <c r="A38" s="459"/>
      <c r="B38" s="459"/>
      <c r="C38" s="459"/>
      <c r="D38" s="459"/>
      <c r="E38" s="481"/>
      <c r="F38" s="849">
        <v>42623</v>
      </c>
      <c r="G38" s="459"/>
      <c r="H38" s="459"/>
      <c r="I38" s="459"/>
      <c r="J38" s="647"/>
      <c r="K38" s="610" t="s">
        <v>767</v>
      </c>
      <c r="L38" s="647">
        <v>44147684</v>
      </c>
      <c r="M38" s="647">
        <v>95318820</v>
      </c>
      <c r="N38" s="469"/>
      <c r="O38" s="118" t="s">
        <v>143</v>
      </c>
      <c r="P38" s="12" t="s">
        <v>219</v>
      </c>
      <c r="Q38" s="806">
        <v>65500</v>
      </c>
      <c r="R38" s="751"/>
      <c r="S38" s="751"/>
      <c r="T38" s="459"/>
      <c r="U38" s="469"/>
      <c r="V38" s="459"/>
      <c r="W38" s="467"/>
      <c r="X38" s="459"/>
      <c r="Y38" s="469"/>
      <c r="Z38" s="467"/>
      <c r="AA38" s="459"/>
      <c r="AB38" s="459"/>
      <c r="AC38" s="751"/>
      <c r="AD38" s="751"/>
      <c r="AF38" s="481"/>
      <c r="AG38" s="682"/>
      <c r="AH38" s="459"/>
      <c r="AJ38" s="459"/>
      <c r="AK38" s="459"/>
      <c r="AL38" s="683"/>
      <c r="AM38" s="684"/>
      <c r="AN38" s="683"/>
      <c r="AO38" s="469"/>
      <c r="AP38" s="118"/>
      <c r="AQ38" s="12"/>
      <c r="AR38" s="685"/>
      <c r="AS38" s="469"/>
      <c r="AT38" s="469"/>
      <c r="AU38" s="459"/>
      <c r="AV38" s="469"/>
      <c r="AW38" s="459"/>
      <c r="AX38" s="467"/>
      <c r="AY38" s="459"/>
      <c r="AZ38" s="469"/>
      <c r="BA38" s="467"/>
      <c r="BD38" s="686"/>
    </row>
    <row r="39" spans="1:56" s="466" customFormat="1" ht="14.25" x14ac:dyDescent="0.2">
      <c r="A39" s="459"/>
      <c r="B39" s="459"/>
      <c r="C39" s="459"/>
      <c r="D39" s="459"/>
      <c r="E39" s="481"/>
      <c r="F39" s="849">
        <v>42623</v>
      </c>
      <c r="G39" s="459"/>
      <c r="H39" s="459"/>
      <c r="I39" s="459"/>
      <c r="J39" s="647"/>
      <c r="K39" s="610" t="s">
        <v>767</v>
      </c>
      <c r="L39" s="647">
        <v>44147684</v>
      </c>
      <c r="M39" s="647">
        <v>95450359</v>
      </c>
      <c r="N39" s="469"/>
      <c r="O39" s="118" t="s">
        <v>143</v>
      </c>
      <c r="P39" s="12" t="s">
        <v>219</v>
      </c>
      <c r="Q39" s="806">
        <v>64500</v>
      </c>
      <c r="R39" s="751"/>
      <c r="S39" s="751"/>
      <c r="T39" s="459"/>
      <c r="U39" s="469"/>
      <c r="V39" s="459"/>
      <c r="W39" s="467"/>
      <c r="X39" s="459"/>
      <c r="Y39" s="469"/>
      <c r="Z39" s="467"/>
      <c r="AA39" s="459"/>
      <c r="AB39" s="459"/>
      <c r="AC39" s="751"/>
      <c r="AD39" s="751"/>
      <c r="AF39" s="481"/>
      <c r="AG39" s="682"/>
      <c r="AH39" s="459"/>
      <c r="AJ39" s="459"/>
      <c r="AK39" s="459"/>
      <c r="AL39" s="683"/>
      <c r="AM39" s="684"/>
      <c r="AN39" s="683"/>
      <c r="AO39" s="469"/>
      <c r="AP39" s="118"/>
      <c r="AQ39" s="12"/>
      <c r="AR39" s="685"/>
      <c r="AS39" s="469"/>
      <c r="AT39" s="469"/>
      <c r="AU39" s="459"/>
      <c r="AV39" s="469"/>
      <c r="AW39" s="459"/>
      <c r="AX39" s="467"/>
      <c r="AY39" s="459"/>
      <c r="AZ39" s="469"/>
      <c r="BA39" s="467"/>
      <c r="BD39" s="686"/>
    </row>
    <row r="40" spans="1:56" s="466" customFormat="1" ht="14.25" x14ac:dyDescent="0.2">
      <c r="A40" s="459"/>
      <c r="B40" s="459"/>
      <c r="C40" s="459"/>
      <c r="D40" s="459"/>
      <c r="E40" s="481"/>
      <c r="F40" s="849">
        <v>42623</v>
      </c>
      <c r="G40" s="459"/>
      <c r="H40" s="459"/>
      <c r="I40" s="459"/>
      <c r="J40" s="647"/>
      <c r="K40" s="610" t="s">
        <v>712</v>
      </c>
      <c r="L40" s="647">
        <v>40623100</v>
      </c>
      <c r="M40" s="647">
        <v>95751608</v>
      </c>
      <c r="N40" s="469"/>
      <c r="O40" s="118" t="s">
        <v>143</v>
      </c>
      <c r="P40" s="12" t="s">
        <v>219</v>
      </c>
      <c r="Q40" s="806">
        <v>67750</v>
      </c>
      <c r="R40" s="751"/>
      <c r="S40" s="751"/>
      <c r="T40" s="459"/>
      <c r="U40" s="469"/>
      <c r="V40" s="459"/>
      <c r="W40" s="467"/>
      <c r="X40" s="459"/>
      <c r="Y40" s="469"/>
      <c r="Z40" s="467"/>
      <c r="AA40" s="459"/>
      <c r="AB40" s="459"/>
      <c r="AC40" s="751"/>
      <c r="AD40" s="751"/>
      <c r="AF40" s="481"/>
      <c r="AG40" s="682"/>
      <c r="AH40" s="459"/>
      <c r="AJ40" s="459"/>
      <c r="AK40" s="459"/>
      <c r="AL40" s="683"/>
      <c r="AM40" s="684"/>
      <c r="AN40" s="683"/>
      <c r="AO40" s="469"/>
      <c r="AP40" s="118"/>
      <c r="AQ40" s="12"/>
      <c r="AR40" s="685"/>
      <c r="AS40" s="469"/>
      <c r="AT40" s="469"/>
      <c r="AU40" s="459"/>
      <c r="AV40" s="469"/>
      <c r="AW40" s="459"/>
      <c r="AX40" s="467"/>
      <c r="AY40" s="459"/>
      <c r="AZ40" s="469"/>
      <c r="BA40" s="467"/>
      <c r="BD40" s="686"/>
    </row>
    <row r="41" spans="1:56" s="466" customFormat="1" ht="14.25" x14ac:dyDescent="0.2">
      <c r="A41" s="459"/>
      <c r="B41" s="459"/>
      <c r="C41" s="459"/>
      <c r="D41" s="459"/>
      <c r="E41" s="481"/>
      <c r="F41" s="849">
        <v>42623</v>
      </c>
      <c r="G41" s="459"/>
      <c r="H41" s="459"/>
      <c r="I41" s="459"/>
      <c r="J41" s="647"/>
      <c r="K41" s="610" t="s">
        <v>712</v>
      </c>
      <c r="L41" s="647">
        <v>40623100</v>
      </c>
      <c r="M41" s="647">
        <v>95370664</v>
      </c>
      <c r="N41" s="469"/>
      <c r="O41" s="118" t="s">
        <v>143</v>
      </c>
      <c r="P41" s="12" t="s">
        <v>219</v>
      </c>
      <c r="Q41" s="806">
        <v>67250</v>
      </c>
      <c r="R41" s="751"/>
      <c r="S41" s="751"/>
      <c r="T41" s="459"/>
      <c r="U41" s="469"/>
      <c r="V41" s="459"/>
      <c r="W41" s="467"/>
      <c r="X41" s="459"/>
      <c r="Y41" s="469"/>
      <c r="Z41" s="467"/>
      <c r="AA41" s="459"/>
      <c r="AB41" s="459"/>
      <c r="AC41" s="751"/>
      <c r="AD41" s="751"/>
      <c r="AF41" s="481"/>
      <c r="AG41" s="682"/>
      <c r="AH41" s="459"/>
      <c r="AJ41" s="459"/>
      <c r="AK41" s="459"/>
      <c r="AL41" s="683"/>
      <c r="AM41" s="684"/>
      <c r="AN41" s="683"/>
      <c r="AO41" s="469"/>
      <c r="AP41" s="118"/>
      <c r="AQ41" s="12"/>
      <c r="AR41" s="685"/>
      <c r="AS41" s="469"/>
      <c r="AT41" s="469"/>
      <c r="AU41" s="459"/>
      <c r="AV41" s="469"/>
      <c r="AW41" s="459"/>
      <c r="AX41" s="467"/>
      <c r="AY41" s="459"/>
      <c r="AZ41" s="469"/>
      <c r="BA41" s="467"/>
      <c r="BD41" s="686"/>
    </row>
    <row r="42" spans="1:56" s="466" customFormat="1" ht="14.25" x14ac:dyDescent="0.2">
      <c r="A42" s="459"/>
      <c r="B42" s="459"/>
      <c r="C42" s="459"/>
      <c r="D42" s="459"/>
      <c r="E42" s="481"/>
      <c r="F42" s="849">
        <v>42623</v>
      </c>
      <c r="G42" s="459"/>
      <c r="H42" s="459"/>
      <c r="I42" s="459"/>
      <c r="J42" s="647"/>
      <c r="K42" s="610" t="s">
        <v>712</v>
      </c>
      <c r="L42" s="647">
        <v>40623100</v>
      </c>
      <c r="M42" s="647">
        <v>95539003</v>
      </c>
      <c r="N42" s="469"/>
      <c r="O42" s="118" t="s">
        <v>143</v>
      </c>
      <c r="P42" s="12" t="s">
        <v>219</v>
      </c>
      <c r="Q42" s="806">
        <v>66650</v>
      </c>
      <c r="R42" s="751"/>
      <c r="S42" s="751"/>
      <c r="T42" s="459"/>
      <c r="U42" s="469"/>
      <c r="V42" s="459"/>
      <c r="W42" s="467"/>
      <c r="X42" s="459"/>
      <c r="Y42" s="469"/>
      <c r="Z42" s="467"/>
      <c r="AA42" s="459"/>
      <c r="AB42" s="459"/>
      <c r="AC42" s="751"/>
      <c r="AD42" s="751"/>
      <c r="AF42" s="481"/>
      <c r="AG42" s="682"/>
      <c r="AH42" s="459"/>
      <c r="AJ42" s="459"/>
      <c r="AK42" s="459"/>
      <c r="AL42" s="683"/>
      <c r="AM42" s="684"/>
      <c r="AN42" s="683"/>
      <c r="AO42" s="469"/>
      <c r="AP42" s="118"/>
      <c r="AQ42" s="12"/>
      <c r="AR42" s="685"/>
      <c r="AS42" s="469"/>
      <c r="AT42" s="469"/>
      <c r="AU42" s="459"/>
      <c r="AV42" s="469"/>
      <c r="AW42" s="459"/>
      <c r="AX42" s="467"/>
      <c r="AY42" s="459"/>
      <c r="AZ42" s="469"/>
      <c r="BA42" s="467"/>
      <c r="BD42" s="686"/>
    </row>
    <row r="43" spans="1:56" s="466" customFormat="1" ht="14.25" x14ac:dyDescent="0.2">
      <c r="A43" s="459"/>
      <c r="B43" s="459"/>
      <c r="C43" s="459"/>
      <c r="D43" s="459"/>
      <c r="E43" s="481"/>
      <c r="F43" s="849">
        <v>42623</v>
      </c>
      <c r="G43" s="459"/>
      <c r="H43" s="459"/>
      <c r="I43" s="459"/>
      <c r="J43" s="647"/>
      <c r="K43" s="610" t="s">
        <v>707</v>
      </c>
      <c r="L43" s="647">
        <v>600634</v>
      </c>
      <c r="M43" s="628" t="s">
        <v>913</v>
      </c>
      <c r="N43" s="469"/>
      <c r="O43" s="118" t="s">
        <v>143</v>
      </c>
      <c r="P43" s="12" t="s">
        <v>219</v>
      </c>
      <c r="Q43" s="806">
        <v>25600</v>
      </c>
      <c r="R43" s="751"/>
      <c r="S43" s="751"/>
      <c r="T43" s="459"/>
      <c r="U43" s="469"/>
      <c r="V43" s="459"/>
      <c r="W43" s="467"/>
      <c r="X43" s="459"/>
      <c r="Y43" s="469"/>
      <c r="Z43" s="467"/>
      <c r="AA43" s="459"/>
      <c r="AB43" s="459"/>
      <c r="AC43" s="751"/>
      <c r="AD43" s="751"/>
      <c r="AF43" s="481"/>
      <c r="AG43" s="682"/>
      <c r="AH43" s="459"/>
      <c r="AJ43" s="459"/>
      <c r="AK43" s="459"/>
      <c r="AL43" s="683"/>
      <c r="AM43" s="684"/>
      <c r="AN43" s="683"/>
      <c r="AO43" s="469"/>
      <c r="AP43" s="118"/>
      <c r="AQ43" s="12"/>
      <c r="AR43" s="685"/>
      <c r="AS43" s="469"/>
      <c r="AT43" s="469"/>
      <c r="AU43" s="459"/>
      <c r="AV43" s="469"/>
      <c r="AW43" s="459"/>
      <c r="AX43" s="467"/>
      <c r="AY43" s="459"/>
      <c r="AZ43" s="469"/>
      <c r="BA43" s="467"/>
      <c r="BD43" s="686"/>
    </row>
    <row r="44" spans="1:56" s="466" customFormat="1" ht="14.25" x14ac:dyDescent="0.2">
      <c r="A44" s="459"/>
      <c r="B44" s="459"/>
      <c r="C44" s="459"/>
      <c r="D44" s="459"/>
      <c r="E44" s="481"/>
      <c r="F44" s="849">
        <v>42624</v>
      </c>
      <c r="G44" s="459"/>
      <c r="H44" s="459"/>
      <c r="I44" s="459"/>
      <c r="J44" s="647"/>
      <c r="K44" s="610" t="s">
        <v>712</v>
      </c>
      <c r="L44" s="647">
        <v>40622698</v>
      </c>
      <c r="M44" s="647">
        <v>95532628</v>
      </c>
      <c r="N44" s="469"/>
      <c r="O44" s="118" t="s">
        <v>143</v>
      </c>
      <c r="P44" s="12" t="s">
        <v>219</v>
      </c>
      <c r="Q44" s="806">
        <v>68300</v>
      </c>
      <c r="R44" s="751"/>
      <c r="S44" s="751"/>
      <c r="T44" s="459"/>
      <c r="U44" s="469"/>
      <c r="V44" s="459"/>
      <c r="W44" s="467"/>
      <c r="X44" s="459"/>
      <c r="Y44" s="469"/>
      <c r="Z44" s="467"/>
      <c r="AA44" s="459"/>
      <c r="AB44" s="459"/>
      <c r="AC44" s="751"/>
      <c r="AD44" s="751"/>
      <c r="AF44" s="481"/>
      <c r="AG44" s="682"/>
      <c r="AH44" s="459"/>
      <c r="AJ44" s="459"/>
      <c r="AK44" s="459"/>
      <c r="AL44" s="683"/>
      <c r="AM44" s="684"/>
      <c r="AN44" s="683"/>
      <c r="AO44" s="469"/>
      <c r="AP44" s="118"/>
      <c r="AQ44" s="12"/>
      <c r="AR44" s="685"/>
      <c r="AS44" s="469"/>
      <c r="AT44" s="469"/>
      <c r="AU44" s="459"/>
      <c r="AV44" s="469"/>
      <c r="AW44" s="459"/>
      <c r="AX44" s="467"/>
      <c r="AY44" s="459"/>
      <c r="AZ44" s="469"/>
      <c r="BA44" s="467"/>
      <c r="BD44" s="686"/>
    </row>
    <row r="45" spans="1:56" s="466" customFormat="1" ht="14.25" x14ac:dyDescent="0.2">
      <c r="A45" s="459"/>
      <c r="B45" s="459"/>
      <c r="C45" s="459"/>
      <c r="D45" s="459"/>
      <c r="E45" s="481"/>
      <c r="F45" s="849">
        <v>42624</v>
      </c>
      <c r="G45" s="459"/>
      <c r="H45" s="459"/>
      <c r="I45" s="459"/>
      <c r="J45" s="647"/>
      <c r="K45" s="610" t="s">
        <v>712</v>
      </c>
      <c r="L45" s="647">
        <v>40622698</v>
      </c>
      <c r="M45" s="647">
        <v>95752481</v>
      </c>
      <c r="N45" s="469"/>
      <c r="O45" s="118" t="s">
        <v>143</v>
      </c>
      <c r="P45" s="12" t="s">
        <v>219</v>
      </c>
      <c r="Q45" s="806">
        <v>67750</v>
      </c>
      <c r="R45" s="751"/>
      <c r="S45" s="751"/>
      <c r="T45" s="459"/>
      <c r="U45" s="469"/>
      <c r="V45" s="459"/>
      <c r="W45" s="467"/>
      <c r="X45" s="459"/>
      <c r="Y45" s="469"/>
      <c r="Z45" s="467"/>
      <c r="AA45" s="459"/>
      <c r="AB45" s="459"/>
      <c r="AC45" s="751"/>
      <c r="AD45" s="751"/>
      <c r="AF45" s="481"/>
      <c r="AG45" s="682"/>
      <c r="AH45" s="459"/>
      <c r="AJ45" s="459"/>
      <c r="AK45" s="459"/>
      <c r="AL45" s="683"/>
      <c r="AM45" s="684"/>
      <c r="AN45" s="683"/>
      <c r="AO45" s="469"/>
      <c r="AP45" s="118"/>
      <c r="AQ45" s="12"/>
      <c r="AR45" s="685"/>
      <c r="AS45" s="469"/>
      <c r="AT45" s="469"/>
      <c r="AU45" s="459"/>
      <c r="AV45" s="469"/>
      <c r="AW45" s="459"/>
      <c r="AX45" s="467"/>
      <c r="AY45" s="459"/>
      <c r="AZ45" s="469"/>
      <c r="BA45" s="467"/>
      <c r="BD45" s="686"/>
    </row>
    <row r="46" spans="1:56" s="466" customFormat="1" ht="13.5" customHeight="1" x14ac:dyDescent="0.2">
      <c r="A46" s="459"/>
      <c r="B46" s="459"/>
      <c r="C46" s="459"/>
      <c r="D46" s="459"/>
      <c r="E46" s="481"/>
      <c r="F46" s="849">
        <v>42624</v>
      </c>
      <c r="G46" s="459"/>
      <c r="H46" s="459"/>
      <c r="I46" s="459"/>
      <c r="J46" s="647"/>
      <c r="K46" s="610" t="s">
        <v>712</v>
      </c>
      <c r="L46" s="647">
        <v>40622698</v>
      </c>
      <c r="M46" s="647">
        <v>95492526</v>
      </c>
      <c r="N46" s="469"/>
      <c r="O46" s="118" t="s">
        <v>143</v>
      </c>
      <c r="P46" s="12" t="s">
        <v>219</v>
      </c>
      <c r="Q46" s="806">
        <v>69500</v>
      </c>
      <c r="R46" s="751"/>
      <c r="S46" s="751"/>
      <c r="T46" s="459"/>
      <c r="U46" s="469"/>
      <c r="V46" s="459"/>
      <c r="W46" s="467"/>
      <c r="X46" s="459"/>
      <c r="Y46" s="469"/>
      <c r="Z46" s="467"/>
      <c r="AA46" s="459"/>
      <c r="AB46" s="459"/>
      <c r="AC46" s="751"/>
      <c r="AD46" s="751"/>
      <c r="AF46" s="481"/>
      <c r="AG46" s="682"/>
      <c r="AH46" s="459"/>
      <c r="AJ46" s="459"/>
      <c r="AK46" s="459"/>
      <c r="AL46" s="683"/>
      <c r="AM46" s="684"/>
      <c r="AN46" s="683"/>
      <c r="AO46" s="469"/>
      <c r="AP46" s="118"/>
      <c r="AQ46" s="12"/>
      <c r="AR46" s="685"/>
      <c r="AS46" s="469"/>
      <c r="AT46" s="469"/>
      <c r="AU46" s="459"/>
      <c r="AV46" s="469"/>
      <c r="AW46" s="459"/>
      <c r="AX46" s="467"/>
      <c r="AY46" s="459"/>
      <c r="AZ46" s="469"/>
      <c r="BA46" s="467"/>
      <c r="BD46" s="686"/>
    </row>
    <row r="47" spans="1:56" s="466" customFormat="1" ht="13.5" customHeight="1" x14ac:dyDescent="0.2">
      <c r="A47" s="459"/>
      <c r="B47" s="459"/>
      <c r="C47" s="459"/>
      <c r="D47" s="459"/>
      <c r="E47" s="481"/>
      <c r="F47" s="849">
        <v>42624</v>
      </c>
      <c r="G47" s="459"/>
      <c r="H47" s="459"/>
      <c r="I47" s="459"/>
      <c r="J47" s="647"/>
      <c r="K47" s="610" t="s">
        <v>712</v>
      </c>
      <c r="L47" s="647">
        <v>40623100</v>
      </c>
      <c r="M47" s="647">
        <v>95796132</v>
      </c>
      <c r="N47" s="469"/>
      <c r="O47" s="118" t="s">
        <v>143</v>
      </c>
      <c r="P47" s="12" t="s">
        <v>219</v>
      </c>
      <c r="Q47" s="806">
        <v>67550</v>
      </c>
      <c r="R47" s="751"/>
      <c r="S47" s="751"/>
      <c r="T47" s="459"/>
      <c r="U47" s="469"/>
      <c r="V47" s="459"/>
      <c r="W47" s="467"/>
      <c r="X47" s="459"/>
      <c r="Y47" s="469"/>
      <c r="Z47" s="467"/>
      <c r="AA47" s="459"/>
      <c r="AB47" s="459"/>
      <c r="AC47" s="751"/>
      <c r="AD47" s="751"/>
      <c r="AF47" s="481"/>
      <c r="AG47" s="682"/>
      <c r="AH47" s="459"/>
      <c r="AJ47" s="459"/>
      <c r="AK47" s="459"/>
      <c r="AL47" s="683"/>
      <c r="AM47" s="684"/>
      <c r="AN47" s="683"/>
      <c r="AO47" s="469"/>
      <c r="AP47" s="118"/>
      <c r="AQ47" s="12"/>
      <c r="AR47" s="685"/>
      <c r="AS47" s="469"/>
      <c r="AT47" s="469"/>
      <c r="AU47" s="459"/>
      <c r="AV47" s="469"/>
      <c r="AW47" s="459"/>
      <c r="AX47" s="467"/>
      <c r="AY47" s="459"/>
      <c r="AZ47" s="469"/>
      <c r="BA47" s="467"/>
      <c r="BD47" s="686"/>
    </row>
    <row r="48" spans="1:56" s="466" customFormat="1" ht="13.5" customHeight="1" x14ac:dyDescent="0.2">
      <c r="A48" s="459"/>
      <c r="B48" s="459"/>
      <c r="C48" s="459"/>
      <c r="D48" s="459"/>
      <c r="E48" s="481"/>
      <c r="F48" s="849">
        <v>42624</v>
      </c>
      <c r="G48" s="459"/>
      <c r="H48" s="459"/>
      <c r="I48" s="459"/>
      <c r="J48" s="647"/>
      <c r="K48" s="610" t="s">
        <v>712</v>
      </c>
      <c r="L48" s="647">
        <v>40623100</v>
      </c>
      <c r="M48" s="647">
        <v>95396453</v>
      </c>
      <c r="N48" s="469"/>
      <c r="O48" s="118" t="s">
        <v>143</v>
      </c>
      <c r="P48" s="12" t="s">
        <v>219</v>
      </c>
      <c r="Q48" s="806">
        <v>63700</v>
      </c>
      <c r="R48" s="751"/>
      <c r="S48" s="751"/>
      <c r="T48" s="459"/>
      <c r="U48" s="469"/>
      <c r="V48" s="459"/>
      <c r="W48" s="467"/>
      <c r="X48" s="459"/>
      <c r="Y48" s="469"/>
      <c r="Z48" s="467"/>
      <c r="AA48" s="459"/>
      <c r="AB48" s="459"/>
      <c r="AC48" s="751"/>
      <c r="AD48" s="751"/>
      <c r="AF48" s="481"/>
      <c r="AG48" s="682"/>
      <c r="AH48" s="459"/>
      <c r="AJ48" s="459"/>
      <c r="AK48" s="459"/>
      <c r="AL48" s="683"/>
      <c r="AM48" s="684"/>
      <c r="AN48" s="683"/>
      <c r="AO48" s="469"/>
      <c r="AP48" s="118"/>
      <c r="AQ48" s="12"/>
      <c r="AR48" s="685"/>
      <c r="AS48" s="469"/>
      <c r="AT48" s="469"/>
      <c r="AU48" s="459"/>
      <c r="AV48" s="469"/>
      <c r="AW48" s="459"/>
      <c r="AX48" s="467"/>
      <c r="AY48" s="459"/>
      <c r="AZ48" s="469"/>
      <c r="BA48" s="467"/>
      <c r="BD48" s="686"/>
    </row>
    <row r="49" spans="1:56" s="466" customFormat="1" ht="13.5" customHeight="1" x14ac:dyDescent="0.2">
      <c r="A49" s="459"/>
      <c r="B49" s="459"/>
      <c r="C49" s="459"/>
      <c r="D49" s="459"/>
      <c r="E49" s="481"/>
      <c r="F49" s="849">
        <v>42624</v>
      </c>
      <c r="G49" s="459"/>
      <c r="H49" s="459"/>
      <c r="I49" s="459"/>
      <c r="J49" s="647"/>
      <c r="K49" s="610" t="s">
        <v>767</v>
      </c>
      <c r="L49" s="647">
        <v>44156057</v>
      </c>
      <c r="M49" s="647">
        <v>95539359</v>
      </c>
      <c r="N49" s="469"/>
      <c r="O49" s="118" t="s">
        <v>143</v>
      </c>
      <c r="P49" s="12" t="s">
        <v>219</v>
      </c>
      <c r="Q49" s="806">
        <v>66050</v>
      </c>
      <c r="R49" s="751"/>
      <c r="S49" s="751"/>
      <c r="T49" s="459"/>
      <c r="U49" s="469"/>
      <c r="V49" s="459"/>
      <c r="W49" s="467"/>
      <c r="X49" s="459"/>
      <c r="Y49" s="469"/>
      <c r="Z49" s="467"/>
      <c r="AA49" s="459"/>
      <c r="AB49" s="459"/>
      <c r="AC49" s="751"/>
      <c r="AD49" s="751"/>
      <c r="AF49" s="481"/>
      <c r="AG49" s="682"/>
      <c r="AH49" s="459"/>
      <c r="AJ49" s="459"/>
      <c r="AK49" s="459"/>
      <c r="AL49" s="683"/>
      <c r="AM49" s="684"/>
      <c r="AN49" s="683"/>
      <c r="AO49" s="469"/>
      <c r="AP49" s="118"/>
      <c r="AQ49" s="12"/>
      <c r="AR49" s="685"/>
      <c r="AS49" s="469"/>
      <c r="AT49" s="469"/>
      <c r="AU49" s="459"/>
      <c r="AV49" s="469"/>
      <c r="AW49" s="459"/>
      <c r="AX49" s="467"/>
      <c r="AY49" s="459"/>
      <c r="AZ49" s="469"/>
      <c r="BA49" s="467"/>
      <c r="BD49" s="686"/>
    </row>
    <row r="50" spans="1:56" s="466" customFormat="1" ht="13.5" customHeight="1" x14ac:dyDescent="0.2">
      <c r="A50" s="459"/>
      <c r="B50" s="459"/>
      <c r="C50" s="459"/>
      <c r="D50" s="459"/>
      <c r="E50" s="481"/>
      <c r="F50" s="849">
        <v>42624</v>
      </c>
      <c r="G50" s="459"/>
      <c r="H50" s="459"/>
      <c r="I50" s="459"/>
      <c r="J50" s="647"/>
      <c r="K50" s="610" t="s">
        <v>767</v>
      </c>
      <c r="L50" s="647">
        <v>44147684</v>
      </c>
      <c r="M50" s="647">
        <v>95349056</v>
      </c>
      <c r="N50" s="469"/>
      <c r="O50" s="118" t="s">
        <v>143</v>
      </c>
      <c r="P50" s="12" t="s">
        <v>219</v>
      </c>
      <c r="Q50" s="806">
        <v>67700</v>
      </c>
      <c r="R50" s="751"/>
      <c r="S50" s="751"/>
      <c r="T50" s="459"/>
      <c r="U50" s="469"/>
      <c r="V50" s="459"/>
      <c r="W50" s="467"/>
      <c r="X50" s="459"/>
      <c r="Y50" s="469"/>
      <c r="Z50" s="467"/>
      <c r="AA50" s="459"/>
      <c r="AB50" s="459"/>
      <c r="AC50" s="751"/>
      <c r="AD50" s="751"/>
      <c r="AF50" s="481"/>
      <c r="AG50" s="682"/>
      <c r="AH50" s="459"/>
      <c r="AJ50" s="459"/>
      <c r="AK50" s="459"/>
      <c r="AL50" s="683"/>
      <c r="AM50" s="684"/>
      <c r="AN50" s="683"/>
      <c r="AO50" s="469"/>
      <c r="AP50" s="118"/>
      <c r="AQ50" s="12"/>
      <c r="AR50" s="685"/>
      <c r="AS50" s="469"/>
      <c r="AT50" s="469"/>
      <c r="AU50" s="459"/>
      <c r="AV50" s="469"/>
      <c r="AW50" s="459"/>
      <c r="AX50" s="467"/>
      <c r="AY50" s="459"/>
      <c r="AZ50" s="469"/>
      <c r="BA50" s="467"/>
      <c r="BD50" s="686"/>
    </row>
    <row r="51" spans="1:56" s="466" customFormat="1" ht="13.5" customHeight="1" x14ac:dyDescent="0.2">
      <c r="A51" s="459"/>
      <c r="B51" s="459"/>
      <c r="C51" s="459"/>
      <c r="D51" s="459"/>
      <c r="E51" s="481"/>
      <c r="F51" s="849">
        <v>42624</v>
      </c>
      <c r="G51" s="459"/>
      <c r="H51" s="459"/>
      <c r="I51" s="459"/>
      <c r="J51" s="647"/>
      <c r="K51" s="610" t="s">
        <v>767</v>
      </c>
      <c r="L51" s="647">
        <v>44147684</v>
      </c>
      <c r="M51" s="647">
        <v>95538450</v>
      </c>
      <c r="N51" s="469"/>
      <c r="O51" s="118" t="s">
        <v>143</v>
      </c>
      <c r="P51" s="12" t="s">
        <v>219</v>
      </c>
      <c r="Q51" s="806">
        <v>67650</v>
      </c>
      <c r="R51" s="751"/>
      <c r="S51" s="751"/>
      <c r="T51" s="459"/>
      <c r="U51" s="469"/>
      <c r="V51" s="459"/>
      <c r="W51" s="467"/>
      <c r="X51" s="459"/>
      <c r="Y51" s="469"/>
      <c r="Z51" s="467"/>
      <c r="AA51" s="459"/>
      <c r="AB51" s="459"/>
      <c r="AC51" s="751"/>
      <c r="AD51" s="751"/>
      <c r="AF51" s="481"/>
      <c r="AG51" s="682"/>
      <c r="AH51" s="459"/>
      <c r="AJ51" s="459"/>
      <c r="AK51" s="459"/>
      <c r="AL51" s="683"/>
      <c r="AM51" s="684"/>
      <c r="AN51" s="683"/>
      <c r="AO51" s="469"/>
      <c r="AP51" s="118"/>
      <c r="AQ51" s="12"/>
      <c r="AR51" s="685"/>
      <c r="AS51" s="469"/>
      <c r="AT51" s="469"/>
      <c r="AU51" s="459"/>
      <c r="AV51" s="469"/>
      <c r="AW51" s="459"/>
      <c r="AX51" s="467"/>
      <c r="AY51" s="459"/>
      <c r="AZ51" s="469"/>
      <c r="BA51" s="467"/>
      <c r="BD51" s="686"/>
    </row>
    <row r="52" spans="1:56" s="466" customFormat="1" ht="13.5" customHeight="1" x14ac:dyDescent="0.2">
      <c r="A52" s="459"/>
      <c r="B52" s="459"/>
      <c r="C52" s="459"/>
      <c r="D52" s="459"/>
      <c r="E52" s="481"/>
      <c r="F52" s="849">
        <v>42624</v>
      </c>
      <c r="G52" s="459"/>
      <c r="H52" s="459"/>
      <c r="I52" s="459"/>
      <c r="J52" s="647"/>
      <c r="K52" s="610" t="s">
        <v>767</v>
      </c>
      <c r="L52" s="647">
        <v>44147684</v>
      </c>
      <c r="M52" s="647">
        <v>95630208</v>
      </c>
      <c r="N52" s="469"/>
      <c r="O52" s="118" t="s">
        <v>143</v>
      </c>
      <c r="P52" s="12" t="s">
        <v>219</v>
      </c>
      <c r="Q52" s="806">
        <v>68300</v>
      </c>
      <c r="R52" s="751"/>
      <c r="S52" s="751"/>
      <c r="T52" s="459"/>
      <c r="U52" s="469"/>
      <c r="V52" s="459"/>
      <c r="W52" s="467"/>
      <c r="X52" s="459"/>
      <c r="Y52" s="469"/>
      <c r="Z52" s="467"/>
      <c r="AA52" s="459"/>
      <c r="AB52" s="459"/>
      <c r="AC52" s="751"/>
      <c r="AD52" s="751"/>
      <c r="AF52" s="481"/>
      <c r="AG52" s="682"/>
      <c r="AH52" s="459"/>
      <c r="AJ52" s="459"/>
      <c r="AK52" s="459"/>
      <c r="AL52" s="683"/>
      <c r="AM52" s="684"/>
      <c r="AN52" s="683"/>
      <c r="AO52" s="469"/>
      <c r="AP52" s="118"/>
      <c r="AQ52" s="12"/>
      <c r="AR52" s="685"/>
      <c r="AS52" s="469"/>
      <c r="AT52" s="469"/>
      <c r="AU52" s="459"/>
      <c r="AV52" s="469"/>
      <c r="AW52" s="459"/>
      <c r="AX52" s="467"/>
      <c r="AY52" s="459"/>
      <c r="AZ52" s="469"/>
      <c r="BA52" s="467"/>
      <c r="BD52" s="686"/>
    </row>
    <row r="53" spans="1:56" s="466" customFormat="1" ht="13.5" customHeight="1" x14ac:dyDescent="0.2">
      <c r="A53" s="459"/>
      <c r="B53" s="459"/>
      <c r="C53" s="459"/>
      <c r="D53" s="459"/>
      <c r="E53" s="481"/>
      <c r="F53" s="849">
        <v>42624</v>
      </c>
      <c r="G53" s="459"/>
      <c r="H53" s="459"/>
      <c r="I53" s="459"/>
      <c r="J53" s="647"/>
      <c r="K53" s="610" t="s">
        <v>767</v>
      </c>
      <c r="L53" s="647">
        <v>44147684</v>
      </c>
      <c r="M53" s="647">
        <v>95648861</v>
      </c>
      <c r="N53" s="469"/>
      <c r="O53" s="118" t="s">
        <v>143</v>
      </c>
      <c r="P53" s="12" t="s">
        <v>219</v>
      </c>
      <c r="Q53" s="806">
        <v>66300</v>
      </c>
      <c r="R53" s="751"/>
      <c r="S53" s="751"/>
      <c r="T53" s="459"/>
      <c r="U53" s="469"/>
      <c r="V53" s="459"/>
      <c r="W53" s="467"/>
      <c r="X53" s="459"/>
      <c r="Y53" s="469"/>
      <c r="Z53" s="467"/>
      <c r="AA53" s="459"/>
      <c r="AB53" s="459"/>
      <c r="AC53" s="751"/>
      <c r="AD53" s="751"/>
      <c r="AF53" s="481"/>
      <c r="AG53" s="682"/>
      <c r="AH53" s="459"/>
      <c r="AJ53" s="459"/>
      <c r="AK53" s="459"/>
      <c r="AL53" s="683"/>
      <c r="AM53" s="684"/>
      <c r="AN53" s="683"/>
      <c r="AO53" s="469"/>
      <c r="AP53" s="118"/>
      <c r="AQ53" s="12"/>
      <c r="AR53" s="685"/>
      <c r="AS53" s="469"/>
      <c r="AT53" s="469"/>
      <c r="AU53" s="459"/>
      <c r="AV53" s="469"/>
      <c r="AW53" s="459"/>
      <c r="AX53" s="467"/>
      <c r="AY53" s="459"/>
      <c r="AZ53" s="469"/>
      <c r="BA53" s="467"/>
      <c r="BD53" s="686"/>
    </row>
    <row r="54" spans="1:56" s="466" customFormat="1" ht="13.5" customHeight="1" x14ac:dyDescent="0.2">
      <c r="A54" s="459"/>
      <c r="B54" s="459"/>
      <c r="C54" s="459"/>
      <c r="D54" s="459"/>
      <c r="E54" s="481"/>
      <c r="F54" s="849">
        <v>42624</v>
      </c>
      <c r="G54" s="459"/>
      <c r="H54" s="459"/>
      <c r="I54" s="459"/>
      <c r="J54" s="647"/>
      <c r="K54" s="610" t="s">
        <v>712</v>
      </c>
      <c r="L54" s="647">
        <v>40622698</v>
      </c>
      <c r="M54" s="647">
        <v>95669131</v>
      </c>
      <c r="N54" s="469"/>
      <c r="O54" s="118" t="s">
        <v>143</v>
      </c>
      <c r="P54" s="12" t="s">
        <v>219</v>
      </c>
      <c r="Q54" s="806">
        <v>64000</v>
      </c>
      <c r="R54" s="751"/>
      <c r="S54" s="751"/>
      <c r="T54" s="459"/>
      <c r="U54" s="469"/>
      <c r="V54" s="459"/>
      <c r="W54" s="467"/>
      <c r="X54" s="459"/>
      <c r="Y54" s="469"/>
      <c r="Z54" s="467"/>
      <c r="AA54" s="459"/>
      <c r="AB54" s="459"/>
      <c r="AC54" s="751"/>
      <c r="AD54" s="751"/>
      <c r="AF54" s="481"/>
      <c r="AG54" s="682"/>
      <c r="AH54" s="459"/>
      <c r="AJ54" s="459"/>
      <c r="AK54" s="459"/>
      <c r="AL54" s="683"/>
      <c r="AM54" s="684"/>
      <c r="AN54" s="683"/>
      <c r="AO54" s="469"/>
      <c r="AP54" s="118"/>
      <c r="AQ54" s="12"/>
      <c r="AR54" s="685"/>
      <c r="AS54" s="469"/>
      <c r="AT54" s="469"/>
      <c r="AU54" s="459"/>
      <c r="AV54" s="469"/>
      <c r="AW54" s="459"/>
      <c r="AX54" s="467"/>
      <c r="AY54" s="459"/>
      <c r="AZ54" s="469"/>
      <c r="BA54" s="467"/>
      <c r="BD54" s="686"/>
    </row>
    <row r="55" spans="1:56" s="466" customFormat="1" ht="13.5" customHeight="1" x14ac:dyDescent="0.2">
      <c r="A55" s="459"/>
      <c r="B55" s="459"/>
      <c r="C55" s="459"/>
      <c r="D55" s="459"/>
      <c r="E55" s="481"/>
      <c r="F55" s="849">
        <v>42624</v>
      </c>
      <c r="G55" s="459"/>
      <c r="H55" s="459"/>
      <c r="I55" s="459"/>
      <c r="J55" s="647"/>
      <c r="K55" s="610" t="s">
        <v>712</v>
      </c>
      <c r="L55" s="647">
        <v>40622698</v>
      </c>
      <c r="M55" s="647">
        <v>95734448</v>
      </c>
      <c r="N55" s="469"/>
      <c r="O55" s="118" t="s">
        <v>143</v>
      </c>
      <c r="P55" s="12" t="s">
        <v>219</v>
      </c>
      <c r="Q55" s="806">
        <v>64050</v>
      </c>
      <c r="R55" s="751"/>
      <c r="S55" s="751"/>
      <c r="T55" s="459"/>
      <c r="U55" s="469"/>
      <c r="V55" s="459"/>
      <c r="W55" s="467"/>
      <c r="X55" s="459"/>
      <c r="Y55" s="469"/>
      <c r="Z55" s="467"/>
      <c r="AA55" s="459"/>
      <c r="AB55" s="459"/>
      <c r="AC55" s="751"/>
      <c r="AD55" s="751"/>
      <c r="AF55" s="481"/>
      <c r="AG55" s="682"/>
      <c r="AH55" s="459"/>
      <c r="AJ55" s="459"/>
      <c r="AK55" s="459"/>
      <c r="AL55" s="683"/>
      <c r="AM55" s="684"/>
      <c r="AN55" s="683"/>
      <c r="AO55" s="469"/>
      <c r="AP55" s="118"/>
      <c r="AQ55" s="12"/>
      <c r="AR55" s="685"/>
      <c r="AS55" s="469"/>
      <c r="AT55" s="469"/>
      <c r="AU55" s="459"/>
      <c r="AV55" s="469"/>
      <c r="AW55" s="459"/>
      <c r="AX55" s="467"/>
      <c r="AY55" s="459"/>
      <c r="AZ55" s="469"/>
      <c r="BA55" s="467"/>
      <c r="BD55" s="686"/>
    </row>
    <row r="56" spans="1:56" s="466" customFormat="1" ht="13.5" customHeight="1" x14ac:dyDescent="0.2">
      <c r="A56" s="459"/>
      <c r="B56" s="459"/>
      <c r="C56" s="459"/>
      <c r="D56" s="459"/>
      <c r="E56" s="481"/>
      <c r="F56" s="849">
        <v>42624</v>
      </c>
      <c r="G56" s="459"/>
      <c r="H56" s="459"/>
      <c r="I56" s="459"/>
      <c r="J56" s="647"/>
      <c r="K56" s="610" t="s">
        <v>712</v>
      </c>
      <c r="L56" s="647">
        <v>40622698</v>
      </c>
      <c r="M56" s="647">
        <v>95620076</v>
      </c>
      <c r="N56" s="469"/>
      <c r="O56" s="118" t="s">
        <v>143</v>
      </c>
      <c r="P56" s="12" t="s">
        <v>219</v>
      </c>
      <c r="Q56" s="806">
        <v>66050</v>
      </c>
      <c r="R56" s="751"/>
      <c r="S56" s="751"/>
      <c r="T56" s="459"/>
      <c r="U56" s="469"/>
      <c r="V56" s="459"/>
      <c r="W56" s="467"/>
      <c r="X56" s="459"/>
      <c r="Y56" s="469"/>
      <c r="Z56" s="467"/>
      <c r="AA56" s="459"/>
      <c r="AB56" s="459"/>
      <c r="AC56" s="751"/>
      <c r="AD56" s="751"/>
      <c r="AF56" s="481"/>
      <c r="AG56" s="682"/>
      <c r="AH56" s="459"/>
      <c r="AJ56" s="459"/>
      <c r="AK56" s="459"/>
      <c r="AL56" s="683"/>
      <c r="AM56" s="684"/>
      <c r="AN56" s="683"/>
      <c r="AO56" s="469"/>
      <c r="AP56" s="118"/>
      <c r="AQ56" s="12"/>
      <c r="AR56" s="685"/>
      <c r="AS56" s="469"/>
      <c r="AT56" s="469"/>
      <c r="AU56" s="459"/>
      <c r="AV56" s="469"/>
      <c r="AW56" s="459"/>
      <c r="AX56" s="467"/>
      <c r="AY56" s="459"/>
      <c r="AZ56" s="469"/>
      <c r="BA56" s="467"/>
      <c r="BD56" s="686"/>
    </row>
    <row r="57" spans="1:56" s="466" customFormat="1" ht="13.5" customHeight="1" x14ac:dyDescent="0.2">
      <c r="A57" s="459"/>
      <c r="B57" s="459"/>
      <c r="C57" s="459"/>
      <c r="D57" s="459"/>
      <c r="E57" s="481"/>
      <c r="F57" s="849">
        <v>42624</v>
      </c>
      <c r="G57" s="459"/>
      <c r="H57" s="459"/>
      <c r="I57" s="459"/>
      <c r="J57" s="647"/>
      <c r="K57" s="610" t="s">
        <v>767</v>
      </c>
      <c r="L57" s="647">
        <v>44153153</v>
      </c>
      <c r="M57" s="647">
        <v>95310538</v>
      </c>
      <c r="N57" s="469"/>
      <c r="O57" s="118" t="s">
        <v>143</v>
      </c>
      <c r="P57" s="12" t="s">
        <v>219</v>
      </c>
      <c r="Q57" s="806">
        <v>61450</v>
      </c>
      <c r="R57" s="751"/>
      <c r="S57" s="751"/>
      <c r="T57" s="459"/>
      <c r="U57" s="469"/>
      <c r="V57" s="459"/>
      <c r="W57" s="467"/>
      <c r="X57" s="459"/>
      <c r="Y57" s="469"/>
      <c r="Z57" s="467"/>
      <c r="AA57" s="459"/>
      <c r="AB57" s="459"/>
      <c r="AC57" s="751"/>
      <c r="AD57" s="751"/>
      <c r="AF57" s="481"/>
      <c r="AG57" s="682"/>
      <c r="AH57" s="459"/>
      <c r="AJ57" s="459"/>
      <c r="AK57" s="459"/>
      <c r="AL57" s="683"/>
      <c r="AM57" s="684"/>
      <c r="AN57" s="683"/>
      <c r="AO57" s="469"/>
      <c r="AP57" s="118"/>
      <c r="AQ57" s="12"/>
      <c r="AR57" s="685"/>
      <c r="AS57" s="469"/>
      <c r="AT57" s="469"/>
      <c r="AU57" s="459"/>
      <c r="AV57" s="469"/>
      <c r="AW57" s="459"/>
      <c r="AX57" s="467"/>
      <c r="AY57" s="459"/>
      <c r="AZ57" s="469"/>
      <c r="BA57" s="467"/>
      <c r="BD57" s="686"/>
    </row>
    <row r="58" spans="1:56" s="466" customFormat="1" ht="13.5" customHeight="1" x14ac:dyDescent="0.2">
      <c r="A58" s="459"/>
      <c r="B58" s="459"/>
      <c r="C58" s="459"/>
      <c r="D58" s="459"/>
      <c r="E58" s="481"/>
      <c r="F58" s="849">
        <v>42624</v>
      </c>
      <c r="G58" s="459"/>
      <c r="H58" s="459"/>
      <c r="I58" s="459"/>
      <c r="J58" s="647"/>
      <c r="K58" s="610" t="s">
        <v>767</v>
      </c>
      <c r="L58" s="647">
        <v>44153153</v>
      </c>
      <c r="M58" s="647">
        <v>95371571</v>
      </c>
      <c r="N58" s="469"/>
      <c r="O58" s="118" t="s">
        <v>143</v>
      </c>
      <c r="P58" s="12" t="s">
        <v>219</v>
      </c>
      <c r="Q58" s="806">
        <v>66800</v>
      </c>
      <c r="R58" s="751"/>
      <c r="S58" s="751"/>
      <c r="T58" s="459"/>
      <c r="U58" s="469"/>
      <c r="V58" s="459"/>
      <c r="W58" s="467"/>
      <c r="X58" s="459"/>
      <c r="Y58" s="469"/>
      <c r="Z58" s="467"/>
      <c r="AA58" s="459"/>
      <c r="AB58" s="459"/>
      <c r="AC58" s="751"/>
      <c r="AD58" s="751"/>
      <c r="AF58" s="481"/>
      <c r="AG58" s="682"/>
      <c r="AH58" s="459"/>
      <c r="AJ58" s="459"/>
      <c r="AK58" s="459"/>
      <c r="AL58" s="683"/>
      <c r="AM58" s="684"/>
      <c r="AN58" s="683"/>
      <c r="AO58" s="469"/>
      <c r="AP58" s="118"/>
      <c r="AQ58" s="12"/>
      <c r="AR58" s="685"/>
      <c r="AS58" s="469"/>
      <c r="AT58" s="469"/>
      <c r="AU58" s="459"/>
      <c r="AV58" s="469"/>
      <c r="AW58" s="459"/>
      <c r="AX58" s="467"/>
      <c r="AY58" s="459"/>
      <c r="AZ58" s="469"/>
      <c r="BA58" s="467"/>
      <c r="BD58" s="686"/>
    </row>
    <row r="59" spans="1:56" s="466" customFormat="1" ht="13.5" customHeight="1" x14ac:dyDescent="0.2">
      <c r="A59" s="459"/>
      <c r="B59" s="459"/>
      <c r="C59" s="459"/>
      <c r="D59" s="459"/>
      <c r="E59" s="481"/>
      <c r="F59" s="849">
        <v>42624</v>
      </c>
      <c r="G59" s="459"/>
      <c r="H59" s="459"/>
      <c r="I59" s="459"/>
      <c r="J59" s="647"/>
      <c r="K59" s="610" t="s">
        <v>767</v>
      </c>
      <c r="L59" s="647">
        <v>44153153</v>
      </c>
      <c r="M59" s="647">
        <v>95325957</v>
      </c>
      <c r="N59" s="469"/>
      <c r="O59" s="118" t="s">
        <v>143</v>
      </c>
      <c r="P59" s="12" t="s">
        <v>219</v>
      </c>
      <c r="Q59" s="806">
        <v>67250</v>
      </c>
      <c r="R59" s="751"/>
      <c r="S59" s="751"/>
      <c r="T59" s="459"/>
      <c r="U59" s="469"/>
      <c r="V59" s="459"/>
      <c r="W59" s="467"/>
      <c r="X59" s="459"/>
      <c r="Y59" s="469"/>
      <c r="Z59" s="467"/>
      <c r="AA59" s="459"/>
      <c r="AB59" s="459"/>
      <c r="AC59" s="751"/>
      <c r="AD59" s="751"/>
      <c r="AF59" s="481"/>
      <c r="AG59" s="682"/>
      <c r="AH59" s="459"/>
      <c r="AJ59" s="459"/>
      <c r="AK59" s="459"/>
      <c r="AL59" s="683"/>
      <c r="AM59" s="684"/>
      <c r="AN59" s="683"/>
      <c r="AO59" s="469"/>
      <c r="AP59" s="118"/>
      <c r="AQ59" s="12"/>
      <c r="AR59" s="685"/>
      <c r="AS59" s="469"/>
      <c r="AT59" s="469"/>
      <c r="AU59" s="459"/>
      <c r="AV59" s="469"/>
      <c r="AW59" s="459"/>
      <c r="AX59" s="467"/>
      <c r="AY59" s="459"/>
      <c r="AZ59" s="469"/>
      <c r="BA59" s="467"/>
      <c r="BD59" s="686"/>
    </row>
    <row r="60" spans="1:56" s="466" customFormat="1" ht="13.5" customHeight="1" x14ac:dyDescent="0.2">
      <c r="A60" s="459"/>
      <c r="B60" s="459"/>
      <c r="C60" s="459"/>
      <c r="D60" s="459"/>
      <c r="E60" s="481"/>
      <c r="F60" s="849">
        <v>42624</v>
      </c>
      <c r="G60" s="459"/>
      <c r="H60" s="459"/>
      <c r="I60" s="459"/>
      <c r="J60" s="647"/>
      <c r="K60" s="610" t="s">
        <v>767</v>
      </c>
      <c r="L60" s="647">
        <v>44153153</v>
      </c>
      <c r="M60" s="647">
        <v>95354783</v>
      </c>
      <c r="N60" s="469"/>
      <c r="O60" s="118" t="s">
        <v>143</v>
      </c>
      <c r="P60" s="12" t="s">
        <v>219</v>
      </c>
      <c r="Q60" s="806">
        <v>64250</v>
      </c>
      <c r="R60" s="751"/>
      <c r="S60" s="751"/>
      <c r="T60" s="459"/>
      <c r="U60" s="469"/>
      <c r="V60" s="459"/>
      <c r="W60" s="467"/>
      <c r="X60" s="459"/>
      <c r="Y60" s="469"/>
      <c r="Z60" s="467"/>
      <c r="AA60" s="459"/>
      <c r="AB60" s="459"/>
      <c r="AC60" s="751"/>
      <c r="AD60" s="751"/>
      <c r="AF60" s="481"/>
      <c r="AG60" s="682"/>
      <c r="AH60" s="459"/>
      <c r="AJ60" s="459"/>
      <c r="AK60" s="459"/>
      <c r="AL60" s="683"/>
      <c r="AM60" s="684"/>
      <c r="AN60" s="683"/>
      <c r="AO60" s="469"/>
      <c r="AP60" s="118"/>
      <c r="AQ60" s="12"/>
      <c r="AR60" s="685"/>
      <c r="AS60" s="469"/>
      <c r="AT60" s="469"/>
      <c r="AU60" s="459"/>
      <c r="AV60" s="469"/>
      <c r="AW60" s="459"/>
      <c r="AX60" s="467"/>
      <c r="AY60" s="459"/>
      <c r="AZ60" s="469"/>
      <c r="BA60" s="467"/>
      <c r="BD60" s="686"/>
    </row>
    <row r="61" spans="1:56" s="466" customFormat="1" ht="13.5" customHeight="1" x14ac:dyDescent="0.2">
      <c r="A61" s="459"/>
      <c r="B61" s="459"/>
      <c r="C61" s="459"/>
      <c r="D61" s="459"/>
      <c r="E61" s="481"/>
      <c r="F61" s="849">
        <v>42624</v>
      </c>
      <c r="G61" s="459"/>
      <c r="H61" s="459"/>
      <c r="I61" s="459"/>
      <c r="J61" s="647"/>
      <c r="K61" s="610" t="s">
        <v>767</v>
      </c>
      <c r="L61" s="647">
        <v>44153153</v>
      </c>
      <c r="M61" s="647">
        <v>95793022</v>
      </c>
      <c r="N61" s="469"/>
      <c r="O61" s="118" t="s">
        <v>143</v>
      </c>
      <c r="P61" s="12" t="s">
        <v>219</v>
      </c>
      <c r="Q61" s="806">
        <v>65950</v>
      </c>
      <c r="R61" s="751"/>
      <c r="S61" s="751"/>
      <c r="T61" s="459"/>
      <c r="U61" s="469"/>
      <c r="V61" s="459"/>
      <c r="W61" s="467"/>
      <c r="X61" s="459"/>
      <c r="Y61" s="469"/>
      <c r="Z61" s="467"/>
      <c r="AA61" s="459"/>
      <c r="AB61" s="459"/>
      <c r="AC61" s="751"/>
      <c r="AD61" s="751"/>
      <c r="AF61" s="481"/>
      <c r="AG61" s="682"/>
      <c r="AH61" s="459"/>
      <c r="AJ61" s="459"/>
      <c r="AK61" s="459"/>
      <c r="AL61" s="683"/>
      <c r="AM61" s="684"/>
      <c r="AN61" s="683"/>
      <c r="AO61" s="469"/>
      <c r="AP61" s="118"/>
      <c r="AQ61" s="12"/>
      <c r="AR61" s="685"/>
      <c r="AS61" s="469"/>
      <c r="AT61" s="469"/>
      <c r="AU61" s="459"/>
      <c r="AV61" s="469"/>
      <c r="AW61" s="459"/>
      <c r="AX61" s="467"/>
      <c r="AY61" s="459"/>
      <c r="AZ61" s="469"/>
      <c r="BA61" s="467"/>
      <c r="BD61" s="686"/>
    </row>
    <row r="62" spans="1:56" s="466" customFormat="1" ht="13.5" customHeight="1" x14ac:dyDescent="0.2">
      <c r="A62" s="459"/>
      <c r="B62" s="459"/>
      <c r="C62" s="459"/>
      <c r="D62" s="459"/>
      <c r="E62" s="481"/>
      <c r="F62" s="849">
        <v>42624</v>
      </c>
      <c r="G62" s="459"/>
      <c r="H62" s="459"/>
      <c r="I62" s="459"/>
      <c r="J62" s="647"/>
      <c r="K62" s="610" t="s">
        <v>767</v>
      </c>
      <c r="L62" s="647">
        <v>44153153</v>
      </c>
      <c r="M62" s="647">
        <v>95758033</v>
      </c>
      <c r="N62" s="469"/>
      <c r="O62" s="118" t="s">
        <v>143</v>
      </c>
      <c r="P62" s="12" t="s">
        <v>219</v>
      </c>
      <c r="Q62" s="806">
        <v>62550</v>
      </c>
      <c r="R62" s="751"/>
      <c r="S62" s="751"/>
      <c r="T62" s="459"/>
      <c r="U62" s="469"/>
      <c r="V62" s="459"/>
      <c r="W62" s="467"/>
      <c r="X62" s="459"/>
      <c r="Y62" s="469"/>
      <c r="Z62" s="467"/>
      <c r="AA62" s="459"/>
      <c r="AB62" s="459"/>
      <c r="AC62" s="751"/>
      <c r="AD62" s="751"/>
      <c r="AF62" s="481"/>
      <c r="AG62" s="682"/>
      <c r="AH62" s="459"/>
      <c r="AJ62" s="459"/>
      <c r="AK62" s="459"/>
      <c r="AL62" s="683"/>
      <c r="AM62" s="684"/>
      <c r="AN62" s="683"/>
      <c r="AO62" s="469"/>
      <c r="AP62" s="118"/>
      <c r="AQ62" s="12"/>
      <c r="AR62" s="685"/>
      <c r="AS62" s="469"/>
      <c r="AT62" s="469"/>
      <c r="AU62" s="459"/>
      <c r="AV62" s="469"/>
      <c r="AW62" s="459"/>
      <c r="AX62" s="467"/>
      <c r="AY62" s="459"/>
      <c r="AZ62" s="469"/>
      <c r="BA62" s="467"/>
      <c r="BD62" s="686"/>
    </row>
    <row r="63" spans="1:56" s="466" customFormat="1" ht="13.5" customHeight="1" x14ac:dyDescent="0.2">
      <c r="A63" s="459"/>
      <c r="B63" s="459"/>
      <c r="C63" s="459"/>
      <c r="D63" s="459"/>
      <c r="E63" s="481"/>
      <c r="F63" s="849">
        <v>42624</v>
      </c>
      <c r="G63" s="459"/>
      <c r="H63" s="459"/>
      <c r="I63" s="459"/>
      <c r="J63" s="647"/>
      <c r="K63" s="610" t="s">
        <v>767</v>
      </c>
      <c r="L63" s="647">
        <v>44156057</v>
      </c>
      <c r="M63" s="647">
        <v>95691788</v>
      </c>
      <c r="N63" s="469"/>
      <c r="O63" s="118" t="s">
        <v>143</v>
      </c>
      <c r="P63" s="12" t="s">
        <v>219</v>
      </c>
      <c r="Q63" s="806">
        <v>66150</v>
      </c>
      <c r="R63" s="751"/>
      <c r="S63" s="751"/>
      <c r="T63" s="459"/>
      <c r="U63" s="469"/>
      <c r="V63" s="459"/>
      <c r="W63" s="467"/>
      <c r="X63" s="459"/>
      <c r="Y63" s="469"/>
      <c r="Z63" s="467"/>
      <c r="AA63" s="459"/>
      <c r="AB63" s="459"/>
      <c r="AC63" s="751"/>
      <c r="AD63" s="751"/>
      <c r="AF63" s="481"/>
      <c r="AG63" s="682"/>
      <c r="AH63" s="459"/>
      <c r="AJ63" s="459"/>
      <c r="AK63" s="459"/>
      <c r="AL63" s="683"/>
      <c r="AM63" s="684"/>
      <c r="AN63" s="683"/>
      <c r="AO63" s="469"/>
      <c r="AP63" s="118"/>
      <c r="AQ63" s="12"/>
      <c r="AR63" s="685"/>
      <c r="AS63" s="469"/>
      <c r="AT63" s="469"/>
      <c r="AU63" s="459"/>
      <c r="AV63" s="469"/>
      <c r="AW63" s="459"/>
      <c r="AX63" s="467"/>
      <c r="AY63" s="459"/>
      <c r="AZ63" s="469"/>
      <c r="BA63" s="467"/>
      <c r="BD63" s="686"/>
    </row>
    <row r="64" spans="1:56" s="466" customFormat="1" ht="13.5" customHeight="1" x14ac:dyDescent="0.2">
      <c r="A64" s="459"/>
      <c r="B64" s="459"/>
      <c r="C64" s="459"/>
      <c r="D64" s="459"/>
      <c r="E64" s="481"/>
      <c r="F64" s="849">
        <v>42624</v>
      </c>
      <c r="G64" s="459"/>
      <c r="H64" s="459"/>
      <c r="I64" s="459"/>
      <c r="J64" s="647"/>
      <c r="K64" s="610" t="s">
        <v>495</v>
      </c>
      <c r="L64" s="647">
        <v>47856513</v>
      </c>
      <c r="M64" s="647">
        <v>95377909</v>
      </c>
      <c r="N64" s="469"/>
      <c r="O64" s="118" t="s">
        <v>143</v>
      </c>
      <c r="P64" s="12" t="s">
        <v>219</v>
      </c>
      <c r="Q64" s="806">
        <v>69550</v>
      </c>
      <c r="R64" s="751"/>
      <c r="S64" s="751"/>
      <c r="T64" s="459"/>
      <c r="U64" s="469"/>
      <c r="V64" s="459"/>
      <c r="W64" s="467"/>
      <c r="X64" s="459"/>
      <c r="Y64" s="469"/>
      <c r="Z64" s="467"/>
      <c r="AA64" s="459"/>
      <c r="AB64" s="459"/>
      <c r="AC64" s="751"/>
      <c r="AD64" s="751"/>
      <c r="AF64" s="481"/>
      <c r="AG64" s="682"/>
      <c r="AH64" s="459"/>
      <c r="AJ64" s="459"/>
      <c r="AK64" s="459"/>
      <c r="AL64" s="683"/>
      <c r="AM64" s="684"/>
      <c r="AN64" s="683"/>
      <c r="AO64" s="469"/>
      <c r="AP64" s="118"/>
      <c r="AQ64" s="12"/>
      <c r="AR64" s="685"/>
      <c r="AS64" s="469"/>
      <c r="AT64" s="469"/>
      <c r="AU64" s="459"/>
      <c r="AV64" s="469"/>
      <c r="AW64" s="459"/>
      <c r="AX64" s="467"/>
      <c r="AY64" s="459"/>
      <c r="AZ64" s="469"/>
      <c r="BA64" s="467"/>
      <c r="BD64" s="686"/>
    </row>
    <row r="65" spans="1:56" s="466" customFormat="1" ht="13.5" customHeight="1" x14ac:dyDescent="0.2">
      <c r="A65" s="459"/>
      <c r="B65" s="459"/>
      <c r="C65" s="459"/>
      <c r="D65" s="459"/>
      <c r="E65" s="481"/>
      <c r="F65" s="849">
        <v>42624</v>
      </c>
      <c r="G65" s="459"/>
      <c r="H65" s="459"/>
      <c r="I65" s="459"/>
      <c r="J65" s="647"/>
      <c r="K65" s="610" t="s">
        <v>495</v>
      </c>
      <c r="L65" s="647">
        <v>47856513</v>
      </c>
      <c r="M65" s="647">
        <v>95669073</v>
      </c>
      <c r="N65" s="469"/>
      <c r="O65" s="118" t="s">
        <v>143</v>
      </c>
      <c r="P65" s="12" t="s">
        <v>219</v>
      </c>
      <c r="Q65" s="806">
        <v>70200</v>
      </c>
      <c r="R65" s="751"/>
      <c r="S65" s="751"/>
      <c r="T65" s="459"/>
      <c r="U65" s="469"/>
      <c r="V65" s="459"/>
      <c r="W65" s="467"/>
      <c r="X65" s="459"/>
      <c r="Y65" s="469"/>
      <c r="Z65" s="467"/>
      <c r="AA65" s="459"/>
      <c r="AB65" s="459"/>
      <c r="AC65" s="751"/>
      <c r="AD65" s="751"/>
      <c r="AF65" s="481"/>
      <c r="AG65" s="682"/>
      <c r="AH65" s="459"/>
      <c r="AJ65" s="459"/>
      <c r="AK65" s="459"/>
      <c r="AL65" s="683"/>
      <c r="AM65" s="684"/>
      <c r="AN65" s="683"/>
      <c r="AO65" s="469"/>
      <c r="AP65" s="118"/>
      <c r="AQ65" s="12"/>
      <c r="AR65" s="685"/>
      <c r="AS65" s="469"/>
      <c r="AT65" s="469"/>
      <c r="AU65" s="459"/>
      <c r="AV65" s="469"/>
      <c r="AW65" s="459"/>
      <c r="AX65" s="467"/>
      <c r="AY65" s="459"/>
      <c r="AZ65" s="469"/>
      <c r="BA65" s="467"/>
      <c r="BD65" s="686"/>
    </row>
    <row r="66" spans="1:56" s="466" customFormat="1" ht="13.5" customHeight="1" x14ac:dyDescent="0.2">
      <c r="A66" s="459"/>
      <c r="B66" s="459"/>
      <c r="C66" s="459"/>
      <c r="D66" s="459"/>
      <c r="E66" s="481"/>
      <c r="F66" s="849">
        <v>42624</v>
      </c>
      <c r="G66" s="459"/>
      <c r="H66" s="459"/>
      <c r="I66" s="459"/>
      <c r="J66" s="647"/>
      <c r="K66" s="610" t="s">
        <v>495</v>
      </c>
      <c r="L66" s="647">
        <v>47856513</v>
      </c>
      <c r="M66" s="647">
        <v>95531828</v>
      </c>
      <c r="N66" s="469"/>
      <c r="O66" s="118" t="s">
        <v>143</v>
      </c>
      <c r="P66" s="12" t="s">
        <v>219</v>
      </c>
      <c r="Q66" s="806">
        <v>69400</v>
      </c>
      <c r="R66" s="751"/>
      <c r="S66" s="751"/>
      <c r="T66" s="459"/>
      <c r="U66" s="469"/>
      <c r="V66" s="459"/>
      <c r="W66" s="467"/>
      <c r="X66" s="459"/>
      <c r="Y66" s="469"/>
      <c r="Z66" s="467"/>
      <c r="AA66" s="459"/>
      <c r="AB66" s="459"/>
      <c r="AC66" s="751"/>
      <c r="AD66" s="751"/>
      <c r="AF66" s="481"/>
      <c r="AG66" s="682"/>
      <c r="AH66" s="459"/>
      <c r="AJ66" s="459"/>
      <c r="AK66" s="459"/>
      <c r="AL66" s="683"/>
      <c r="AM66" s="684"/>
      <c r="AN66" s="683"/>
      <c r="AO66" s="469"/>
      <c r="AP66" s="118"/>
      <c r="AQ66" s="12"/>
      <c r="AR66" s="685"/>
      <c r="AS66" s="469"/>
      <c r="AT66" s="469"/>
      <c r="AU66" s="459"/>
      <c r="AV66" s="469"/>
      <c r="AW66" s="459"/>
      <c r="AX66" s="467"/>
      <c r="AY66" s="459"/>
      <c r="AZ66" s="469"/>
      <c r="BA66" s="467"/>
      <c r="BD66" s="686"/>
    </row>
    <row r="67" spans="1:56" s="466" customFormat="1" ht="13.5" customHeight="1" x14ac:dyDescent="0.2">
      <c r="A67" s="459"/>
      <c r="B67" s="459"/>
      <c r="C67" s="459"/>
      <c r="D67" s="459"/>
      <c r="E67" s="481"/>
      <c r="F67" s="849">
        <v>42624</v>
      </c>
      <c r="G67" s="459"/>
      <c r="H67" s="459"/>
      <c r="I67" s="459"/>
      <c r="J67" s="647"/>
      <c r="K67" s="610" t="s">
        <v>495</v>
      </c>
      <c r="L67" s="647">
        <v>47856513</v>
      </c>
      <c r="M67" s="647">
        <v>95392775</v>
      </c>
      <c r="N67" s="469"/>
      <c r="O67" s="118" t="s">
        <v>143</v>
      </c>
      <c r="P67" s="12" t="s">
        <v>219</v>
      </c>
      <c r="Q67" s="806">
        <v>69750</v>
      </c>
      <c r="R67" s="751"/>
      <c r="S67" s="751"/>
      <c r="T67" s="459"/>
      <c r="U67" s="469"/>
      <c r="V67" s="459"/>
      <c r="W67" s="467"/>
      <c r="X67" s="459"/>
      <c r="Y67" s="469"/>
      <c r="Z67" s="467"/>
      <c r="AA67" s="459"/>
      <c r="AB67" s="459"/>
      <c r="AC67" s="751"/>
      <c r="AD67" s="751"/>
      <c r="AF67" s="481"/>
      <c r="AG67" s="682"/>
      <c r="AH67" s="459"/>
      <c r="AJ67" s="459"/>
      <c r="AK67" s="459"/>
      <c r="AL67" s="683"/>
      <c r="AM67" s="684"/>
      <c r="AN67" s="683"/>
      <c r="AO67" s="469"/>
      <c r="AP67" s="118"/>
      <c r="AQ67" s="12"/>
      <c r="AR67" s="685"/>
      <c r="AS67" s="469"/>
      <c r="AT67" s="469"/>
      <c r="AU67" s="459"/>
      <c r="AV67" s="469"/>
      <c r="AW67" s="459"/>
      <c r="AX67" s="467"/>
      <c r="AY67" s="459"/>
      <c r="AZ67" s="469"/>
      <c r="BA67" s="467"/>
      <c r="BD67" s="686"/>
    </row>
    <row r="68" spans="1:56" s="466" customFormat="1" ht="13.5" customHeight="1" x14ac:dyDescent="0.2">
      <c r="A68" s="459"/>
      <c r="B68" s="459"/>
      <c r="C68" s="459"/>
      <c r="D68" s="459"/>
      <c r="E68" s="481"/>
      <c r="F68" s="849">
        <v>42624</v>
      </c>
      <c r="G68" s="459"/>
      <c r="H68" s="459"/>
      <c r="I68" s="459"/>
      <c r="J68" s="647"/>
      <c r="K68" s="610" t="s">
        <v>495</v>
      </c>
      <c r="L68" s="647">
        <v>47856513</v>
      </c>
      <c r="M68" s="647">
        <v>95351375</v>
      </c>
      <c r="N68" s="469"/>
      <c r="O68" s="118" t="s">
        <v>143</v>
      </c>
      <c r="P68" s="12" t="s">
        <v>219</v>
      </c>
      <c r="Q68" s="806">
        <v>69550</v>
      </c>
      <c r="R68" s="751"/>
      <c r="S68" s="751"/>
      <c r="T68" s="459"/>
      <c r="U68" s="469"/>
      <c r="V68" s="459"/>
      <c r="W68" s="467"/>
      <c r="X68" s="459"/>
      <c r="Y68" s="469"/>
      <c r="Z68" s="467"/>
      <c r="AA68" s="459"/>
      <c r="AB68" s="459"/>
      <c r="AC68" s="751"/>
      <c r="AD68" s="751"/>
      <c r="AF68" s="481"/>
      <c r="AG68" s="682"/>
      <c r="AH68" s="459"/>
      <c r="AJ68" s="459"/>
      <c r="AK68" s="459"/>
      <c r="AL68" s="683"/>
      <c r="AM68" s="684"/>
      <c r="AN68" s="683"/>
      <c r="AO68" s="469"/>
      <c r="AP68" s="118"/>
      <c r="AQ68" s="12"/>
      <c r="AR68" s="685"/>
      <c r="AS68" s="469"/>
      <c r="AT68" s="469"/>
      <c r="AU68" s="459"/>
      <c r="AV68" s="469"/>
      <c r="AW68" s="459"/>
      <c r="AX68" s="467"/>
      <c r="AY68" s="459"/>
      <c r="AZ68" s="469"/>
      <c r="BA68" s="467"/>
      <c r="BD68" s="686"/>
    </row>
    <row r="69" spans="1:56" s="466" customFormat="1" ht="13.5" customHeight="1" x14ac:dyDescent="0.2">
      <c r="A69" s="459"/>
      <c r="B69" s="459"/>
      <c r="C69" s="459"/>
      <c r="D69" s="459"/>
      <c r="E69" s="481"/>
      <c r="F69" s="849">
        <v>42624</v>
      </c>
      <c r="G69" s="459"/>
      <c r="H69" s="459"/>
      <c r="I69" s="459"/>
      <c r="J69" s="647"/>
      <c r="K69" s="610" t="s">
        <v>495</v>
      </c>
      <c r="L69" s="647">
        <v>47856513</v>
      </c>
      <c r="M69" s="647">
        <v>95711586</v>
      </c>
      <c r="N69" s="469"/>
      <c r="O69" s="118" t="s">
        <v>143</v>
      </c>
      <c r="P69" s="12" t="s">
        <v>219</v>
      </c>
      <c r="Q69" s="806">
        <v>69150</v>
      </c>
      <c r="R69" s="751"/>
      <c r="S69" s="751"/>
      <c r="T69" s="459"/>
      <c r="U69" s="469"/>
      <c r="V69" s="459"/>
      <c r="W69" s="467"/>
      <c r="X69" s="459"/>
      <c r="Y69" s="469"/>
      <c r="Z69" s="467"/>
      <c r="AA69" s="459"/>
      <c r="AB69" s="459"/>
      <c r="AC69" s="751"/>
      <c r="AD69" s="751"/>
      <c r="AF69" s="481"/>
      <c r="AG69" s="682"/>
      <c r="AH69" s="459"/>
      <c r="AJ69" s="459"/>
      <c r="AK69" s="459"/>
      <c r="AL69" s="683"/>
      <c r="AM69" s="684"/>
      <c r="AN69" s="683"/>
      <c r="AO69" s="469"/>
      <c r="AP69" s="118"/>
      <c r="AQ69" s="12"/>
      <c r="AR69" s="685"/>
      <c r="AS69" s="469"/>
      <c r="AT69" s="469"/>
      <c r="AU69" s="459"/>
      <c r="AV69" s="469"/>
      <c r="AW69" s="459"/>
      <c r="AX69" s="467"/>
      <c r="AY69" s="459"/>
      <c r="AZ69" s="469"/>
      <c r="BA69" s="467"/>
      <c r="BD69" s="686"/>
    </row>
    <row r="70" spans="1:56" s="466" customFormat="1" ht="13.5" customHeight="1" x14ac:dyDescent="0.2">
      <c r="A70" s="459"/>
      <c r="B70" s="459"/>
      <c r="C70" s="459"/>
      <c r="D70" s="459"/>
      <c r="E70" s="481"/>
      <c r="F70" s="849">
        <v>42624</v>
      </c>
      <c r="G70" s="459"/>
      <c r="H70" s="459"/>
      <c r="I70" s="459"/>
      <c r="J70" s="647"/>
      <c r="K70" s="610" t="s">
        <v>495</v>
      </c>
      <c r="L70" s="647">
        <v>50737600</v>
      </c>
      <c r="M70" s="647">
        <v>95530259</v>
      </c>
      <c r="N70" s="469"/>
      <c r="O70" s="118" t="s">
        <v>143</v>
      </c>
      <c r="P70" s="12" t="s">
        <v>219</v>
      </c>
      <c r="Q70" s="806">
        <v>69950</v>
      </c>
      <c r="R70" s="751"/>
      <c r="S70" s="751"/>
      <c r="T70" s="459"/>
      <c r="U70" s="469"/>
      <c r="V70" s="459"/>
      <c r="W70" s="467"/>
      <c r="X70" s="459"/>
      <c r="Y70" s="469"/>
      <c r="Z70" s="467"/>
      <c r="AA70" s="459"/>
      <c r="AB70" s="459"/>
      <c r="AC70" s="751"/>
      <c r="AD70" s="751"/>
      <c r="AF70" s="481"/>
      <c r="AG70" s="682"/>
      <c r="AH70" s="459"/>
      <c r="AJ70" s="459"/>
      <c r="AK70" s="459"/>
      <c r="AL70" s="683"/>
      <c r="AM70" s="684"/>
      <c r="AN70" s="683"/>
      <c r="AO70" s="469"/>
      <c r="AP70" s="118"/>
      <c r="AQ70" s="12"/>
      <c r="AR70" s="685"/>
      <c r="AS70" s="469"/>
      <c r="AT70" s="469"/>
      <c r="AU70" s="459"/>
      <c r="AV70" s="469"/>
      <c r="AW70" s="459"/>
      <c r="AX70" s="467"/>
      <c r="AY70" s="459"/>
      <c r="AZ70" s="469"/>
      <c r="BA70" s="467"/>
      <c r="BD70" s="686"/>
    </row>
    <row r="71" spans="1:56" s="466" customFormat="1" ht="13.5" customHeight="1" x14ac:dyDescent="0.2">
      <c r="A71" s="459"/>
      <c r="B71" s="459"/>
      <c r="C71" s="459"/>
      <c r="D71" s="459"/>
      <c r="E71" s="481"/>
      <c r="F71" s="849">
        <v>42624</v>
      </c>
      <c r="G71" s="459"/>
      <c r="H71" s="459"/>
      <c r="I71" s="459"/>
      <c r="J71" s="647"/>
      <c r="K71" s="610" t="s">
        <v>495</v>
      </c>
      <c r="L71" s="647">
        <v>50730415</v>
      </c>
      <c r="M71" s="647">
        <v>95531430</v>
      </c>
      <c r="N71" s="469"/>
      <c r="O71" s="118" t="s">
        <v>143</v>
      </c>
      <c r="P71" s="12" t="s">
        <v>219</v>
      </c>
      <c r="Q71" s="806">
        <v>69700</v>
      </c>
      <c r="R71" s="751"/>
      <c r="S71" s="751"/>
      <c r="T71" s="459"/>
      <c r="U71" s="469"/>
      <c r="V71" s="459"/>
      <c r="W71" s="467"/>
      <c r="X71" s="459"/>
      <c r="Y71" s="469"/>
      <c r="Z71" s="467"/>
      <c r="AA71" s="459"/>
      <c r="AB71" s="459"/>
      <c r="AC71" s="751"/>
      <c r="AD71" s="751"/>
      <c r="AF71" s="481"/>
      <c r="AG71" s="682"/>
      <c r="AH71" s="459"/>
      <c r="AJ71" s="459"/>
      <c r="AK71" s="459"/>
      <c r="AL71" s="683"/>
      <c r="AM71" s="684"/>
      <c r="AN71" s="683"/>
      <c r="AO71" s="469"/>
      <c r="AP71" s="118"/>
      <c r="AQ71" s="12"/>
      <c r="AR71" s="685"/>
      <c r="AS71" s="469"/>
      <c r="AT71" s="469"/>
      <c r="AU71" s="459"/>
      <c r="AV71" s="469"/>
      <c r="AW71" s="459"/>
      <c r="AX71" s="467"/>
      <c r="AY71" s="459"/>
      <c r="AZ71" s="469"/>
      <c r="BA71" s="467"/>
      <c r="BD71" s="686"/>
    </row>
    <row r="72" spans="1:56" s="466" customFormat="1" ht="13.5" customHeight="1" x14ac:dyDescent="0.2">
      <c r="A72" s="459"/>
      <c r="B72" s="459"/>
      <c r="C72" s="459"/>
      <c r="D72" s="459"/>
      <c r="E72" s="481"/>
      <c r="F72" s="849">
        <v>42624</v>
      </c>
      <c r="G72" s="459"/>
      <c r="H72" s="459"/>
      <c r="I72" s="459"/>
      <c r="J72" s="647"/>
      <c r="K72" s="610" t="s">
        <v>495</v>
      </c>
      <c r="L72" s="647">
        <v>50759273</v>
      </c>
      <c r="M72" s="647">
        <v>95377453</v>
      </c>
      <c r="N72" s="469"/>
      <c r="O72" s="118" t="s">
        <v>143</v>
      </c>
      <c r="P72" s="12" t="s">
        <v>219</v>
      </c>
      <c r="Q72" s="806">
        <v>69750</v>
      </c>
      <c r="R72" s="751"/>
      <c r="S72" s="751"/>
      <c r="T72" s="459"/>
      <c r="U72" s="469"/>
      <c r="V72" s="459"/>
      <c r="W72" s="467"/>
      <c r="X72" s="459"/>
      <c r="Y72" s="469"/>
      <c r="Z72" s="467"/>
      <c r="AA72" s="459"/>
      <c r="AB72" s="459"/>
      <c r="AC72" s="751"/>
      <c r="AD72" s="751"/>
      <c r="AF72" s="481"/>
      <c r="AG72" s="682"/>
      <c r="AH72" s="459"/>
      <c r="AJ72" s="459"/>
      <c r="AK72" s="459"/>
      <c r="AL72" s="683"/>
      <c r="AM72" s="684"/>
      <c r="AN72" s="683"/>
      <c r="AO72" s="469"/>
      <c r="AP72" s="118"/>
      <c r="AQ72" s="12"/>
      <c r="AR72" s="685"/>
      <c r="AS72" s="469"/>
      <c r="AT72" s="469"/>
      <c r="AU72" s="459"/>
      <c r="AV72" s="469"/>
      <c r="AW72" s="459"/>
      <c r="AX72" s="467"/>
      <c r="AY72" s="459"/>
      <c r="AZ72" s="469"/>
      <c r="BA72" s="467"/>
      <c r="BD72" s="686"/>
    </row>
    <row r="73" spans="1:56" s="466" customFormat="1" ht="13.5" customHeight="1" x14ac:dyDescent="0.2">
      <c r="A73" s="459"/>
      <c r="B73" s="459"/>
      <c r="C73" s="459"/>
      <c r="D73" s="459"/>
      <c r="E73" s="481"/>
      <c r="F73" s="849">
        <v>42624</v>
      </c>
      <c r="G73" s="459"/>
      <c r="H73" s="459"/>
      <c r="I73" s="459"/>
      <c r="J73" s="647"/>
      <c r="K73" s="610" t="s">
        <v>495</v>
      </c>
      <c r="L73" s="647">
        <v>50759273</v>
      </c>
      <c r="M73" s="647">
        <v>95492815</v>
      </c>
      <c r="N73" s="469"/>
      <c r="O73" s="118" t="s">
        <v>143</v>
      </c>
      <c r="P73" s="12" t="s">
        <v>219</v>
      </c>
      <c r="Q73" s="806">
        <v>69950</v>
      </c>
      <c r="R73" s="751"/>
      <c r="S73" s="751"/>
      <c r="T73" s="459"/>
      <c r="U73" s="469"/>
      <c r="V73" s="459"/>
      <c r="W73" s="467"/>
      <c r="X73" s="459"/>
      <c r="Y73" s="469"/>
      <c r="Z73" s="467"/>
      <c r="AA73" s="459"/>
      <c r="AB73" s="459"/>
      <c r="AC73" s="751"/>
      <c r="AD73" s="751"/>
      <c r="AF73" s="481"/>
      <c r="AG73" s="682"/>
      <c r="AH73" s="459"/>
      <c r="AJ73" s="459"/>
      <c r="AK73" s="459"/>
      <c r="AL73" s="683"/>
      <c r="AM73" s="684"/>
      <c r="AN73" s="683"/>
      <c r="AO73" s="469"/>
      <c r="AP73" s="118"/>
      <c r="AQ73" s="12"/>
      <c r="AR73" s="685"/>
      <c r="AS73" s="469"/>
      <c r="AT73" s="469"/>
      <c r="AU73" s="459"/>
      <c r="AV73" s="469"/>
      <c r="AW73" s="459"/>
      <c r="AX73" s="467"/>
      <c r="AY73" s="459"/>
      <c r="AZ73" s="469"/>
      <c r="BA73" s="467"/>
      <c r="BD73" s="686"/>
    </row>
    <row r="74" spans="1:56" s="466" customFormat="1" ht="13.5" customHeight="1" x14ac:dyDescent="0.2">
      <c r="A74" s="459"/>
      <c r="B74" s="459"/>
      <c r="C74" s="459"/>
      <c r="D74" s="459"/>
      <c r="E74" s="481"/>
      <c r="F74" s="849">
        <v>42624</v>
      </c>
      <c r="G74" s="459"/>
      <c r="H74" s="459"/>
      <c r="I74" s="459"/>
      <c r="J74" s="647"/>
      <c r="K74" s="610" t="s">
        <v>495</v>
      </c>
      <c r="L74" s="647">
        <v>50759273</v>
      </c>
      <c r="M74" s="647">
        <v>95680914</v>
      </c>
      <c r="N74" s="469"/>
      <c r="O74" s="118" t="s">
        <v>143</v>
      </c>
      <c r="P74" s="12" t="s">
        <v>219</v>
      </c>
      <c r="Q74" s="806">
        <v>69750</v>
      </c>
      <c r="R74" s="751"/>
      <c r="S74" s="751"/>
      <c r="T74" s="459"/>
      <c r="U74" s="469"/>
      <c r="V74" s="459"/>
      <c r="W74" s="467"/>
      <c r="X74" s="459"/>
      <c r="Y74" s="469"/>
      <c r="Z74" s="467"/>
      <c r="AA74" s="459"/>
      <c r="AB74" s="459"/>
      <c r="AC74" s="751"/>
      <c r="AD74" s="751"/>
      <c r="AF74" s="481"/>
      <c r="AG74" s="682"/>
      <c r="AH74" s="459"/>
      <c r="AJ74" s="459"/>
      <c r="AK74" s="459"/>
      <c r="AL74" s="683"/>
      <c r="AM74" s="684"/>
      <c r="AN74" s="683"/>
      <c r="AO74" s="469"/>
      <c r="AP74" s="118"/>
      <c r="AQ74" s="12"/>
      <c r="AR74" s="685"/>
      <c r="AS74" s="469"/>
      <c r="AT74" s="469"/>
      <c r="AU74" s="459"/>
      <c r="AV74" s="469"/>
      <c r="AW74" s="459"/>
      <c r="AX74" s="467"/>
      <c r="AY74" s="459"/>
      <c r="AZ74" s="469"/>
      <c r="BA74" s="467"/>
      <c r="BD74" s="686"/>
    </row>
    <row r="75" spans="1:56" s="466" customFormat="1" ht="13.5" customHeight="1" x14ac:dyDescent="0.2">
      <c r="A75" s="459"/>
      <c r="B75" s="459"/>
      <c r="C75" s="459"/>
      <c r="D75" s="459"/>
      <c r="E75" s="481"/>
      <c r="F75" s="849">
        <v>42625</v>
      </c>
      <c r="G75" s="459"/>
      <c r="H75" s="459"/>
      <c r="I75" s="459"/>
      <c r="J75" s="647"/>
      <c r="K75" s="610" t="s">
        <v>707</v>
      </c>
      <c r="L75" s="647">
        <v>600635</v>
      </c>
      <c r="M75" s="628" t="s">
        <v>913</v>
      </c>
      <c r="N75" s="469"/>
      <c r="O75" s="118" t="s">
        <v>143</v>
      </c>
      <c r="P75" s="12" t="s">
        <v>219</v>
      </c>
      <c r="Q75" s="806">
        <v>15460</v>
      </c>
      <c r="R75" s="751"/>
      <c r="S75" s="751"/>
      <c r="T75" s="459"/>
      <c r="U75" s="469"/>
      <c r="V75" s="459"/>
      <c r="W75" s="467"/>
      <c r="X75" s="459"/>
      <c r="Y75" s="469"/>
      <c r="Z75" s="467"/>
      <c r="AA75" s="459"/>
      <c r="AB75" s="459"/>
      <c r="AC75" s="751"/>
      <c r="AD75" s="751"/>
      <c r="AF75" s="481"/>
      <c r="AG75" s="682"/>
      <c r="AH75" s="459"/>
      <c r="AJ75" s="459"/>
      <c r="AK75" s="459"/>
      <c r="AL75" s="683"/>
      <c r="AM75" s="684"/>
      <c r="AN75" s="683"/>
      <c r="AO75" s="469"/>
      <c r="AP75" s="118"/>
      <c r="AQ75" s="12"/>
      <c r="AR75" s="685"/>
      <c r="AS75" s="469"/>
      <c r="AT75" s="469"/>
      <c r="AU75" s="459"/>
      <c r="AV75" s="469"/>
      <c r="AW75" s="459"/>
      <c r="AX75" s="467"/>
      <c r="AY75" s="459"/>
      <c r="AZ75" s="469"/>
      <c r="BA75" s="467"/>
      <c r="BD75" s="686"/>
    </row>
    <row r="76" spans="1:56" s="466" customFormat="1" ht="13.5" customHeight="1" x14ac:dyDescent="0.2">
      <c r="A76" s="459"/>
      <c r="B76" s="459"/>
      <c r="C76" s="459"/>
      <c r="D76" s="459"/>
      <c r="E76" s="481"/>
      <c r="F76" s="849">
        <v>42625</v>
      </c>
      <c r="G76" s="459"/>
      <c r="H76" s="459"/>
      <c r="I76" s="459"/>
      <c r="J76" s="845"/>
      <c r="K76" s="610" t="s">
        <v>914</v>
      </c>
      <c r="L76" s="845">
        <v>40542102</v>
      </c>
      <c r="M76" s="845">
        <v>95712089</v>
      </c>
      <c r="N76" s="469"/>
      <c r="O76" s="118" t="s">
        <v>143</v>
      </c>
      <c r="P76" s="12" t="s">
        <v>219</v>
      </c>
      <c r="Q76" s="846">
        <v>69900</v>
      </c>
      <c r="R76" s="751"/>
      <c r="S76" s="751"/>
      <c r="T76" s="459"/>
      <c r="U76" s="469"/>
      <c r="V76" s="459"/>
      <c r="W76" s="467"/>
      <c r="X76" s="459"/>
      <c r="Y76" s="469"/>
      <c r="Z76" s="467"/>
      <c r="AA76" s="459"/>
      <c r="AB76" s="459"/>
      <c r="AC76" s="751"/>
      <c r="AD76" s="751"/>
      <c r="AF76" s="481"/>
      <c r="AG76" s="682"/>
      <c r="AH76" s="459"/>
      <c r="AJ76" s="459"/>
      <c r="AK76" s="459"/>
      <c r="AL76" s="683"/>
      <c r="AM76" s="684"/>
      <c r="AN76" s="683"/>
      <c r="AO76" s="469"/>
      <c r="AP76" s="118"/>
      <c r="AQ76" s="12"/>
      <c r="AR76" s="685"/>
      <c r="AS76" s="469"/>
      <c r="AT76" s="469"/>
      <c r="AU76" s="459"/>
      <c r="AV76" s="469"/>
      <c r="AW76" s="459"/>
      <c r="AX76" s="467"/>
      <c r="AY76" s="459"/>
      <c r="AZ76" s="469"/>
      <c r="BA76" s="467"/>
      <c r="BD76" s="686"/>
    </row>
    <row r="77" spans="1:56" s="466" customFormat="1" ht="13.5" customHeight="1" x14ac:dyDescent="0.2">
      <c r="A77" s="459"/>
      <c r="B77" s="459"/>
      <c r="C77" s="459"/>
      <c r="D77" s="459"/>
      <c r="E77" s="481"/>
      <c r="F77" s="849">
        <v>42625</v>
      </c>
      <c r="G77" s="459"/>
      <c r="H77" s="459"/>
      <c r="I77" s="459"/>
      <c r="J77" s="845"/>
      <c r="K77" s="610" t="s">
        <v>914</v>
      </c>
      <c r="L77" s="845">
        <v>40542102</v>
      </c>
      <c r="M77" s="845">
        <v>95613253</v>
      </c>
      <c r="N77" s="469"/>
      <c r="O77" s="118" t="s">
        <v>143</v>
      </c>
      <c r="P77" s="12" t="s">
        <v>219</v>
      </c>
      <c r="Q77" s="846">
        <v>69850</v>
      </c>
      <c r="R77" s="751"/>
      <c r="S77" s="751"/>
      <c r="T77" s="459"/>
      <c r="U77" s="469"/>
      <c r="V77" s="459"/>
      <c r="W77" s="467"/>
      <c r="X77" s="459"/>
      <c r="Y77" s="469"/>
      <c r="Z77" s="467"/>
      <c r="AA77" s="459"/>
      <c r="AB77" s="459"/>
      <c r="AC77" s="751"/>
      <c r="AD77" s="751"/>
      <c r="AF77" s="481"/>
      <c r="AG77" s="682"/>
      <c r="AH77" s="459"/>
      <c r="AJ77" s="459"/>
      <c r="AK77" s="459"/>
      <c r="AL77" s="683"/>
      <c r="AM77" s="684"/>
      <c r="AN77" s="683"/>
      <c r="AO77" s="469"/>
      <c r="AP77" s="118"/>
      <c r="AQ77" s="12"/>
      <c r="AR77" s="685"/>
      <c r="AS77" s="469"/>
      <c r="AT77" s="469"/>
      <c r="AU77" s="459"/>
      <c r="AV77" s="469"/>
      <c r="AW77" s="459"/>
      <c r="AX77" s="467"/>
      <c r="AY77" s="459"/>
      <c r="AZ77" s="469"/>
      <c r="BA77" s="467"/>
      <c r="BD77" s="686"/>
    </row>
    <row r="78" spans="1:56" s="466" customFormat="1" ht="13.5" customHeight="1" x14ac:dyDescent="0.2">
      <c r="A78" s="459"/>
      <c r="B78" s="459"/>
      <c r="C78" s="459"/>
      <c r="D78" s="459"/>
      <c r="E78" s="481"/>
      <c r="F78" s="849">
        <v>42625</v>
      </c>
      <c r="G78" s="459"/>
      <c r="H78" s="459"/>
      <c r="I78" s="459"/>
      <c r="J78" s="845"/>
      <c r="K78" s="610" t="s">
        <v>914</v>
      </c>
      <c r="L78" s="845">
        <v>40542102</v>
      </c>
      <c r="M78" s="845">
        <v>95292710</v>
      </c>
      <c r="N78" s="469"/>
      <c r="O78" s="118" t="s">
        <v>143</v>
      </c>
      <c r="P78" s="12" t="s">
        <v>219</v>
      </c>
      <c r="Q78" s="846">
        <v>69500</v>
      </c>
      <c r="R78" s="751"/>
      <c r="S78" s="751"/>
      <c r="T78" s="459"/>
      <c r="U78" s="469"/>
      <c r="V78" s="459"/>
      <c r="W78" s="467"/>
      <c r="X78" s="459"/>
      <c r="Y78" s="469"/>
      <c r="Z78" s="467"/>
      <c r="AA78" s="459"/>
      <c r="AB78" s="459"/>
      <c r="AC78" s="751"/>
      <c r="AD78" s="751"/>
      <c r="AF78" s="481"/>
      <c r="AG78" s="682"/>
      <c r="AH78" s="459"/>
      <c r="AJ78" s="459"/>
      <c r="AK78" s="459"/>
      <c r="AL78" s="683"/>
      <c r="AM78" s="684"/>
      <c r="AN78" s="683"/>
      <c r="AO78" s="469"/>
      <c r="AP78" s="118"/>
      <c r="AQ78" s="12"/>
      <c r="AR78" s="685"/>
      <c r="AS78" s="469"/>
      <c r="AT78" s="469"/>
      <c r="AU78" s="459"/>
      <c r="AV78" s="469"/>
      <c r="AW78" s="459"/>
      <c r="AX78" s="467"/>
      <c r="AY78" s="459"/>
      <c r="AZ78" s="469"/>
      <c r="BA78" s="467"/>
      <c r="BD78" s="686"/>
    </row>
    <row r="79" spans="1:56" s="466" customFormat="1" ht="13.5" customHeight="1" x14ac:dyDescent="0.2">
      <c r="A79" s="459"/>
      <c r="B79" s="459"/>
      <c r="C79" s="459"/>
      <c r="D79" s="459"/>
      <c r="E79" s="481"/>
      <c r="F79" s="849">
        <v>42625</v>
      </c>
      <c r="G79" s="459"/>
      <c r="H79" s="459"/>
      <c r="I79" s="459"/>
      <c r="J79" s="845"/>
      <c r="K79" s="610" t="s">
        <v>914</v>
      </c>
      <c r="L79" s="845">
        <v>40543803</v>
      </c>
      <c r="M79" s="845">
        <v>95454989</v>
      </c>
      <c r="N79" s="469"/>
      <c r="O79" s="118" t="s">
        <v>143</v>
      </c>
      <c r="P79" s="12" t="s">
        <v>219</v>
      </c>
      <c r="Q79" s="846">
        <v>69850</v>
      </c>
      <c r="R79" s="751"/>
      <c r="S79" s="751"/>
      <c r="T79" s="459"/>
      <c r="U79" s="469"/>
      <c r="V79" s="459"/>
      <c r="W79" s="467"/>
      <c r="X79" s="459"/>
      <c r="Y79" s="469"/>
      <c r="Z79" s="467"/>
      <c r="AA79" s="459"/>
      <c r="AB79" s="459"/>
      <c r="AC79" s="751"/>
      <c r="AD79" s="751"/>
      <c r="AF79" s="481"/>
      <c r="AG79" s="682"/>
      <c r="AH79" s="459"/>
      <c r="AJ79" s="459"/>
      <c r="AK79" s="459"/>
      <c r="AL79" s="683"/>
      <c r="AM79" s="684"/>
      <c r="AN79" s="683"/>
      <c r="AO79" s="469"/>
      <c r="AP79" s="118"/>
      <c r="AQ79" s="12"/>
      <c r="AR79" s="685"/>
      <c r="AS79" s="469"/>
      <c r="AT79" s="469"/>
      <c r="AU79" s="459"/>
      <c r="AV79" s="469"/>
      <c r="AW79" s="459"/>
      <c r="AX79" s="467"/>
      <c r="AY79" s="459"/>
      <c r="AZ79" s="469"/>
      <c r="BA79" s="467"/>
      <c r="BD79" s="686"/>
    </row>
    <row r="80" spans="1:56" s="466" customFormat="1" ht="13.5" customHeight="1" x14ac:dyDescent="0.2">
      <c r="A80" s="459"/>
      <c r="B80" s="459"/>
      <c r="C80" s="459"/>
      <c r="D80" s="459"/>
      <c r="E80" s="481"/>
      <c r="F80" s="849">
        <v>42625</v>
      </c>
      <c r="G80" s="459"/>
      <c r="H80" s="459"/>
      <c r="I80" s="459"/>
      <c r="J80" s="845"/>
      <c r="K80" s="610" t="s">
        <v>914</v>
      </c>
      <c r="L80" s="845">
        <v>40543803</v>
      </c>
      <c r="M80" s="845">
        <v>95328878</v>
      </c>
      <c r="N80" s="469"/>
      <c r="O80" s="118" t="s">
        <v>143</v>
      </c>
      <c r="P80" s="12" t="s">
        <v>219</v>
      </c>
      <c r="Q80" s="846">
        <v>69750</v>
      </c>
      <c r="R80" s="751"/>
      <c r="S80" s="751"/>
      <c r="T80" s="459"/>
      <c r="U80" s="469"/>
      <c r="V80" s="459"/>
      <c r="W80" s="467"/>
      <c r="X80" s="459"/>
      <c r="Y80" s="469"/>
      <c r="Z80" s="467"/>
      <c r="AA80" s="459"/>
      <c r="AB80" s="459"/>
      <c r="AC80" s="751"/>
      <c r="AD80" s="751"/>
      <c r="AF80" s="481"/>
      <c r="AG80" s="682"/>
      <c r="AH80" s="459"/>
      <c r="AJ80" s="459"/>
      <c r="AK80" s="459"/>
      <c r="AL80" s="683"/>
      <c r="AM80" s="684"/>
      <c r="AN80" s="683"/>
      <c r="AO80" s="469"/>
      <c r="AP80" s="118"/>
      <c r="AQ80" s="12"/>
      <c r="AR80" s="685"/>
      <c r="AS80" s="469"/>
      <c r="AT80" s="469"/>
      <c r="AU80" s="459"/>
      <c r="AV80" s="469"/>
      <c r="AW80" s="459"/>
      <c r="AX80" s="467"/>
      <c r="AY80" s="459"/>
      <c r="AZ80" s="469"/>
      <c r="BA80" s="467"/>
      <c r="BD80" s="686"/>
    </row>
    <row r="81" spans="1:56" s="466" customFormat="1" ht="13.5" customHeight="1" x14ac:dyDescent="0.2">
      <c r="A81" s="459"/>
      <c r="B81" s="459"/>
      <c r="C81" s="459"/>
      <c r="D81" s="459"/>
      <c r="E81" s="481"/>
      <c r="F81" s="849">
        <v>42625</v>
      </c>
      <c r="G81" s="13"/>
      <c r="H81" s="31"/>
      <c r="I81" s="31"/>
      <c r="J81" s="845"/>
      <c r="K81" s="610" t="s">
        <v>914</v>
      </c>
      <c r="L81" s="845">
        <v>40543803</v>
      </c>
      <c r="M81" s="845">
        <v>95792966</v>
      </c>
      <c r="N81" s="469"/>
      <c r="O81" s="118" t="s">
        <v>143</v>
      </c>
      <c r="P81" s="12" t="s">
        <v>219</v>
      </c>
      <c r="Q81" s="846">
        <v>69550</v>
      </c>
      <c r="R81" s="751"/>
      <c r="S81" s="751"/>
      <c r="T81" s="459"/>
      <c r="U81" s="469"/>
      <c r="V81" s="459"/>
      <c r="W81" s="467"/>
      <c r="X81" s="459"/>
      <c r="Y81" s="469"/>
      <c r="Z81" s="467"/>
      <c r="AA81" s="459"/>
      <c r="AB81" s="459"/>
      <c r="AC81" s="751"/>
      <c r="AD81" s="751"/>
      <c r="AF81" s="481"/>
      <c r="AG81" s="682"/>
      <c r="AH81" s="459"/>
      <c r="AJ81" s="459"/>
      <c r="AK81" s="459"/>
      <c r="AL81" s="683"/>
      <c r="AM81" s="684"/>
      <c r="AN81" s="683"/>
      <c r="AO81" s="469"/>
      <c r="AP81" s="118"/>
      <c r="AQ81" s="12"/>
      <c r="AR81" s="685"/>
      <c r="AS81" s="469"/>
      <c r="AT81" s="469"/>
      <c r="AU81" s="459"/>
      <c r="AV81" s="469"/>
      <c r="AW81" s="459"/>
      <c r="AX81" s="467"/>
      <c r="AY81" s="459"/>
      <c r="AZ81" s="469"/>
      <c r="BA81" s="467"/>
      <c r="BD81" s="686"/>
    </row>
    <row r="82" spans="1:56" s="466" customFormat="1" ht="13.5" customHeight="1" x14ac:dyDescent="0.2">
      <c r="A82" s="459"/>
      <c r="B82" s="459"/>
      <c r="C82" s="459"/>
      <c r="D82" s="459"/>
      <c r="E82" s="481"/>
      <c r="F82" s="849">
        <v>42625</v>
      </c>
      <c r="G82" s="13"/>
      <c r="H82" s="31"/>
      <c r="I82" s="31"/>
      <c r="J82" s="845"/>
      <c r="K82" s="610" t="s">
        <v>914</v>
      </c>
      <c r="L82" s="845">
        <v>40543803</v>
      </c>
      <c r="M82" s="845">
        <v>95796587</v>
      </c>
      <c r="N82" s="469"/>
      <c r="O82" s="118" t="s">
        <v>143</v>
      </c>
      <c r="P82" s="12" t="s">
        <v>219</v>
      </c>
      <c r="Q82" s="846">
        <v>69550</v>
      </c>
      <c r="R82" s="751"/>
      <c r="S82" s="751"/>
      <c r="T82" s="459"/>
      <c r="U82" s="469"/>
      <c r="V82" s="459"/>
      <c r="W82" s="467"/>
      <c r="X82" s="459"/>
      <c r="Y82" s="469"/>
      <c r="Z82" s="467"/>
      <c r="AA82" s="459"/>
      <c r="AB82" s="459"/>
      <c r="AC82" s="751"/>
      <c r="AD82" s="751"/>
      <c r="AF82" s="481"/>
      <c r="AG82" s="682"/>
      <c r="AH82" s="459"/>
      <c r="AJ82" s="459"/>
      <c r="AK82" s="459"/>
      <c r="AL82" s="683"/>
      <c r="AM82" s="684"/>
      <c r="AN82" s="683"/>
      <c r="AO82" s="469"/>
      <c r="AP82" s="118"/>
      <c r="AQ82" s="12"/>
      <c r="AR82" s="685"/>
      <c r="AS82" s="469"/>
      <c r="AT82" s="469"/>
      <c r="AU82" s="459"/>
      <c r="AV82" s="469"/>
      <c r="AW82" s="459"/>
      <c r="AX82" s="467"/>
      <c r="AY82" s="459"/>
      <c r="AZ82" s="469"/>
      <c r="BA82" s="467"/>
      <c r="BD82" s="686"/>
    </row>
    <row r="83" spans="1:56" s="466" customFormat="1" ht="13.5" customHeight="1" x14ac:dyDescent="0.2">
      <c r="A83" s="459"/>
      <c r="B83" s="459"/>
      <c r="C83" s="459"/>
      <c r="D83" s="459"/>
      <c r="E83" s="481"/>
      <c r="F83" s="849">
        <v>42622</v>
      </c>
      <c r="G83" s="13"/>
      <c r="H83" s="31"/>
      <c r="I83" s="31"/>
      <c r="J83" s="845"/>
      <c r="K83" s="610" t="s">
        <v>818</v>
      </c>
      <c r="L83" s="845">
        <v>50733369</v>
      </c>
      <c r="M83" s="845">
        <v>95646824</v>
      </c>
      <c r="N83" s="469"/>
      <c r="O83" s="118" t="s">
        <v>145</v>
      </c>
      <c r="P83" s="12" t="s">
        <v>148</v>
      </c>
      <c r="Q83" s="846">
        <v>69600</v>
      </c>
      <c r="R83" s="751"/>
      <c r="S83" s="751"/>
      <c r="T83" s="459"/>
      <c r="U83" s="469"/>
      <c r="V83" s="459"/>
      <c r="W83" s="467"/>
      <c r="X83" s="459"/>
      <c r="Y83" s="469"/>
      <c r="Z83" s="467"/>
      <c r="AA83" s="459"/>
      <c r="AB83" s="459"/>
      <c r="AC83" s="751"/>
      <c r="AD83" s="751"/>
      <c r="AF83" s="481"/>
      <c r="AG83" s="682"/>
      <c r="AH83" s="459"/>
      <c r="AJ83" s="459"/>
      <c r="AK83" s="459"/>
      <c r="AL83" s="683"/>
      <c r="AM83" s="684"/>
      <c r="AN83" s="683"/>
      <c r="AO83" s="469"/>
      <c r="AP83" s="118"/>
      <c r="AQ83" s="12"/>
      <c r="AR83" s="685"/>
      <c r="AS83" s="469"/>
      <c r="AT83" s="469"/>
      <c r="AU83" s="459"/>
      <c r="AV83" s="469"/>
      <c r="AW83" s="459"/>
      <c r="AX83" s="467"/>
      <c r="AY83" s="459"/>
      <c r="AZ83" s="469"/>
      <c r="BA83" s="467"/>
      <c r="BD83" s="686"/>
    </row>
    <row r="84" spans="1:56" s="466" customFormat="1" ht="13.5" customHeight="1" x14ac:dyDescent="0.2">
      <c r="A84" s="459"/>
      <c r="B84" s="459"/>
      <c r="C84" s="459"/>
      <c r="D84" s="459"/>
      <c r="E84" s="481"/>
      <c r="F84" s="849">
        <v>42622</v>
      </c>
      <c r="G84" s="13"/>
      <c r="H84" s="31"/>
      <c r="I84" s="31"/>
      <c r="J84" s="647"/>
      <c r="K84" s="610" t="s">
        <v>888</v>
      </c>
      <c r="L84" s="647">
        <v>271064</v>
      </c>
      <c r="M84" s="628" t="s">
        <v>893</v>
      </c>
      <c r="N84" s="469"/>
      <c r="O84" s="118" t="s">
        <v>145</v>
      </c>
      <c r="P84" s="12" t="s">
        <v>149</v>
      </c>
      <c r="Q84" s="806">
        <v>24580</v>
      </c>
      <c r="R84" s="751"/>
      <c r="S84" s="751"/>
      <c r="T84" s="459"/>
      <c r="U84" s="469"/>
      <c r="V84" s="459"/>
      <c r="W84" s="467"/>
      <c r="X84" s="459"/>
      <c r="Y84" s="469"/>
      <c r="Z84" s="467"/>
      <c r="AA84" s="459"/>
      <c r="AB84" s="459"/>
      <c r="AC84" s="751"/>
      <c r="AD84" s="751"/>
      <c r="AF84" s="481"/>
      <c r="AG84" s="682"/>
      <c r="AH84" s="459"/>
      <c r="AJ84" s="459"/>
      <c r="AK84" s="459"/>
      <c r="AL84" s="683"/>
      <c r="AM84" s="684"/>
      <c r="AN84" s="683"/>
      <c r="AO84" s="469"/>
      <c r="AP84" s="118"/>
      <c r="AQ84" s="12"/>
      <c r="AR84" s="685"/>
      <c r="AS84" s="469"/>
      <c r="AT84" s="469"/>
      <c r="AU84" s="459"/>
      <c r="AV84" s="469"/>
      <c r="AW84" s="459"/>
      <c r="AX84" s="467"/>
      <c r="AY84" s="459"/>
      <c r="AZ84" s="469"/>
      <c r="BA84" s="467"/>
      <c r="BD84" s="686"/>
    </row>
    <row r="85" spans="1:56" s="466" customFormat="1" ht="13.5" customHeight="1" x14ac:dyDescent="0.2">
      <c r="A85" s="459"/>
      <c r="B85" s="459"/>
      <c r="C85" s="459"/>
      <c r="D85" s="459"/>
      <c r="E85" s="481"/>
      <c r="F85" s="849">
        <v>42623</v>
      </c>
      <c r="G85" s="13"/>
      <c r="H85" s="31"/>
      <c r="I85" s="31"/>
      <c r="J85" s="647"/>
      <c r="K85" s="610" t="s">
        <v>619</v>
      </c>
      <c r="L85" s="647">
        <v>50761345</v>
      </c>
      <c r="M85" s="647">
        <v>95631479</v>
      </c>
      <c r="N85" s="469"/>
      <c r="O85" s="118" t="s">
        <v>145</v>
      </c>
      <c r="P85" s="12" t="s">
        <v>148</v>
      </c>
      <c r="Q85" s="806">
        <v>69450</v>
      </c>
      <c r="R85" s="751"/>
      <c r="S85" s="751"/>
      <c r="T85" s="459"/>
      <c r="U85" s="469"/>
      <c r="V85" s="459"/>
      <c r="W85" s="467"/>
      <c r="X85" s="459"/>
      <c r="Y85" s="469"/>
      <c r="Z85" s="467"/>
      <c r="AA85" s="459"/>
      <c r="AB85" s="459"/>
      <c r="AC85" s="751"/>
      <c r="AD85" s="751"/>
      <c r="AF85" s="481"/>
      <c r="AG85" s="682"/>
      <c r="AH85" s="459"/>
      <c r="AJ85" s="459"/>
      <c r="AK85" s="459"/>
      <c r="AL85" s="683"/>
      <c r="AM85" s="684"/>
      <c r="AN85" s="683"/>
      <c r="AO85" s="469"/>
      <c r="AP85" s="118"/>
      <c r="AQ85" s="12"/>
      <c r="AR85" s="685"/>
      <c r="AS85" s="469"/>
      <c r="AT85" s="469"/>
      <c r="AU85" s="459"/>
      <c r="AV85" s="469"/>
      <c r="AW85" s="459"/>
      <c r="AX85" s="467"/>
      <c r="AY85" s="459"/>
      <c r="AZ85" s="469"/>
      <c r="BA85" s="467"/>
      <c r="BD85" s="686"/>
    </row>
    <row r="86" spans="1:56" s="466" customFormat="1" ht="13.5" customHeight="1" x14ac:dyDescent="0.2">
      <c r="A86" s="459"/>
      <c r="B86" s="459"/>
      <c r="C86" s="459"/>
      <c r="D86" s="459"/>
      <c r="E86" s="481"/>
      <c r="F86" s="849">
        <v>42623</v>
      </c>
      <c r="G86" s="13"/>
      <c r="H86" s="31"/>
      <c r="I86" s="31"/>
      <c r="J86" s="647"/>
      <c r="K86" s="610" t="s">
        <v>644</v>
      </c>
      <c r="L86" s="647">
        <v>50779669</v>
      </c>
      <c r="M86" s="647">
        <v>95347829</v>
      </c>
      <c r="N86" s="469"/>
      <c r="O86" s="118" t="s">
        <v>145</v>
      </c>
      <c r="P86" s="12" t="s">
        <v>149</v>
      </c>
      <c r="Q86" s="806">
        <v>64050</v>
      </c>
      <c r="R86" s="751"/>
      <c r="S86" s="751"/>
      <c r="T86" s="459"/>
      <c r="U86" s="469"/>
      <c r="V86" s="459"/>
      <c r="W86" s="467"/>
      <c r="X86" s="459"/>
      <c r="Y86" s="469"/>
      <c r="Z86" s="467"/>
      <c r="AA86" s="459"/>
      <c r="AB86" s="459"/>
      <c r="AC86" s="751"/>
      <c r="AD86" s="751"/>
      <c r="AF86" s="481"/>
      <c r="AG86" s="682"/>
      <c r="AH86" s="459"/>
      <c r="AJ86" s="459"/>
      <c r="AK86" s="459"/>
      <c r="AL86" s="683"/>
      <c r="AM86" s="684"/>
      <c r="AN86" s="683"/>
      <c r="AO86" s="469"/>
      <c r="AP86" s="118"/>
      <c r="AQ86" s="12"/>
      <c r="AR86" s="685"/>
      <c r="AS86" s="469"/>
      <c r="AT86" s="469"/>
      <c r="AU86" s="459"/>
      <c r="AV86" s="469"/>
      <c r="AW86" s="459"/>
      <c r="AX86" s="467"/>
      <c r="AY86" s="459"/>
      <c r="AZ86" s="469"/>
      <c r="BA86" s="467"/>
      <c r="BD86" s="686"/>
    </row>
    <row r="87" spans="1:56" s="466" customFormat="1" ht="13.5" customHeight="1" x14ac:dyDescent="0.2">
      <c r="A87" s="459"/>
      <c r="B87" s="459"/>
      <c r="C87" s="459"/>
      <c r="D87" s="459"/>
      <c r="E87" s="481"/>
      <c r="F87" s="849">
        <v>42623</v>
      </c>
      <c r="G87" s="13"/>
      <c r="H87" s="31"/>
      <c r="I87" s="31"/>
      <c r="J87" s="647"/>
      <c r="K87" s="610" t="s">
        <v>644</v>
      </c>
      <c r="L87" s="647">
        <v>50779669</v>
      </c>
      <c r="M87" s="647">
        <v>95395570</v>
      </c>
      <c r="N87" s="469"/>
      <c r="O87" s="118" t="s">
        <v>145</v>
      </c>
      <c r="P87" s="12" t="s">
        <v>149</v>
      </c>
      <c r="Q87" s="806">
        <v>68350</v>
      </c>
      <c r="R87" s="751"/>
      <c r="S87" s="751"/>
      <c r="T87" s="459"/>
      <c r="U87" s="469"/>
      <c r="V87" s="459"/>
      <c r="W87" s="467"/>
      <c r="X87" s="459"/>
      <c r="Y87" s="469"/>
      <c r="Z87" s="467"/>
      <c r="AA87" s="459"/>
      <c r="AB87" s="459"/>
      <c r="AC87" s="751"/>
      <c r="AD87" s="751"/>
      <c r="AF87" s="481"/>
      <c r="AG87" s="682"/>
      <c r="AH87" s="459"/>
      <c r="AJ87" s="459"/>
      <c r="AK87" s="459"/>
      <c r="AL87" s="683"/>
      <c r="AM87" s="684"/>
      <c r="AN87" s="683"/>
      <c r="AO87" s="469"/>
      <c r="AP87" s="118"/>
      <c r="AQ87" s="12"/>
      <c r="AR87" s="685"/>
      <c r="AS87" s="469"/>
      <c r="AT87" s="469"/>
      <c r="AU87" s="459"/>
      <c r="AV87" s="469"/>
      <c r="AW87" s="459"/>
      <c r="AX87" s="467"/>
      <c r="AY87" s="459"/>
      <c r="AZ87" s="469"/>
      <c r="BA87" s="467"/>
      <c r="BD87" s="686"/>
    </row>
    <row r="88" spans="1:56" s="466" customFormat="1" ht="13.5" customHeight="1" x14ac:dyDescent="0.2">
      <c r="A88" s="459"/>
      <c r="B88" s="459"/>
      <c r="C88" s="459"/>
      <c r="D88" s="459"/>
      <c r="E88" s="481"/>
      <c r="F88" s="849">
        <v>42623</v>
      </c>
      <c r="G88" s="13"/>
      <c r="H88" s="31"/>
      <c r="I88" s="31"/>
      <c r="J88" s="647"/>
      <c r="K88" s="610" t="s">
        <v>644</v>
      </c>
      <c r="L88" s="647">
        <v>50779669</v>
      </c>
      <c r="M88" s="647">
        <v>95639969</v>
      </c>
      <c r="N88" s="469"/>
      <c r="O88" s="118" t="s">
        <v>145</v>
      </c>
      <c r="P88" s="12" t="s">
        <v>149</v>
      </c>
      <c r="Q88" s="806">
        <v>69250</v>
      </c>
      <c r="R88" s="751"/>
      <c r="S88" s="751"/>
      <c r="T88" s="459"/>
      <c r="U88" s="469"/>
      <c r="V88" s="459"/>
      <c r="W88" s="467"/>
      <c r="X88" s="459"/>
      <c r="Y88" s="469"/>
      <c r="Z88" s="467"/>
      <c r="AA88" s="459"/>
      <c r="AB88" s="459"/>
      <c r="AC88" s="751"/>
      <c r="AD88" s="751"/>
      <c r="AF88" s="481"/>
      <c r="AG88" s="682"/>
      <c r="AH88" s="459"/>
      <c r="AJ88" s="459"/>
      <c r="AK88" s="459"/>
      <c r="AL88" s="683"/>
      <c r="AM88" s="684"/>
      <c r="AN88" s="683"/>
      <c r="AO88" s="469"/>
      <c r="AP88" s="118"/>
      <c r="AQ88" s="12"/>
      <c r="AR88" s="685"/>
      <c r="AS88" s="469"/>
      <c r="AT88" s="469"/>
      <c r="AU88" s="459"/>
      <c r="AV88" s="469"/>
      <c r="AW88" s="459"/>
      <c r="AX88" s="467"/>
      <c r="AY88" s="459"/>
      <c r="AZ88" s="469"/>
      <c r="BA88" s="467"/>
      <c r="BD88" s="686"/>
    </row>
    <row r="89" spans="1:56" s="466" customFormat="1" ht="13.5" customHeight="1" x14ac:dyDescent="0.2">
      <c r="A89" s="733"/>
      <c r="B89" s="733"/>
      <c r="C89" s="459"/>
      <c r="D89" s="459"/>
      <c r="E89" s="481"/>
      <c r="F89" s="849">
        <v>42623</v>
      </c>
      <c r="G89" s="13"/>
      <c r="H89" s="31"/>
      <c r="I89" s="31"/>
      <c r="J89" s="647"/>
      <c r="K89" s="610" t="s">
        <v>702</v>
      </c>
      <c r="L89" s="647">
        <v>44126324</v>
      </c>
      <c r="M89" s="647">
        <v>95455473</v>
      </c>
      <c r="N89" s="469"/>
      <c r="O89" s="118" t="s">
        <v>145</v>
      </c>
      <c r="P89" s="12" t="s">
        <v>148</v>
      </c>
      <c r="Q89" s="806">
        <v>61350</v>
      </c>
      <c r="R89" s="751"/>
      <c r="S89" s="751"/>
      <c r="T89" s="459"/>
      <c r="U89" s="469"/>
      <c r="V89" s="459"/>
      <c r="W89" s="467"/>
      <c r="X89" s="459"/>
      <c r="Y89" s="469"/>
      <c r="Z89" s="467"/>
      <c r="AA89" s="459"/>
      <c r="AB89" s="459"/>
      <c r="AC89" s="751"/>
      <c r="AD89" s="751"/>
      <c r="AF89" s="481"/>
      <c r="AG89" s="682"/>
      <c r="AH89" s="459"/>
      <c r="AJ89" s="459"/>
      <c r="AK89" s="459"/>
      <c r="AL89" s="683"/>
      <c r="AM89" s="684"/>
      <c r="AN89" s="683"/>
      <c r="AO89" s="469"/>
      <c r="AP89" s="118"/>
      <c r="AQ89" s="12"/>
      <c r="AR89" s="685"/>
      <c r="AS89" s="469"/>
      <c r="AT89" s="469"/>
      <c r="AU89" s="459"/>
      <c r="AV89" s="469"/>
      <c r="AW89" s="459"/>
      <c r="AX89" s="467"/>
      <c r="AY89" s="459"/>
      <c r="AZ89" s="469"/>
      <c r="BA89" s="467"/>
      <c r="BD89" s="686"/>
    </row>
    <row r="90" spans="1:56" s="466" customFormat="1" ht="13.5" customHeight="1" x14ac:dyDescent="0.2">
      <c r="A90" s="733"/>
      <c r="B90" s="733"/>
      <c r="C90" s="459"/>
      <c r="D90" s="459"/>
      <c r="E90" s="481"/>
      <c r="F90" s="849">
        <v>42623</v>
      </c>
      <c r="G90" s="13"/>
      <c r="H90" s="31"/>
      <c r="I90" s="31"/>
      <c r="J90" s="647"/>
      <c r="K90" s="610" t="s">
        <v>644</v>
      </c>
      <c r="L90" s="647">
        <v>50779669</v>
      </c>
      <c r="M90" s="647">
        <v>95366985</v>
      </c>
      <c r="N90" s="469"/>
      <c r="O90" s="118" t="s">
        <v>145</v>
      </c>
      <c r="P90" s="12" t="s">
        <v>149</v>
      </c>
      <c r="Q90" s="806">
        <v>64000</v>
      </c>
      <c r="R90" s="751"/>
      <c r="S90" s="751"/>
      <c r="T90" s="459"/>
      <c r="U90" s="469"/>
      <c r="V90" s="459"/>
      <c r="W90" s="467"/>
      <c r="X90" s="459"/>
      <c r="Y90" s="469"/>
      <c r="Z90" s="467"/>
      <c r="AA90" s="459"/>
      <c r="AB90" s="459"/>
      <c r="AC90" s="751"/>
      <c r="AD90" s="751"/>
      <c r="AF90" s="481"/>
      <c r="AG90" s="682"/>
      <c r="AH90" s="459"/>
      <c r="AJ90" s="459"/>
      <c r="AK90" s="459"/>
      <c r="AL90" s="683"/>
      <c r="AM90" s="684"/>
      <c r="AN90" s="683"/>
      <c r="AO90" s="469"/>
      <c r="AP90" s="118"/>
      <c r="AQ90" s="12"/>
      <c r="AR90" s="685"/>
      <c r="AS90" s="469"/>
      <c r="AT90" s="469"/>
      <c r="AU90" s="459"/>
      <c r="AV90" s="469"/>
      <c r="AW90" s="459"/>
      <c r="AX90" s="467"/>
      <c r="AY90" s="459"/>
      <c r="AZ90" s="469"/>
      <c r="BA90" s="467"/>
      <c r="BD90" s="686"/>
    </row>
    <row r="91" spans="1:56" s="466" customFormat="1" ht="13.5" customHeight="1" x14ac:dyDescent="0.2">
      <c r="A91" s="733"/>
      <c r="B91" s="733"/>
      <c r="C91" s="459"/>
      <c r="D91" s="459"/>
      <c r="E91" s="481"/>
      <c r="F91" s="849">
        <v>42623</v>
      </c>
      <c r="G91" s="13"/>
      <c r="H91" s="31"/>
      <c r="I91" s="31"/>
      <c r="J91" s="647"/>
      <c r="K91" s="610" t="s">
        <v>644</v>
      </c>
      <c r="L91" s="647">
        <v>50779669</v>
      </c>
      <c r="M91" s="647">
        <v>95359733</v>
      </c>
      <c r="N91" s="469"/>
      <c r="O91" s="118" t="s">
        <v>145</v>
      </c>
      <c r="P91" s="12" t="s">
        <v>149</v>
      </c>
      <c r="Q91" s="806">
        <v>69050</v>
      </c>
      <c r="R91" s="751"/>
      <c r="S91" s="751"/>
      <c r="T91" s="459"/>
      <c r="U91" s="469"/>
      <c r="V91" s="459"/>
      <c r="W91" s="467"/>
      <c r="X91" s="459"/>
      <c r="Y91" s="469"/>
      <c r="Z91" s="467"/>
      <c r="AA91" s="459"/>
      <c r="AB91" s="459"/>
      <c r="AC91" s="751"/>
      <c r="AD91" s="751"/>
      <c r="AF91" s="481"/>
      <c r="AG91" s="682"/>
      <c r="AH91" s="459"/>
      <c r="AJ91" s="459"/>
      <c r="AK91" s="459"/>
      <c r="AL91" s="683"/>
      <c r="AM91" s="684"/>
      <c r="AN91" s="683"/>
      <c r="AO91" s="469"/>
      <c r="AP91" s="118"/>
      <c r="AQ91" s="12"/>
      <c r="AR91" s="685"/>
      <c r="AS91" s="469"/>
      <c r="AT91" s="469"/>
      <c r="AU91" s="459"/>
      <c r="AV91" s="469"/>
      <c r="AW91" s="459"/>
      <c r="AX91" s="467"/>
      <c r="AY91" s="459"/>
      <c r="AZ91" s="469"/>
      <c r="BA91" s="467"/>
      <c r="BD91" s="686"/>
    </row>
    <row r="92" spans="1:56" s="466" customFormat="1" ht="13.5" customHeight="1" x14ac:dyDescent="0.2">
      <c r="A92" s="733"/>
      <c r="B92" s="733"/>
      <c r="C92" s="459"/>
      <c r="D92" s="459"/>
      <c r="E92" s="481"/>
      <c r="F92" s="849">
        <v>42623</v>
      </c>
      <c r="G92" s="13"/>
      <c r="H92" s="31"/>
      <c r="I92" s="31"/>
      <c r="J92" s="845"/>
      <c r="K92" s="610" t="s">
        <v>818</v>
      </c>
      <c r="L92" s="845">
        <v>50764836</v>
      </c>
      <c r="M92" s="845">
        <v>95346565</v>
      </c>
      <c r="N92" s="469"/>
      <c r="O92" s="118" t="s">
        <v>145</v>
      </c>
      <c r="P92" s="12" t="s">
        <v>148</v>
      </c>
      <c r="Q92" s="846">
        <v>69250</v>
      </c>
      <c r="R92" s="751"/>
      <c r="S92" s="751"/>
      <c r="T92" s="459"/>
      <c r="U92" s="469"/>
      <c r="V92" s="459"/>
      <c r="W92" s="467"/>
      <c r="X92" s="459"/>
      <c r="Y92" s="469"/>
      <c r="Z92" s="467"/>
      <c r="AA92" s="459"/>
      <c r="AB92" s="459"/>
      <c r="AC92" s="751"/>
      <c r="AD92" s="751"/>
      <c r="AF92" s="481"/>
      <c r="AG92" s="682"/>
      <c r="AH92" s="459"/>
      <c r="AJ92" s="459"/>
      <c r="AK92" s="459"/>
      <c r="AL92" s="683"/>
      <c r="AM92" s="684"/>
      <c r="AN92" s="683"/>
      <c r="AO92" s="469"/>
      <c r="AP92" s="118"/>
      <c r="AQ92" s="12"/>
      <c r="AR92" s="685"/>
      <c r="AS92" s="469"/>
      <c r="AT92" s="469"/>
      <c r="AU92" s="459"/>
      <c r="AV92" s="469"/>
      <c r="AW92" s="459"/>
      <c r="AX92" s="467"/>
      <c r="AY92" s="459"/>
      <c r="AZ92" s="469"/>
      <c r="BA92" s="467"/>
      <c r="BD92" s="686"/>
    </row>
    <row r="93" spans="1:56" s="466" customFormat="1" ht="13.5" customHeight="1" x14ac:dyDescent="0.2">
      <c r="A93" s="733"/>
      <c r="B93" s="733"/>
      <c r="C93" s="459"/>
      <c r="D93" s="459"/>
      <c r="E93" s="481"/>
      <c r="F93" s="849">
        <v>42623</v>
      </c>
      <c r="G93" s="13"/>
      <c r="H93" s="31"/>
      <c r="I93" s="31"/>
      <c r="J93" s="845"/>
      <c r="K93" s="610" t="s">
        <v>818</v>
      </c>
      <c r="L93" s="845">
        <v>50764836</v>
      </c>
      <c r="M93" s="845">
        <v>95760203</v>
      </c>
      <c r="N93" s="469"/>
      <c r="O93" s="118" t="s">
        <v>145</v>
      </c>
      <c r="P93" s="12" t="s">
        <v>148</v>
      </c>
      <c r="Q93" s="846">
        <v>69700</v>
      </c>
      <c r="R93" s="751"/>
      <c r="S93" s="751"/>
      <c r="T93" s="459"/>
      <c r="U93" s="469"/>
      <c r="V93" s="459"/>
      <c r="W93" s="467"/>
      <c r="X93" s="459"/>
      <c r="Y93" s="469"/>
      <c r="Z93" s="467"/>
      <c r="AA93" s="459"/>
      <c r="AB93" s="459"/>
      <c r="AC93" s="751"/>
      <c r="AD93" s="751"/>
      <c r="AF93" s="481"/>
      <c r="AG93" s="682"/>
      <c r="AH93" s="459"/>
      <c r="AJ93" s="459"/>
      <c r="AK93" s="459"/>
      <c r="AL93" s="683"/>
      <c r="AM93" s="684"/>
      <c r="AN93" s="683"/>
      <c r="AO93" s="469"/>
      <c r="AP93" s="118"/>
      <c r="AQ93" s="12"/>
      <c r="AR93" s="685"/>
      <c r="AS93" s="469"/>
      <c r="AT93" s="469"/>
      <c r="AU93" s="459"/>
      <c r="AV93" s="469"/>
      <c r="AW93" s="459"/>
      <c r="AX93" s="467"/>
      <c r="AY93" s="459"/>
      <c r="AZ93" s="469"/>
      <c r="BA93" s="467"/>
      <c r="BD93" s="686"/>
    </row>
    <row r="94" spans="1:56" s="466" customFormat="1" ht="13.5" customHeight="1" x14ac:dyDescent="0.2">
      <c r="A94" s="733"/>
      <c r="B94" s="733"/>
      <c r="C94" s="13"/>
      <c r="D94" s="31"/>
      <c r="E94" s="31"/>
      <c r="F94" s="849">
        <v>42623</v>
      </c>
      <c r="G94" s="13"/>
      <c r="H94" s="31"/>
      <c r="I94" s="31"/>
      <c r="J94" s="845"/>
      <c r="K94" s="610" t="s">
        <v>818</v>
      </c>
      <c r="L94" s="845">
        <v>50764836</v>
      </c>
      <c r="M94" s="845">
        <v>95320313</v>
      </c>
      <c r="N94" s="31"/>
      <c r="O94" s="118" t="s">
        <v>145</v>
      </c>
      <c r="P94" s="12" t="s">
        <v>148</v>
      </c>
      <c r="Q94" s="846">
        <v>64800</v>
      </c>
      <c r="R94" s="31"/>
      <c r="S94" s="31"/>
      <c r="T94" s="31"/>
      <c r="U94" s="31"/>
      <c r="V94" s="31"/>
      <c r="W94" s="31"/>
      <c r="X94" s="31"/>
      <c r="Y94" s="31"/>
      <c r="Z94" s="31"/>
      <c r="AA94" s="31"/>
      <c r="AB94" s="31"/>
      <c r="AC94" s="751"/>
      <c r="AD94" s="751"/>
      <c r="AE94" s="4"/>
      <c r="AF94" s="481"/>
      <c r="AG94" s="682"/>
      <c r="AH94" s="459"/>
      <c r="AJ94" s="459"/>
      <c r="AK94" s="459"/>
      <c r="AL94" s="683"/>
      <c r="AM94" s="684"/>
      <c r="AN94" s="683"/>
      <c r="AO94" s="469"/>
      <c r="AP94" s="118"/>
      <c r="AQ94" s="12"/>
      <c r="AR94" s="685"/>
      <c r="AS94" s="469"/>
      <c r="AT94" s="469"/>
      <c r="AU94" s="459"/>
      <c r="AV94" s="469"/>
      <c r="AW94" s="459"/>
      <c r="AX94" s="467"/>
      <c r="AY94" s="459"/>
      <c r="AZ94" s="469"/>
      <c r="BA94" s="467"/>
      <c r="BD94" s="686"/>
    </row>
    <row r="95" spans="1:56" s="466" customFormat="1" ht="13.5" customHeight="1" x14ac:dyDescent="0.2">
      <c r="A95" s="733"/>
      <c r="B95" s="733"/>
      <c r="C95" s="13"/>
      <c r="D95" s="31"/>
      <c r="E95" s="31"/>
      <c r="F95" s="849">
        <v>42623</v>
      </c>
      <c r="G95" s="13"/>
      <c r="H95" s="31"/>
      <c r="I95" s="31"/>
      <c r="J95" s="845"/>
      <c r="K95" s="610" t="s">
        <v>818</v>
      </c>
      <c r="L95" s="845">
        <v>50764836</v>
      </c>
      <c r="M95" s="845">
        <v>95353835</v>
      </c>
      <c r="N95" s="31"/>
      <c r="O95" s="118" t="s">
        <v>145</v>
      </c>
      <c r="P95" s="12" t="s">
        <v>148</v>
      </c>
      <c r="Q95" s="846">
        <v>69750</v>
      </c>
      <c r="R95" s="31"/>
      <c r="S95" s="31"/>
      <c r="T95" s="31"/>
      <c r="U95" s="31"/>
      <c r="V95" s="31"/>
      <c r="W95" s="31"/>
      <c r="X95" s="31"/>
      <c r="Y95" s="31"/>
      <c r="Z95" s="31"/>
      <c r="AA95" s="31"/>
      <c r="AB95" s="31"/>
      <c r="AC95" s="751"/>
      <c r="AD95" s="751"/>
      <c r="AE95" s="4"/>
      <c r="AF95" s="481"/>
      <c r="AG95" s="682"/>
      <c r="AH95" s="459"/>
      <c r="AJ95" s="459"/>
      <c r="AK95" s="459"/>
      <c r="AL95" s="683"/>
      <c r="AM95" s="684"/>
      <c r="AN95" s="683"/>
      <c r="AO95" s="469"/>
      <c r="AP95" s="118"/>
      <c r="AQ95" s="12"/>
      <c r="AR95" s="685"/>
      <c r="AS95" s="469"/>
      <c r="AT95" s="469"/>
      <c r="AU95" s="459"/>
      <c r="AV95" s="469"/>
      <c r="AW95" s="459"/>
      <c r="AX95" s="467"/>
      <c r="AY95" s="459"/>
      <c r="AZ95" s="469"/>
      <c r="BA95" s="467"/>
      <c r="BD95" s="686"/>
    </row>
    <row r="96" spans="1:56" s="466" customFormat="1" ht="13.5" customHeight="1" x14ac:dyDescent="0.2">
      <c r="A96" s="733"/>
      <c r="B96" s="733"/>
      <c r="C96" s="13"/>
      <c r="D96" s="31"/>
      <c r="E96" s="31"/>
      <c r="F96" s="849">
        <v>42623</v>
      </c>
      <c r="G96" s="13"/>
      <c r="H96" s="31"/>
      <c r="I96" s="31"/>
      <c r="J96" s="845"/>
      <c r="K96" s="610" t="s">
        <v>818</v>
      </c>
      <c r="L96" s="845">
        <v>50764836</v>
      </c>
      <c r="M96" s="845">
        <v>95651048</v>
      </c>
      <c r="N96" s="31"/>
      <c r="O96" s="118" t="s">
        <v>145</v>
      </c>
      <c r="P96" s="12" t="s">
        <v>148</v>
      </c>
      <c r="Q96" s="846">
        <v>69400</v>
      </c>
      <c r="R96" s="31"/>
      <c r="S96" s="31"/>
      <c r="T96" s="31"/>
      <c r="U96" s="31"/>
      <c r="V96" s="31"/>
      <c r="W96" s="31"/>
      <c r="X96" s="31"/>
      <c r="Y96" s="31"/>
      <c r="Z96" s="31"/>
      <c r="AA96" s="31"/>
      <c r="AB96" s="31"/>
      <c r="AC96" s="751"/>
      <c r="AD96" s="751"/>
      <c r="AE96" s="4"/>
      <c r="AF96" s="481"/>
      <c r="AG96" s="682"/>
      <c r="AH96" s="459"/>
      <c r="AJ96" s="459"/>
      <c r="AK96" s="459"/>
      <c r="AL96" s="683"/>
      <c r="AM96" s="684"/>
      <c r="AN96" s="683"/>
      <c r="AO96" s="469"/>
      <c r="AP96" s="118"/>
      <c r="AQ96" s="12"/>
      <c r="AR96" s="685"/>
      <c r="AS96" s="469"/>
      <c r="AT96" s="469"/>
      <c r="AU96" s="459"/>
      <c r="AV96" s="469"/>
      <c r="AW96" s="459"/>
      <c r="AX96" s="467"/>
      <c r="AY96" s="459"/>
      <c r="AZ96" s="469"/>
      <c r="BA96" s="467"/>
      <c r="BD96" s="686"/>
    </row>
    <row r="97" spans="1:56" s="466" customFormat="1" ht="13.5" customHeight="1" x14ac:dyDescent="0.2">
      <c r="A97" s="733"/>
      <c r="B97" s="733"/>
      <c r="C97" s="13"/>
      <c r="D97" s="31"/>
      <c r="E97" s="31"/>
      <c r="F97" s="849">
        <v>42623</v>
      </c>
      <c r="G97" s="13"/>
      <c r="H97" s="31"/>
      <c r="I97" s="31"/>
      <c r="J97" s="647"/>
      <c r="K97" s="610" t="s">
        <v>644</v>
      </c>
      <c r="L97" s="647">
        <v>47819826</v>
      </c>
      <c r="M97" s="647">
        <v>95186854</v>
      </c>
      <c r="N97" s="31"/>
      <c r="O97" s="118" t="s">
        <v>145</v>
      </c>
      <c r="P97" s="12" t="s">
        <v>149</v>
      </c>
      <c r="Q97" s="806">
        <v>70100</v>
      </c>
      <c r="R97" s="31"/>
      <c r="S97" s="31"/>
      <c r="T97" s="31"/>
      <c r="U97" s="31"/>
      <c r="V97" s="31"/>
      <c r="W97" s="31"/>
      <c r="X97" s="31"/>
      <c r="Y97" s="31"/>
      <c r="Z97" s="31"/>
      <c r="AA97" s="31"/>
      <c r="AB97" s="31"/>
      <c r="AC97" s="751"/>
      <c r="AD97" s="751"/>
      <c r="AE97" s="4"/>
      <c r="AF97" s="481"/>
      <c r="AG97" s="682"/>
      <c r="AH97" s="459"/>
      <c r="AJ97" s="459"/>
      <c r="AK97" s="459"/>
      <c r="AL97" s="683"/>
      <c r="AM97" s="684"/>
      <c r="AN97" s="683"/>
      <c r="AO97" s="469"/>
      <c r="AP97" s="118"/>
      <c r="AQ97" s="12"/>
      <c r="AR97" s="685"/>
      <c r="AS97" s="469"/>
      <c r="AT97" s="469"/>
      <c r="AU97" s="459"/>
      <c r="AV97" s="469"/>
      <c r="AW97" s="459"/>
      <c r="AX97" s="467"/>
      <c r="AY97" s="459"/>
      <c r="AZ97" s="469"/>
      <c r="BA97" s="467"/>
      <c r="BD97" s="686"/>
    </row>
    <row r="98" spans="1:56" s="466" customFormat="1" ht="13.5" customHeight="1" x14ac:dyDescent="0.2">
      <c r="A98" s="733"/>
      <c r="B98" s="733"/>
      <c r="C98" s="13"/>
      <c r="D98" s="31"/>
      <c r="E98" s="31"/>
      <c r="F98" s="849">
        <v>42623</v>
      </c>
      <c r="G98" s="13"/>
      <c r="H98" s="31"/>
      <c r="I98" s="31"/>
      <c r="J98" s="647"/>
      <c r="K98" s="610" t="s">
        <v>644</v>
      </c>
      <c r="L98" s="647">
        <v>47819826</v>
      </c>
      <c r="M98" s="647">
        <v>95191938</v>
      </c>
      <c r="N98" s="31"/>
      <c r="O98" s="118" t="s">
        <v>145</v>
      </c>
      <c r="P98" s="12" t="s">
        <v>149</v>
      </c>
      <c r="Q98" s="806">
        <v>69750</v>
      </c>
      <c r="R98" s="31"/>
      <c r="S98" s="31"/>
      <c r="T98" s="31"/>
      <c r="U98" s="31"/>
      <c r="V98" s="31"/>
      <c r="W98" s="31"/>
      <c r="X98" s="31"/>
      <c r="Y98" s="31"/>
      <c r="Z98" s="31"/>
      <c r="AA98" s="31"/>
      <c r="AB98" s="31"/>
      <c r="AC98" s="751"/>
      <c r="AD98" s="751"/>
      <c r="AE98" s="4"/>
      <c r="AF98" s="481"/>
      <c r="AG98" s="682"/>
      <c r="AH98" s="459"/>
      <c r="AJ98" s="459"/>
      <c r="AK98" s="459"/>
      <c r="AL98" s="683"/>
      <c r="AM98" s="684"/>
      <c r="AN98" s="683"/>
      <c r="AO98" s="469"/>
      <c r="AP98" s="118"/>
      <c r="AQ98" s="12"/>
      <c r="AR98" s="685"/>
      <c r="AS98" s="469"/>
      <c r="AT98" s="469"/>
      <c r="AU98" s="459"/>
      <c r="AV98" s="469"/>
      <c r="AW98" s="459"/>
      <c r="AX98" s="467"/>
      <c r="AY98" s="459"/>
      <c r="AZ98" s="469"/>
      <c r="BA98" s="467"/>
      <c r="BD98" s="686"/>
    </row>
    <row r="99" spans="1:56" s="466" customFormat="1" ht="13.5" customHeight="1" x14ac:dyDescent="0.2">
      <c r="A99" s="733"/>
      <c r="B99" s="733"/>
      <c r="C99" s="13"/>
      <c r="D99" s="31"/>
      <c r="E99" s="31"/>
      <c r="F99" s="849">
        <v>42623</v>
      </c>
      <c r="G99" s="13"/>
      <c r="H99" s="31"/>
      <c r="I99" s="31"/>
      <c r="J99" s="647"/>
      <c r="K99" s="610" t="s">
        <v>644</v>
      </c>
      <c r="L99" s="647">
        <v>47819826</v>
      </c>
      <c r="M99" s="647">
        <v>95153243</v>
      </c>
      <c r="N99" s="31"/>
      <c r="O99" s="118" t="s">
        <v>145</v>
      </c>
      <c r="P99" s="12" t="s">
        <v>149</v>
      </c>
      <c r="Q99" s="806">
        <v>68500</v>
      </c>
      <c r="R99" s="31"/>
      <c r="S99" s="31"/>
      <c r="T99" s="31"/>
      <c r="U99" s="31"/>
      <c r="V99" s="31"/>
      <c r="W99" s="31"/>
      <c r="X99" s="31"/>
      <c r="Y99" s="31"/>
      <c r="Z99" s="31"/>
      <c r="AA99" s="31"/>
      <c r="AB99" s="31"/>
      <c r="AC99" s="751"/>
      <c r="AD99" s="751"/>
      <c r="AE99" s="4"/>
      <c r="AF99" s="481"/>
      <c r="AG99" s="682"/>
      <c r="AH99" s="459"/>
      <c r="AJ99" s="459"/>
      <c r="AK99" s="459"/>
      <c r="AL99" s="683"/>
      <c r="AM99" s="684"/>
      <c r="AN99" s="683"/>
      <c r="AO99" s="469"/>
      <c r="AP99" s="118"/>
      <c r="AQ99" s="12"/>
      <c r="AR99" s="685"/>
      <c r="AS99" s="469"/>
      <c r="AT99" s="469"/>
      <c r="AU99" s="459"/>
      <c r="AV99" s="469"/>
      <c r="AW99" s="459"/>
      <c r="AX99" s="467"/>
      <c r="AY99" s="459"/>
      <c r="AZ99" s="469"/>
      <c r="BA99" s="467"/>
      <c r="BD99" s="686"/>
    </row>
    <row r="100" spans="1:56" s="466" customFormat="1" ht="13.5" customHeight="1" x14ac:dyDescent="0.2">
      <c r="A100" s="733"/>
      <c r="B100" s="733"/>
      <c r="C100" s="13"/>
      <c r="D100" s="31"/>
      <c r="E100" s="31"/>
      <c r="F100" s="849">
        <v>42623</v>
      </c>
      <c r="G100" s="13"/>
      <c r="H100" s="31"/>
      <c r="I100" s="31"/>
      <c r="J100" s="647"/>
      <c r="K100" s="610" t="s">
        <v>644</v>
      </c>
      <c r="L100" s="647">
        <v>47819826</v>
      </c>
      <c r="M100" s="647">
        <v>95092540</v>
      </c>
      <c r="N100" s="31"/>
      <c r="O100" s="118" t="s">
        <v>145</v>
      </c>
      <c r="P100" s="12" t="s">
        <v>149</v>
      </c>
      <c r="Q100" s="806">
        <v>69150</v>
      </c>
      <c r="R100" s="31"/>
      <c r="S100" s="31"/>
      <c r="T100" s="31"/>
      <c r="U100" s="31"/>
      <c r="V100" s="31"/>
      <c r="W100" s="31"/>
      <c r="X100" s="31"/>
      <c r="Y100" s="31"/>
      <c r="Z100" s="31"/>
      <c r="AA100" s="31"/>
      <c r="AB100" s="31"/>
      <c r="AC100" s="751"/>
      <c r="AD100" s="751"/>
      <c r="AE100" s="4"/>
      <c r="AF100" s="481"/>
      <c r="AG100" s="682"/>
      <c r="AH100" s="459"/>
      <c r="AJ100" s="459"/>
      <c r="AK100" s="459"/>
      <c r="AL100" s="683"/>
      <c r="AM100" s="684"/>
      <c r="AN100" s="683"/>
      <c r="AO100" s="469"/>
      <c r="AP100" s="118"/>
      <c r="AQ100" s="12"/>
      <c r="AR100" s="685"/>
      <c r="AS100" s="469"/>
      <c r="AT100" s="469"/>
      <c r="AU100" s="459"/>
      <c r="AV100" s="469"/>
      <c r="AW100" s="459"/>
      <c r="AX100" s="467"/>
      <c r="AY100" s="459"/>
      <c r="AZ100" s="469"/>
      <c r="BA100" s="467"/>
      <c r="BD100" s="686"/>
    </row>
    <row r="101" spans="1:56" s="466" customFormat="1" ht="13.5" customHeight="1" x14ac:dyDescent="0.2">
      <c r="A101" s="733"/>
      <c r="B101" s="733"/>
      <c r="C101" s="13"/>
      <c r="D101" s="31"/>
      <c r="E101" s="31"/>
      <c r="F101" s="849">
        <v>42623</v>
      </c>
      <c r="G101" s="13"/>
      <c r="H101" s="31"/>
      <c r="I101" s="31"/>
      <c r="J101" s="647"/>
      <c r="K101" s="610" t="s">
        <v>886</v>
      </c>
      <c r="L101" s="647">
        <v>40566978</v>
      </c>
      <c r="M101" s="647">
        <v>95758454</v>
      </c>
      <c r="N101" s="31"/>
      <c r="O101" s="118" t="s">
        <v>145</v>
      </c>
      <c r="P101" s="12" t="s">
        <v>148</v>
      </c>
      <c r="Q101" s="806">
        <v>68300</v>
      </c>
      <c r="R101" s="31"/>
      <c r="S101" s="31"/>
      <c r="T101" s="31"/>
      <c r="U101" s="31"/>
      <c r="V101" s="31"/>
      <c r="W101" s="31"/>
      <c r="X101" s="31"/>
      <c r="Y101" s="31"/>
      <c r="Z101" s="31"/>
      <c r="AA101" s="31"/>
      <c r="AB101" s="31"/>
      <c r="AC101" s="751"/>
      <c r="AD101" s="751"/>
      <c r="AE101" s="4"/>
      <c r="AF101" s="481"/>
      <c r="AG101" s="682"/>
      <c r="AH101" s="459"/>
      <c r="AJ101" s="459"/>
      <c r="AK101" s="459"/>
      <c r="AL101" s="683"/>
      <c r="AM101" s="684"/>
      <c r="AN101" s="683"/>
      <c r="AO101" s="469"/>
      <c r="AP101" s="118"/>
      <c r="AQ101" s="12"/>
      <c r="AR101" s="685"/>
      <c r="AS101" s="469"/>
      <c r="AT101" s="469"/>
      <c r="AU101" s="459"/>
      <c r="AV101" s="469"/>
      <c r="AW101" s="459"/>
      <c r="AX101" s="467"/>
      <c r="AY101" s="459"/>
      <c r="AZ101" s="469"/>
      <c r="BA101" s="467"/>
      <c r="BD101" s="686"/>
    </row>
    <row r="102" spans="1:56" s="466" customFormat="1" ht="13.5" customHeight="1" x14ac:dyDescent="0.2">
      <c r="A102" s="733"/>
      <c r="B102" s="733"/>
      <c r="C102" s="13"/>
      <c r="D102" s="31"/>
      <c r="E102" s="31"/>
      <c r="F102" s="849">
        <v>42623</v>
      </c>
      <c r="G102" s="13"/>
      <c r="H102" s="31"/>
      <c r="I102" s="31"/>
      <c r="J102" s="647"/>
      <c r="K102" s="610" t="s">
        <v>701</v>
      </c>
      <c r="L102" s="647">
        <v>32110165</v>
      </c>
      <c r="M102" s="647">
        <v>95531679</v>
      </c>
      <c r="N102" s="31"/>
      <c r="O102" s="118" t="s">
        <v>145</v>
      </c>
      <c r="P102" s="12" t="s">
        <v>149</v>
      </c>
      <c r="Q102" s="806">
        <v>66950</v>
      </c>
      <c r="R102" s="31"/>
      <c r="S102" s="31"/>
      <c r="T102" s="31"/>
      <c r="U102" s="31"/>
      <c r="V102" s="31"/>
      <c r="W102" s="31"/>
      <c r="X102" s="31"/>
      <c r="Y102" s="31"/>
      <c r="Z102" s="31"/>
      <c r="AA102" s="31"/>
      <c r="AB102" s="31"/>
      <c r="AC102" s="751"/>
      <c r="AD102" s="751"/>
      <c r="AE102" s="4"/>
      <c r="AF102" s="481"/>
      <c r="AG102" s="682"/>
      <c r="AH102" s="459"/>
      <c r="AJ102" s="459"/>
      <c r="AK102" s="459"/>
      <c r="AL102" s="683"/>
      <c r="AM102" s="684"/>
      <c r="AN102" s="683"/>
      <c r="AO102" s="469"/>
      <c r="AP102" s="118"/>
      <c r="AQ102" s="12"/>
      <c r="AR102" s="685"/>
      <c r="AS102" s="469"/>
      <c r="AT102" s="469"/>
      <c r="AU102" s="459"/>
      <c r="AV102" s="469"/>
      <c r="AW102" s="459"/>
      <c r="AX102" s="467"/>
      <c r="AY102" s="459"/>
      <c r="AZ102" s="469"/>
      <c r="BA102" s="467"/>
      <c r="BD102" s="686"/>
    </row>
    <row r="103" spans="1:56" s="466" customFormat="1" ht="13.5" customHeight="1" x14ac:dyDescent="0.2">
      <c r="A103" s="733"/>
      <c r="B103" s="733"/>
      <c r="C103" s="13"/>
      <c r="D103" s="31"/>
      <c r="E103" s="31"/>
      <c r="F103" s="849">
        <v>42623</v>
      </c>
      <c r="G103" s="13"/>
      <c r="H103" s="31"/>
      <c r="I103" s="31"/>
      <c r="J103" s="647"/>
      <c r="K103" s="610" t="s">
        <v>701</v>
      </c>
      <c r="L103" s="647">
        <v>32110165</v>
      </c>
      <c r="M103" s="647">
        <v>95395075</v>
      </c>
      <c r="N103" s="31"/>
      <c r="O103" s="118" t="s">
        <v>145</v>
      </c>
      <c r="P103" s="12" t="s">
        <v>149</v>
      </c>
      <c r="Q103" s="806">
        <v>67150</v>
      </c>
      <c r="R103" s="31"/>
      <c r="S103" s="31"/>
      <c r="T103" s="31"/>
      <c r="U103" s="31"/>
      <c r="V103" s="31"/>
      <c r="W103" s="31"/>
      <c r="X103" s="31"/>
      <c r="Y103" s="31"/>
      <c r="Z103" s="31"/>
      <c r="AA103" s="31"/>
      <c r="AB103" s="31"/>
      <c r="AC103" s="751"/>
      <c r="AD103" s="751"/>
      <c r="AE103" s="4"/>
      <c r="AF103" s="481"/>
      <c r="AG103" s="682"/>
      <c r="AH103" s="459"/>
      <c r="AJ103" s="459"/>
      <c r="AK103" s="459"/>
      <c r="AL103" s="683"/>
      <c r="AM103" s="684"/>
      <c r="AN103" s="683"/>
      <c r="AO103" s="469"/>
      <c r="AP103" s="118"/>
      <c r="AQ103" s="12"/>
      <c r="AR103" s="685"/>
      <c r="AS103" s="469"/>
      <c r="AT103" s="469"/>
      <c r="AU103" s="459"/>
      <c r="AV103" s="469"/>
      <c r="AW103" s="459"/>
      <c r="AX103" s="467"/>
      <c r="AY103" s="459"/>
      <c r="AZ103" s="469"/>
      <c r="BA103" s="467"/>
      <c r="BD103" s="686"/>
    </row>
    <row r="104" spans="1:56" s="466" customFormat="1" ht="13.5" customHeight="1" x14ac:dyDescent="0.2">
      <c r="A104" s="733"/>
      <c r="B104" s="733"/>
      <c r="C104" s="13"/>
      <c r="D104" s="31"/>
      <c r="E104" s="31"/>
      <c r="F104" s="849">
        <v>42624</v>
      </c>
      <c r="G104" s="13"/>
      <c r="H104" s="31"/>
      <c r="I104" s="31"/>
      <c r="J104" s="647"/>
      <c r="K104" s="610" t="s">
        <v>888</v>
      </c>
      <c r="L104" s="647">
        <v>271071</v>
      </c>
      <c r="M104" s="628" t="s">
        <v>915</v>
      </c>
      <c r="N104" s="31"/>
      <c r="O104" s="118" t="s">
        <v>145</v>
      </c>
      <c r="P104" s="12" t="s">
        <v>149</v>
      </c>
      <c r="Q104" s="806">
        <v>24340</v>
      </c>
      <c r="R104" s="31"/>
      <c r="S104" s="31"/>
      <c r="T104" s="31"/>
      <c r="U104" s="31"/>
      <c r="V104" s="31"/>
      <c r="W104" s="31"/>
      <c r="X104" s="31"/>
      <c r="Y104" s="31"/>
      <c r="Z104" s="31"/>
      <c r="AA104" s="31"/>
      <c r="AB104" s="31"/>
      <c r="AC104" s="751"/>
      <c r="AD104" s="751"/>
      <c r="AE104" s="4"/>
      <c r="AF104" s="481"/>
      <c r="AG104" s="682"/>
      <c r="AH104" s="459"/>
      <c r="AJ104" s="459"/>
      <c r="AK104" s="459"/>
      <c r="AL104" s="683"/>
      <c r="AM104" s="684"/>
      <c r="AN104" s="683"/>
      <c r="AO104" s="469"/>
      <c r="AP104" s="118"/>
      <c r="AQ104" s="12"/>
      <c r="AR104" s="685"/>
      <c r="AS104" s="469"/>
      <c r="AT104" s="469"/>
      <c r="AU104" s="459"/>
      <c r="AV104" s="469"/>
      <c r="AW104" s="459"/>
      <c r="AX104" s="467"/>
      <c r="AY104" s="459"/>
      <c r="AZ104" s="469"/>
      <c r="BA104" s="467"/>
      <c r="BD104" s="686"/>
    </row>
    <row r="105" spans="1:56" s="466" customFormat="1" ht="13.5" customHeight="1" x14ac:dyDescent="0.2">
      <c r="A105" s="733"/>
      <c r="B105" s="733"/>
      <c r="C105" s="13"/>
      <c r="D105" s="31"/>
      <c r="E105" s="31"/>
      <c r="F105" s="849">
        <v>42624</v>
      </c>
      <c r="G105" s="13"/>
      <c r="H105" s="31"/>
      <c r="I105" s="31"/>
      <c r="J105" s="647"/>
      <c r="K105" s="610" t="s">
        <v>644</v>
      </c>
      <c r="L105" s="647">
        <v>47864236</v>
      </c>
      <c r="M105" s="647">
        <v>95130563</v>
      </c>
      <c r="N105" s="31"/>
      <c r="O105" s="118" t="s">
        <v>145</v>
      </c>
      <c r="P105" s="12" t="s">
        <v>149</v>
      </c>
      <c r="Q105" s="806">
        <v>67050</v>
      </c>
      <c r="R105" s="31"/>
      <c r="S105" s="31"/>
      <c r="T105" s="31"/>
      <c r="U105" s="31"/>
      <c r="V105" s="31"/>
      <c r="W105" s="31"/>
      <c r="X105" s="31"/>
      <c r="Y105" s="31"/>
      <c r="Z105" s="31"/>
      <c r="AA105" s="31"/>
      <c r="AB105" s="31"/>
      <c r="AC105" s="751"/>
      <c r="AD105" s="751"/>
      <c r="AE105" s="4"/>
      <c r="AF105" s="481"/>
      <c r="AG105" s="682"/>
      <c r="AH105" s="459"/>
      <c r="AJ105" s="459"/>
      <c r="AK105" s="459"/>
      <c r="AL105" s="683"/>
      <c r="AM105" s="684"/>
      <c r="AN105" s="683"/>
      <c r="AO105" s="469"/>
      <c r="AP105" s="118"/>
      <c r="AQ105" s="12"/>
      <c r="AR105" s="685"/>
      <c r="AS105" s="469"/>
      <c r="AT105" s="469"/>
      <c r="AU105" s="459"/>
      <c r="AV105" s="469"/>
      <c r="AW105" s="459"/>
      <c r="AX105" s="467"/>
      <c r="AY105" s="459"/>
      <c r="AZ105" s="469"/>
      <c r="BA105" s="467"/>
      <c r="BD105" s="686"/>
    </row>
    <row r="106" spans="1:56" s="466" customFormat="1" ht="13.5" customHeight="1" x14ac:dyDescent="0.2">
      <c r="A106" s="733"/>
      <c r="B106" s="733"/>
      <c r="C106" s="13"/>
      <c r="D106" s="31"/>
      <c r="E106" s="31"/>
      <c r="F106" s="849">
        <v>42624</v>
      </c>
      <c r="G106" s="13"/>
      <c r="H106" s="31"/>
      <c r="I106" s="31"/>
      <c r="J106" s="647"/>
      <c r="K106" s="610" t="s">
        <v>644</v>
      </c>
      <c r="L106" s="647">
        <v>47864236</v>
      </c>
      <c r="M106" s="647">
        <v>95095683</v>
      </c>
      <c r="N106" s="31"/>
      <c r="O106" s="118" t="s">
        <v>145</v>
      </c>
      <c r="P106" s="12" t="s">
        <v>149</v>
      </c>
      <c r="Q106" s="806">
        <v>69850</v>
      </c>
      <c r="R106" s="31"/>
      <c r="S106" s="31"/>
      <c r="T106" s="31"/>
      <c r="U106" s="31"/>
      <c r="V106" s="31"/>
      <c r="W106" s="31"/>
      <c r="X106" s="31"/>
      <c r="Y106" s="31"/>
      <c r="Z106" s="31"/>
      <c r="AA106" s="31"/>
      <c r="AB106" s="31"/>
      <c r="AC106" s="751"/>
      <c r="AD106" s="751"/>
      <c r="AE106" s="4"/>
      <c r="AF106" s="481"/>
      <c r="AG106" s="682"/>
      <c r="AH106" s="459"/>
      <c r="AJ106" s="459"/>
      <c r="AK106" s="459"/>
      <c r="AL106" s="683"/>
      <c r="AM106" s="684"/>
      <c r="AN106" s="683"/>
      <c r="AO106" s="469"/>
      <c r="AP106" s="118"/>
      <c r="AQ106" s="12"/>
      <c r="AR106" s="685"/>
      <c r="AS106" s="469"/>
      <c r="AT106" s="469"/>
      <c r="AU106" s="459"/>
      <c r="AV106" s="469"/>
      <c r="AW106" s="459"/>
      <c r="AX106" s="467"/>
      <c r="AY106" s="459"/>
      <c r="AZ106" s="469"/>
      <c r="BA106" s="467"/>
      <c r="BD106" s="686"/>
    </row>
    <row r="107" spans="1:56" s="466" customFormat="1" ht="13.5" customHeight="1" x14ac:dyDescent="0.2">
      <c r="A107" s="733"/>
      <c r="B107" s="733"/>
      <c r="C107" s="13"/>
      <c r="D107" s="31"/>
      <c r="E107" s="31"/>
      <c r="F107" s="849">
        <v>42624</v>
      </c>
      <c r="G107" s="13"/>
      <c r="H107" s="31"/>
      <c r="I107" s="31"/>
      <c r="J107" s="647"/>
      <c r="K107" s="610" t="s">
        <v>644</v>
      </c>
      <c r="L107" s="647">
        <v>47864236</v>
      </c>
      <c r="M107" s="647">
        <v>95092763</v>
      </c>
      <c r="N107" s="31"/>
      <c r="O107" s="118" t="s">
        <v>145</v>
      </c>
      <c r="P107" s="12" t="s">
        <v>149</v>
      </c>
      <c r="Q107" s="806">
        <v>69000</v>
      </c>
      <c r="R107" s="31"/>
      <c r="S107" s="31"/>
      <c r="T107" s="31"/>
      <c r="U107" s="31"/>
      <c r="V107" s="31"/>
      <c r="W107" s="31"/>
      <c r="X107" s="31"/>
      <c r="Y107" s="31"/>
      <c r="Z107" s="31"/>
      <c r="AA107" s="31"/>
      <c r="AB107" s="31"/>
      <c r="AC107" s="751"/>
      <c r="AD107" s="751"/>
      <c r="AE107" s="4"/>
      <c r="AF107" s="481"/>
      <c r="AG107" s="682"/>
      <c r="AH107" s="459"/>
      <c r="AJ107" s="459"/>
      <c r="AK107" s="459"/>
      <c r="AL107" s="683"/>
      <c r="AM107" s="684"/>
      <c r="AN107" s="683"/>
      <c r="AO107" s="469"/>
      <c r="AP107" s="118"/>
      <c r="AQ107" s="12"/>
      <c r="AR107" s="685"/>
      <c r="AS107" s="469"/>
      <c r="AT107" s="469"/>
      <c r="AU107" s="459"/>
      <c r="AV107" s="469"/>
      <c r="AW107" s="459"/>
      <c r="AX107" s="467"/>
      <c r="AY107" s="459"/>
      <c r="AZ107" s="469"/>
      <c r="BA107" s="467"/>
      <c r="BD107" s="686"/>
    </row>
    <row r="108" spans="1:56" s="466" customFormat="1" ht="13.5" customHeight="1" x14ac:dyDescent="0.2">
      <c r="A108" s="733"/>
      <c r="B108" s="733"/>
      <c r="C108" s="13"/>
      <c r="D108" s="31"/>
      <c r="E108" s="31"/>
      <c r="F108" s="849">
        <v>42624</v>
      </c>
      <c r="G108" s="13"/>
      <c r="H108" s="31"/>
      <c r="I108" s="31"/>
      <c r="J108" s="647"/>
      <c r="K108" s="610" t="s">
        <v>888</v>
      </c>
      <c r="L108" s="647">
        <v>47819412</v>
      </c>
      <c r="M108" s="647">
        <v>95796454</v>
      </c>
      <c r="N108" s="31"/>
      <c r="O108" s="118" t="s">
        <v>145</v>
      </c>
      <c r="P108" s="12" t="s">
        <v>149</v>
      </c>
      <c r="Q108" s="806">
        <v>68700</v>
      </c>
      <c r="R108" s="31"/>
      <c r="S108" s="31"/>
      <c r="T108" s="31"/>
      <c r="U108" s="31"/>
      <c r="V108" s="31"/>
      <c r="W108" s="31"/>
      <c r="X108" s="31"/>
      <c r="Y108" s="31"/>
      <c r="Z108" s="31"/>
      <c r="AA108" s="31"/>
      <c r="AB108" s="31"/>
      <c r="AC108" s="751"/>
      <c r="AD108" s="751"/>
      <c r="AE108" s="4"/>
      <c r="AF108" s="481"/>
      <c r="AG108" s="682"/>
      <c r="AH108" s="459"/>
      <c r="AJ108" s="459"/>
      <c r="AK108" s="459"/>
      <c r="AL108" s="683"/>
      <c r="AM108" s="684"/>
      <c r="AN108" s="683"/>
      <c r="AO108" s="469"/>
      <c r="AP108" s="118"/>
      <c r="AQ108" s="12"/>
      <c r="AR108" s="685"/>
      <c r="AS108" s="469"/>
      <c r="AT108" s="469"/>
      <c r="AU108" s="459"/>
      <c r="AV108" s="469"/>
      <c r="AW108" s="459"/>
      <c r="AX108" s="467"/>
      <c r="AY108" s="459"/>
      <c r="AZ108" s="469"/>
      <c r="BA108" s="467"/>
      <c r="BD108" s="686"/>
    </row>
    <row r="109" spans="1:56" s="466" customFormat="1" ht="13.5" customHeight="1" x14ac:dyDescent="0.2">
      <c r="A109" s="733"/>
      <c r="B109" s="733"/>
      <c r="C109" s="13"/>
      <c r="D109" s="31"/>
      <c r="E109" s="31"/>
      <c r="F109" s="849">
        <v>42624</v>
      </c>
      <c r="G109" s="13"/>
      <c r="H109" s="31"/>
      <c r="I109" s="31"/>
      <c r="J109" s="647"/>
      <c r="K109" s="610" t="s">
        <v>888</v>
      </c>
      <c r="L109" s="647">
        <v>47819412</v>
      </c>
      <c r="M109" s="647">
        <v>95647236</v>
      </c>
      <c r="N109" s="31"/>
      <c r="O109" s="118" t="s">
        <v>145</v>
      </c>
      <c r="P109" s="12" t="s">
        <v>149</v>
      </c>
      <c r="Q109" s="806">
        <v>68050</v>
      </c>
      <c r="R109" s="31"/>
      <c r="S109" s="31"/>
      <c r="T109" s="31"/>
      <c r="U109" s="31"/>
      <c r="V109" s="31"/>
      <c r="W109" s="31"/>
      <c r="X109" s="31"/>
      <c r="Y109" s="31"/>
      <c r="Z109" s="31"/>
      <c r="AA109" s="31"/>
      <c r="AB109" s="31"/>
      <c r="AC109" s="751"/>
      <c r="AD109" s="751"/>
      <c r="AE109" s="4"/>
      <c r="AF109" s="481"/>
      <c r="AG109" s="682"/>
      <c r="AH109" s="459"/>
      <c r="AJ109" s="459"/>
      <c r="AK109" s="459"/>
      <c r="AL109" s="683"/>
      <c r="AM109" s="684"/>
      <c r="AN109" s="683"/>
      <c r="AO109" s="469"/>
      <c r="AP109" s="118"/>
      <c r="AQ109" s="12"/>
      <c r="AR109" s="685"/>
      <c r="AS109" s="469"/>
      <c r="AT109" s="469"/>
      <c r="AU109" s="459"/>
      <c r="AV109" s="469"/>
      <c r="AW109" s="459"/>
      <c r="AX109" s="467"/>
      <c r="AY109" s="459"/>
      <c r="AZ109" s="469"/>
      <c r="BA109" s="467"/>
      <c r="BD109" s="686"/>
    </row>
    <row r="110" spans="1:56" s="466" customFormat="1" ht="13.5" customHeight="1" x14ac:dyDescent="0.2">
      <c r="A110" s="733"/>
      <c r="B110" s="733"/>
      <c r="C110" s="13"/>
      <c r="D110" s="31"/>
      <c r="E110" s="31"/>
      <c r="F110" s="849">
        <v>42624</v>
      </c>
      <c r="G110" s="13"/>
      <c r="H110" s="31"/>
      <c r="I110" s="31"/>
      <c r="J110" s="647"/>
      <c r="K110" s="610" t="s">
        <v>888</v>
      </c>
      <c r="L110" s="647">
        <v>47819412</v>
      </c>
      <c r="M110" s="647">
        <v>95369237</v>
      </c>
      <c r="N110" s="31"/>
      <c r="O110" s="118" t="s">
        <v>145</v>
      </c>
      <c r="P110" s="12" t="s">
        <v>149</v>
      </c>
      <c r="Q110" s="806">
        <v>68650</v>
      </c>
      <c r="R110" s="31"/>
      <c r="S110" s="31"/>
      <c r="T110" s="31"/>
      <c r="U110" s="31"/>
      <c r="V110" s="31"/>
      <c r="W110" s="31"/>
      <c r="X110" s="31"/>
      <c r="Y110" s="31"/>
      <c r="Z110" s="31"/>
      <c r="AA110" s="31"/>
      <c r="AB110" s="31"/>
      <c r="AC110" s="751"/>
      <c r="AD110" s="751"/>
      <c r="AE110" s="4"/>
      <c r="AF110" s="481"/>
      <c r="AG110" s="682"/>
      <c r="AH110" s="459"/>
      <c r="AJ110" s="459"/>
      <c r="AK110" s="459"/>
      <c r="AL110" s="683"/>
      <c r="AM110" s="684"/>
      <c r="AN110" s="683"/>
      <c r="AO110" s="469"/>
      <c r="AP110" s="118"/>
      <c r="AQ110" s="12"/>
      <c r="AR110" s="685"/>
      <c r="AS110" s="469"/>
      <c r="AT110" s="469"/>
      <c r="AU110" s="459"/>
      <c r="AV110" s="469"/>
      <c r="AW110" s="459"/>
      <c r="AX110" s="467"/>
      <c r="AY110" s="459"/>
      <c r="AZ110" s="469"/>
      <c r="BA110" s="467"/>
      <c r="BD110" s="686"/>
    </row>
    <row r="111" spans="1:56" s="466" customFormat="1" ht="13.5" customHeight="1" x14ac:dyDescent="0.2">
      <c r="A111" s="733"/>
      <c r="B111" s="733"/>
      <c r="C111" s="13"/>
      <c r="D111" s="31"/>
      <c r="E111" s="31"/>
      <c r="F111" s="849">
        <v>42624</v>
      </c>
      <c r="G111" s="13"/>
      <c r="H111" s="31"/>
      <c r="I111" s="31"/>
      <c r="J111" s="647"/>
      <c r="K111" s="610" t="s">
        <v>888</v>
      </c>
      <c r="L111" s="647">
        <v>47819412</v>
      </c>
      <c r="M111" s="647">
        <v>95800330</v>
      </c>
      <c r="N111" s="31"/>
      <c r="O111" s="118" t="s">
        <v>145</v>
      </c>
      <c r="P111" s="12" t="s">
        <v>149</v>
      </c>
      <c r="Q111" s="806">
        <v>67450</v>
      </c>
      <c r="R111" s="31"/>
      <c r="S111" s="31"/>
      <c r="T111" s="31"/>
      <c r="U111" s="31"/>
      <c r="V111" s="31"/>
      <c r="W111" s="31"/>
      <c r="X111" s="31"/>
      <c r="Y111" s="31"/>
      <c r="Z111" s="31"/>
      <c r="AA111" s="31"/>
      <c r="AB111" s="31"/>
      <c r="AC111" s="751"/>
      <c r="AD111" s="751"/>
      <c r="AE111" s="4"/>
      <c r="AF111" s="481"/>
      <c r="AG111" s="682"/>
      <c r="AH111" s="459"/>
      <c r="AJ111" s="459"/>
      <c r="AK111" s="459"/>
      <c r="AL111" s="683"/>
      <c r="AM111" s="684"/>
      <c r="AN111" s="683"/>
      <c r="AO111" s="469"/>
      <c r="AP111" s="118"/>
      <c r="AQ111" s="12"/>
      <c r="AR111" s="685"/>
      <c r="AS111" s="469"/>
      <c r="AT111" s="469"/>
      <c r="AU111" s="459"/>
      <c r="AV111" s="469"/>
      <c r="AW111" s="459"/>
      <c r="AX111" s="467"/>
      <c r="AY111" s="459"/>
      <c r="AZ111" s="469"/>
      <c r="BA111" s="467"/>
      <c r="BD111" s="686"/>
    </row>
    <row r="112" spans="1:56" s="466" customFormat="1" ht="13.5" customHeight="1" x14ac:dyDescent="0.2">
      <c r="A112" s="733"/>
      <c r="B112" s="733"/>
      <c r="C112" s="13"/>
      <c r="D112" s="31"/>
      <c r="E112" s="31"/>
      <c r="F112" s="849">
        <v>42625</v>
      </c>
      <c r="G112" s="13"/>
      <c r="H112" s="31"/>
      <c r="I112" s="31"/>
      <c r="J112" s="647"/>
      <c r="K112" s="610" t="s">
        <v>888</v>
      </c>
      <c r="L112" s="647">
        <v>267705</v>
      </c>
      <c r="M112" s="628" t="s">
        <v>893</v>
      </c>
      <c r="N112" s="31"/>
      <c r="O112" s="118" t="s">
        <v>145</v>
      </c>
      <c r="P112" s="12" t="s">
        <v>148</v>
      </c>
      <c r="Q112" s="806">
        <v>24880</v>
      </c>
      <c r="R112" s="31"/>
      <c r="S112" s="31"/>
      <c r="T112" s="31"/>
      <c r="U112" s="31"/>
      <c r="V112" s="31"/>
      <c r="W112" s="31"/>
      <c r="X112" s="31"/>
      <c r="Y112" s="31"/>
      <c r="Z112" s="31"/>
      <c r="AA112" s="31"/>
      <c r="AB112" s="31"/>
      <c r="AC112" s="751"/>
      <c r="AD112" s="751"/>
      <c r="AE112" s="4"/>
      <c r="AF112" s="481"/>
      <c r="AG112" s="682"/>
      <c r="AH112" s="459"/>
      <c r="AJ112" s="459"/>
      <c r="AK112" s="459"/>
      <c r="AL112" s="683"/>
      <c r="AM112" s="684"/>
      <c r="AN112" s="683"/>
      <c r="AO112" s="469"/>
      <c r="AP112" s="118"/>
      <c r="AQ112" s="12"/>
      <c r="AR112" s="685"/>
      <c r="AS112" s="469"/>
      <c r="AT112" s="469"/>
      <c r="AU112" s="459"/>
      <c r="AV112" s="469"/>
      <c r="AW112" s="459"/>
      <c r="AX112" s="467"/>
      <c r="AY112" s="459"/>
      <c r="AZ112" s="469"/>
      <c r="BA112" s="467"/>
      <c r="BD112" s="686"/>
    </row>
    <row r="113" spans="1:56" s="466" customFormat="1" ht="13.5" customHeight="1" x14ac:dyDescent="0.2">
      <c r="A113" s="733"/>
      <c r="B113" s="733"/>
      <c r="C113" s="13"/>
      <c r="D113" s="31"/>
      <c r="E113" s="31"/>
      <c r="F113" s="849">
        <v>42625</v>
      </c>
      <c r="G113" s="13"/>
      <c r="H113" s="31"/>
      <c r="I113" s="31"/>
      <c r="J113" s="647"/>
      <c r="K113" s="610" t="s">
        <v>935</v>
      </c>
      <c r="L113" s="647">
        <v>50815778</v>
      </c>
      <c r="M113" s="647">
        <v>95525200</v>
      </c>
      <c r="N113" s="31"/>
      <c r="O113" s="118" t="s">
        <v>145</v>
      </c>
      <c r="P113" s="12" t="s">
        <v>149</v>
      </c>
      <c r="Q113" s="806">
        <v>69450</v>
      </c>
      <c r="R113" s="31"/>
      <c r="S113" s="31"/>
      <c r="T113" s="31"/>
      <c r="U113" s="31"/>
      <c r="V113" s="31"/>
      <c r="W113" s="31"/>
      <c r="X113" s="31"/>
      <c r="Y113" s="31"/>
      <c r="Z113" s="31"/>
      <c r="AA113" s="31"/>
      <c r="AB113" s="31"/>
      <c r="AC113" s="751"/>
      <c r="AD113" s="751"/>
      <c r="AE113" s="4"/>
      <c r="AF113" s="481"/>
      <c r="AG113" s="682"/>
      <c r="AH113" s="459"/>
      <c r="AJ113" s="459"/>
      <c r="AK113" s="459"/>
      <c r="AL113" s="683"/>
      <c r="AM113" s="684"/>
      <c r="AN113" s="683"/>
      <c r="AO113" s="469"/>
      <c r="AP113" s="118"/>
      <c r="AQ113" s="12"/>
      <c r="AR113" s="685"/>
      <c r="AS113" s="469"/>
      <c r="AT113" s="469"/>
      <c r="AU113" s="459"/>
      <c r="AV113" s="469"/>
      <c r="AW113" s="459"/>
      <c r="AX113" s="467"/>
      <c r="AY113" s="459"/>
      <c r="AZ113" s="469"/>
      <c r="BA113" s="467"/>
      <c r="BD113" s="686"/>
    </row>
    <row r="114" spans="1:56" s="466" customFormat="1" ht="13.5" customHeight="1" x14ac:dyDescent="0.2">
      <c r="A114" s="733"/>
      <c r="B114" s="733"/>
      <c r="C114" s="13"/>
      <c r="D114" s="31"/>
      <c r="E114" s="31"/>
      <c r="F114" s="849">
        <v>42625</v>
      </c>
      <c r="G114" s="13"/>
      <c r="H114" s="31"/>
      <c r="I114" s="31"/>
      <c r="J114" s="647"/>
      <c r="K114" s="610" t="s">
        <v>935</v>
      </c>
      <c r="L114" s="647">
        <v>50815778</v>
      </c>
      <c r="M114" s="647">
        <v>95681235</v>
      </c>
      <c r="N114" s="31"/>
      <c r="O114" s="118" t="s">
        <v>145</v>
      </c>
      <c r="P114" s="12" t="s">
        <v>149</v>
      </c>
      <c r="Q114" s="806">
        <v>69950</v>
      </c>
      <c r="R114" s="31"/>
      <c r="S114" s="31"/>
      <c r="T114" s="31"/>
      <c r="U114" s="31"/>
      <c r="V114" s="31"/>
      <c r="W114" s="31"/>
      <c r="X114" s="31"/>
      <c r="Y114" s="31"/>
      <c r="Z114" s="31"/>
      <c r="AA114" s="31"/>
      <c r="AB114" s="31"/>
      <c r="AC114" s="751"/>
      <c r="AD114" s="751"/>
      <c r="AE114" s="4"/>
      <c r="AF114" s="481"/>
      <c r="AG114" s="682"/>
      <c r="AH114" s="459"/>
      <c r="AJ114" s="459"/>
      <c r="AK114" s="459"/>
      <c r="AL114" s="683"/>
      <c r="AM114" s="684"/>
      <c r="AN114" s="683"/>
      <c r="AO114" s="469"/>
      <c r="AP114" s="118"/>
      <c r="AQ114" s="12"/>
      <c r="AR114" s="685"/>
      <c r="AS114" s="469"/>
      <c r="AT114" s="469"/>
      <c r="AU114" s="459"/>
      <c r="AV114" s="469"/>
      <c r="AW114" s="459"/>
      <c r="AX114" s="467"/>
      <c r="AY114" s="459"/>
      <c r="AZ114" s="469"/>
      <c r="BA114" s="467"/>
      <c r="BD114" s="686"/>
    </row>
    <row r="115" spans="1:56" s="466" customFormat="1" ht="13.5" customHeight="1" x14ac:dyDescent="0.2">
      <c r="A115" s="733"/>
      <c r="B115" s="733"/>
      <c r="C115" s="13"/>
      <c r="D115" s="31"/>
      <c r="E115" s="31"/>
      <c r="F115" s="849">
        <v>42625</v>
      </c>
      <c r="G115" s="13"/>
      <c r="H115" s="31"/>
      <c r="I115" s="31"/>
      <c r="J115" s="647"/>
      <c r="K115" s="610" t="s">
        <v>935</v>
      </c>
      <c r="L115" s="647">
        <v>50815778</v>
      </c>
      <c r="M115" s="647">
        <v>95369849</v>
      </c>
      <c r="N115" s="31"/>
      <c r="O115" s="118" t="s">
        <v>145</v>
      </c>
      <c r="P115" s="12" t="s">
        <v>149</v>
      </c>
      <c r="Q115" s="806">
        <v>69450</v>
      </c>
      <c r="R115" s="31"/>
      <c r="S115" s="31"/>
      <c r="T115" s="31"/>
      <c r="U115" s="31"/>
      <c r="V115" s="31"/>
      <c r="W115" s="31"/>
      <c r="X115" s="31"/>
      <c r="Y115" s="31"/>
      <c r="Z115" s="31"/>
      <c r="AA115" s="31"/>
      <c r="AB115" s="31"/>
      <c r="AC115" s="751"/>
      <c r="AD115" s="751"/>
      <c r="AE115" s="4"/>
      <c r="AF115" s="481"/>
      <c r="AG115" s="682"/>
      <c r="AH115" s="459"/>
      <c r="AJ115" s="459"/>
      <c r="AK115" s="459"/>
      <c r="AL115" s="683"/>
      <c r="AM115" s="684"/>
      <c r="AN115" s="683"/>
      <c r="AO115" s="469"/>
      <c r="AP115" s="118"/>
      <c r="AQ115" s="12"/>
      <c r="AR115" s="685"/>
      <c r="AS115" s="469"/>
      <c r="AT115" s="469"/>
      <c r="AU115" s="459"/>
      <c r="AV115" s="469"/>
      <c r="AW115" s="459"/>
      <c r="AX115" s="467"/>
      <c r="AY115" s="459"/>
      <c r="AZ115" s="469"/>
      <c r="BA115" s="467"/>
      <c r="BD115" s="686"/>
    </row>
    <row r="116" spans="1:56" s="466" customFormat="1" ht="13.5" customHeight="1" x14ac:dyDescent="0.2">
      <c r="A116" s="733"/>
      <c r="B116" s="733"/>
      <c r="C116" s="13"/>
      <c r="D116" s="31"/>
      <c r="E116" s="31"/>
      <c r="F116" s="849">
        <v>42625</v>
      </c>
      <c r="G116" s="13"/>
      <c r="H116" s="31"/>
      <c r="I116" s="31"/>
      <c r="J116" s="647"/>
      <c r="K116" s="610" t="s">
        <v>935</v>
      </c>
      <c r="L116" s="647">
        <v>50815778</v>
      </c>
      <c r="M116" s="647">
        <v>95617668</v>
      </c>
      <c r="N116" s="31"/>
      <c r="O116" s="118" t="s">
        <v>145</v>
      </c>
      <c r="P116" s="12" t="s">
        <v>149</v>
      </c>
      <c r="Q116" s="806">
        <v>69450</v>
      </c>
      <c r="R116" s="31"/>
      <c r="S116" s="31"/>
      <c r="T116" s="31"/>
      <c r="U116" s="31"/>
      <c r="V116" s="31"/>
      <c r="W116" s="31"/>
      <c r="X116" s="31"/>
      <c r="Y116" s="31"/>
      <c r="Z116" s="31"/>
      <c r="AA116" s="31"/>
      <c r="AB116" s="31"/>
      <c r="AC116" s="751"/>
      <c r="AD116" s="751"/>
      <c r="AE116" s="4"/>
      <c r="AF116" s="481"/>
      <c r="AG116" s="682"/>
      <c r="AH116" s="459"/>
      <c r="AJ116" s="459"/>
      <c r="AK116" s="459"/>
      <c r="AL116" s="683"/>
      <c r="AM116" s="684"/>
      <c r="AN116" s="683"/>
      <c r="AO116" s="469"/>
      <c r="AP116" s="118"/>
      <c r="AQ116" s="12"/>
      <c r="AR116" s="685"/>
      <c r="AS116" s="469"/>
      <c r="AT116" s="469"/>
      <c r="AU116" s="459"/>
      <c r="AV116" s="469"/>
      <c r="AW116" s="459"/>
      <c r="AX116" s="467"/>
      <c r="AY116" s="459"/>
      <c r="AZ116" s="469"/>
      <c r="BA116" s="467"/>
      <c r="BD116" s="686"/>
    </row>
    <row r="117" spans="1:56" s="466" customFormat="1" ht="13.5" customHeight="1" x14ac:dyDescent="0.2">
      <c r="A117" s="733"/>
      <c r="B117" s="733"/>
      <c r="C117" s="13"/>
      <c r="D117" s="31"/>
      <c r="E117" s="31"/>
      <c r="F117" s="849">
        <v>42625</v>
      </c>
      <c r="G117" s="13"/>
      <c r="H117" s="31"/>
      <c r="I117" s="31"/>
      <c r="J117" s="647"/>
      <c r="K117" s="610" t="s">
        <v>644</v>
      </c>
      <c r="L117" s="647">
        <v>40646275</v>
      </c>
      <c r="M117" s="647">
        <v>95353975</v>
      </c>
      <c r="N117" s="31"/>
      <c r="O117" s="118" t="s">
        <v>145</v>
      </c>
      <c r="P117" s="12" t="s">
        <v>148</v>
      </c>
      <c r="Q117" s="806">
        <v>67500</v>
      </c>
      <c r="R117" s="31"/>
      <c r="S117" s="31"/>
      <c r="T117" s="31"/>
      <c r="U117" s="31"/>
      <c r="V117" s="31"/>
      <c r="W117" s="31"/>
      <c r="X117" s="31"/>
      <c r="Y117" s="31"/>
      <c r="Z117" s="31"/>
      <c r="AA117" s="31"/>
      <c r="AB117" s="31"/>
      <c r="AC117" s="751"/>
      <c r="AD117" s="751"/>
      <c r="AE117" s="4"/>
      <c r="AF117" s="481"/>
      <c r="AG117" s="682"/>
      <c r="AH117" s="459"/>
      <c r="AJ117" s="459"/>
      <c r="AK117" s="459"/>
      <c r="AL117" s="683"/>
      <c r="AM117" s="684"/>
      <c r="AN117" s="683"/>
      <c r="AO117" s="469"/>
      <c r="AP117" s="118"/>
      <c r="AQ117" s="12"/>
      <c r="AR117" s="685"/>
      <c r="AS117" s="469"/>
      <c r="AT117" s="469"/>
      <c r="AU117" s="459"/>
      <c r="AV117" s="469"/>
      <c r="AW117" s="459"/>
      <c r="AX117" s="467"/>
      <c r="AY117" s="459"/>
      <c r="AZ117" s="469"/>
      <c r="BA117" s="467"/>
      <c r="BD117" s="686"/>
    </row>
    <row r="118" spans="1:56" s="466" customFormat="1" ht="13.5" customHeight="1" x14ac:dyDescent="0.2">
      <c r="A118" s="733"/>
      <c r="B118" s="733"/>
      <c r="C118" s="13"/>
      <c r="D118" s="31"/>
      <c r="E118" s="31"/>
      <c r="F118" s="849">
        <v>42625</v>
      </c>
      <c r="G118" s="13"/>
      <c r="H118" s="31"/>
      <c r="I118" s="31"/>
      <c r="J118" s="647"/>
      <c r="K118" s="610" t="s">
        <v>644</v>
      </c>
      <c r="L118" s="647">
        <v>40646275</v>
      </c>
      <c r="M118" s="647">
        <v>95453221</v>
      </c>
      <c r="N118" s="31"/>
      <c r="O118" s="118" t="s">
        <v>145</v>
      </c>
      <c r="P118" s="12" t="s">
        <v>148</v>
      </c>
      <c r="Q118" s="806">
        <v>67050</v>
      </c>
      <c r="R118" s="31"/>
      <c r="S118" s="31"/>
      <c r="T118" s="31"/>
      <c r="U118" s="31"/>
      <c r="V118" s="31"/>
      <c r="W118" s="31"/>
      <c r="X118" s="31"/>
      <c r="Y118" s="31"/>
      <c r="Z118" s="31"/>
      <c r="AA118" s="31"/>
      <c r="AB118" s="31"/>
      <c r="AC118" s="751"/>
      <c r="AD118" s="751"/>
      <c r="AE118" s="4"/>
      <c r="AF118" s="481"/>
      <c r="AG118" s="682"/>
      <c r="AH118" s="459"/>
      <c r="AJ118" s="459"/>
      <c r="AK118" s="459"/>
      <c r="AL118" s="683"/>
      <c r="AM118" s="684"/>
      <c r="AN118" s="683"/>
      <c r="AO118" s="469"/>
      <c r="AP118" s="118"/>
      <c r="AQ118" s="12"/>
      <c r="AR118" s="685"/>
      <c r="AS118" s="469"/>
      <c r="AT118" s="469"/>
      <c r="AU118" s="459"/>
      <c r="AV118" s="469"/>
      <c r="AW118" s="459"/>
      <c r="AX118" s="467"/>
      <c r="AY118" s="459"/>
      <c r="AZ118" s="469"/>
      <c r="BA118" s="467"/>
      <c r="BD118" s="686"/>
    </row>
    <row r="119" spans="1:56" s="466" customFormat="1" ht="13.5" customHeight="1" x14ac:dyDescent="0.2">
      <c r="A119" s="733"/>
      <c r="B119" s="733"/>
      <c r="C119" s="13"/>
      <c r="D119" s="31"/>
      <c r="E119" s="31"/>
      <c r="F119" s="849">
        <v>42625</v>
      </c>
      <c r="G119" s="13"/>
      <c r="H119" s="31"/>
      <c r="I119" s="31"/>
      <c r="J119" s="647"/>
      <c r="K119" s="610" t="s">
        <v>644</v>
      </c>
      <c r="L119" s="647">
        <v>40646275</v>
      </c>
      <c r="M119" s="647">
        <v>95649067</v>
      </c>
      <c r="N119" s="31"/>
      <c r="O119" s="118" t="s">
        <v>145</v>
      </c>
      <c r="P119" s="12" t="s">
        <v>148</v>
      </c>
      <c r="Q119" s="806">
        <v>65950</v>
      </c>
      <c r="R119" s="31"/>
      <c r="S119" s="31"/>
      <c r="T119" s="31"/>
      <c r="U119" s="31"/>
      <c r="V119" s="31"/>
      <c r="W119" s="31"/>
      <c r="X119" s="31"/>
      <c r="Y119" s="31"/>
      <c r="Z119" s="31"/>
      <c r="AA119" s="31"/>
      <c r="AB119" s="31"/>
      <c r="AC119" s="751"/>
      <c r="AD119" s="751"/>
      <c r="AE119" s="4"/>
      <c r="AF119" s="481"/>
      <c r="AG119" s="682"/>
      <c r="AH119" s="459"/>
      <c r="AJ119" s="459"/>
      <c r="AK119" s="459"/>
      <c r="AL119" s="683"/>
      <c r="AM119" s="684"/>
      <c r="AN119" s="683"/>
      <c r="AO119" s="469"/>
      <c r="AP119" s="118"/>
      <c r="AQ119" s="12"/>
      <c r="AR119" s="685"/>
      <c r="AS119" s="469"/>
      <c r="AT119" s="469"/>
      <c r="AU119" s="459"/>
      <c r="AV119" s="469"/>
      <c r="AW119" s="459"/>
      <c r="AX119" s="467"/>
      <c r="AY119" s="459"/>
      <c r="AZ119" s="469"/>
      <c r="BA119" s="467"/>
      <c r="BD119" s="686"/>
    </row>
    <row r="120" spans="1:56" s="466" customFormat="1" ht="13.5" customHeight="1" x14ac:dyDescent="0.2">
      <c r="A120" s="733"/>
      <c r="B120" s="733"/>
      <c r="C120" s="13"/>
      <c r="D120" s="31"/>
      <c r="E120" s="31"/>
      <c r="F120" s="849">
        <v>42625</v>
      </c>
      <c r="G120" s="13"/>
      <c r="H120" s="31"/>
      <c r="I120" s="31"/>
      <c r="J120" s="647"/>
      <c r="K120" s="610" t="s">
        <v>644</v>
      </c>
      <c r="L120" s="647">
        <v>40646275</v>
      </c>
      <c r="M120" s="647">
        <v>95679353</v>
      </c>
      <c r="N120" s="31"/>
      <c r="O120" s="118" t="s">
        <v>145</v>
      </c>
      <c r="P120" s="12" t="s">
        <v>148</v>
      </c>
      <c r="Q120" s="806">
        <v>67500</v>
      </c>
      <c r="R120" s="31"/>
      <c r="S120" s="31"/>
      <c r="T120" s="31"/>
      <c r="U120" s="31"/>
      <c r="V120" s="31"/>
      <c r="W120" s="31"/>
      <c r="X120" s="31"/>
      <c r="Y120" s="31"/>
      <c r="Z120" s="31"/>
      <c r="AA120" s="31"/>
      <c r="AB120" s="31"/>
      <c r="AC120" s="751"/>
      <c r="AD120" s="751"/>
      <c r="AE120" s="4"/>
      <c r="AF120" s="481"/>
      <c r="AG120" s="682"/>
      <c r="AH120" s="459"/>
      <c r="AJ120" s="459"/>
      <c r="AK120" s="459"/>
      <c r="AL120" s="683"/>
      <c r="AM120" s="684"/>
      <c r="AN120" s="683"/>
      <c r="AO120" s="469"/>
      <c r="AP120" s="118"/>
      <c r="AQ120" s="12"/>
      <c r="AR120" s="685"/>
      <c r="AS120" s="469"/>
      <c r="AT120" s="469"/>
      <c r="AU120" s="459"/>
      <c r="AV120" s="469"/>
      <c r="AW120" s="459"/>
      <c r="AX120" s="467"/>
      <c r="AY120" s="459"/>
      <c r="AZ120" s="469"/>
      <c r="BA120" s="467"/>
      <c r="BD120" s="686"/>
    </row>
    <row r="121" spans="1:56" s="466" customFormat="1" ht="13.5" customHeight="1" x14ac:dyDescent="0.2">
      <c r="A121" s="733"/>
      <c r="B121" s="733"/>
      <c r="C121" s="13"/>
      <c r="D121" s="31"/>
      <c r="E121" s="31"/>
      <c r="F121" s="849">
        <v>42622</v>
      </c>
      <c r="G121" s="13"/>
      <c r="H121" s="31"/>
      <c r="I121" s="31"/>
      <c r="J121" s="647"/>
      <c r="K121" s="850" t="s">
        <v>868</v>
      </c>
      <c r="L121" s="848">
        <v>15779</v>
      </c>
      <c r="M121" s="628" t="s">
        <v>556</v>
      </c>
      <c r="N121" s="31"/>
      <c r="O121" s="118" t="s">
        <v>204</v>
      </c>
      <c r="P121" s="12" t="s">
        <v>219</v>
      </c>
      <c r="Q121" s="806">
        <v>23940</v>
      </c>
      <c r="R121" s="31"/>
      <c r="S121" s="31"/>
      <c r="T121" s="31"/>
      <c r="U121" s="31"/>
      <c r="V121" s="31"/>
      <c r="W121" s="31"/>
      <c r="X121" s="31"/>
      <c r="Y121" s="31"/>
      <c r="Z121" s="31"/>
      <c r="AA121" s="31"/>
      <c r="AB121" s="31"/>
      <c r="AC121" s="751"/>
      <c r="AD121" s="751"/>
      <c r="AE121" s="4"/>
      <c r="AF121" s="481"/>
      <c r="AG121" s="682"/>
      <c r="AH121" s="459"/>
      <c r="AJ121" s="459"/>
      <c r="AK121" s="459"/>
      <c r="AL121" s="683"/>
      <c r="AM121" s="684"/>
      <c r="AN121" s="683"/>
      <c r="AO121" s="469"/>
      <c r="AP121" s="118"/>
      <c r="AQ121" s="12"/>
      <c r="AR121" s="685"/>
      <c r="AS121" s="469"/>
      <c r="AT121" s="469"/>
      <c r="AU121" s="459"/>
      <c r="AV121" s="469"/>
      <c r="AW121" s="459"/>
      <c r="AX121" s="467"/>
      <c r="AY121" s="459"/>
      <c r="AZ121" s="469"/>
      <c r="BA121" s="467"/>
      <c r="BD121" s="686"/>
    </row>
    <row r="122" spans="1:56" s="466" customFormat="1" ht="13.5" customHeight="1" x14ac:dyDescent="0.2">
      <c r="A122" s="733"/>
      <c r="B122" s="733"/>
      <c r="C122" s="13"/>
      <c r="D122" s="31"/>
      <c r="E122" s="31"/>
      <c r="F122" s="849">
        <v>42622</v>
      </c>
      <c r="G122" s="13"/>
      <c r="H122" s="31"/>
      <c r="I122" s="31"/>
      <c r="J122" s="647"/>
      <c r="K122" s="850" t="s">
        <v>868</v>
      </c>
      <c r="L122" s="848">
        <v>36190</v>
      </c>
      <c r="M122" s="628" t="s">
        <v>916</v>
      </c>
      <c r="N122" s="31"/>
      <c r="O122" s="118" t="s">
        <v>204</v>
      </c>
      <c r="P122" s="12" t="s">
        <v>219</v>
      </c>
      <c r="Q122" s="806">
        <v>25500</v>
      </c>
      <c r="R122" s="31"/>
      <c r="S122" s="31"/>
      <c r="T122" s="31"/>
      <c r="U122" s="31"/>
      <c r="V122" s="31"/>
      <c r="W122" s="31"/>
      <c r="X122" s="31"/>
      <c r="Y122" s="31"/>
      <c r="Z122" s="31"/>
      <c r="AA122" s="31"/>
      <c r="AB122" s="31"/>
      <c r="AC122" s="751"/>
      <c r="AD122" s="751"/>
      <c r="AE122" s="4"/>
      <c r="AF122" s="481"/>
      <c r="AG122" s="682"/>
      <c r="AH122" s="459"/>
      <c r="AJ122" s="459"/>
      <c r="AK122" s="459"/>
      <c r="AL122" s="683"/>
      <c r="AM122" s="684"/>
      <c r="AN122" s="683"/>
      <c r="AO122" s="469"/>
      <c r="AP122" s="118"/>
      <c r="AQ122" s="12"/>
      <c r="AR122" s="685"/>
      <c r="AS122" s="469"/>
      <c r="AT122" s="469"/>
      <c r="AU122" s="459"/>
      <c r="AV122" s="469"/>
      <c r="AW122" s="459"/>
      <c r="AX122" s="467"/>
      <c r="AY122" s="459"/>
      <c r="AZ122" s="469"/>
      <c r="BA122" s="467"/>
      <c r="BD122" s="686"/>
    </row>
    <row r="123" spans="1:56" s="466" customFormat="1" ht="13.5" customHeight="1" x14ac:dyDescent="0.2">
      <c r="A123" s="733"/>
      <c r="B123" s="733"/>
      <c r="C123" s="13"/>
      <c r="D123" s="31"/>
      <c r="E123" s="31"/>
      <c r="F123" s="849">
        <v>42622</v>
      </c>
      <c r="G123" s="13"/>
      <c r="H123" s="31"/>
      <c r="I123" s="31"/>
      <c r="J123" s="647"/>
      <c r="K123" s="850" t="s">
        <v>868</v>
      </c>
      <c r="L123" s="848">
        <v>36189</v>
      </c>
      <c r="M123" s="628" t="s">
        <v>917</v>
      </c>
      <c r="N123" s="31"/>
      <c r="O123" s="118" t="s">
        <v>204</v>
      </c>
      <c r="P123" s="12" t="s">
        <v>219</v>
      </c>
      <c r="Q123" s="806">
        <v>25780</v>
      </c>
      <c r="R123" s="31"/>
      <c r="S123" s="31"/>
      <c r="T123" s="31"/>
      <c r="U123" s="31"/>
      <c r="V123" s="31"/>
      <c r="W123" s="31"/>
      <c r="X123" s="31"/>
      <c r="Y123" s="31"/>
      <c r="Z123" s="31"/>
      <c r="AA123" s="31"/>
      <c r="AB123" s="31"/>
      <c r="AC123" s="751"/>
      <c r="AD123" s="751"/>
      <c r="AE123" s="4"/>
      <c r="AF123" s="481"/>
      <c r="AG123" s="682"/>
      <c r="AH123" s="459"/>
      <c r="AJ123" s="459"/>
      <c r="AK123" s="459"/>
      <c r="AL123" s="683"/>
      <c r="AM123" s="684"/>
      <c r="AN123" s="683"/>
      <c r="AO123" s="469"/>
      <c r="AP123" s="118"/>
      <c r="AQ123" s="12"/>
      <c r="AR123" s="685"/>
      <c r="AS123" s="469"/>
      <c r="AT123" s="469"/>
      <c r="AU123" s="459"/>
      <c r="AV123" s="469"/>
      <c r="AW123" s="459"/>
      <c r="AX123" s="467"/>
      <c r="AY123" s="459"/>
      <c r="AZ123" s="469"/>
      <c r="BA123" s="467"/>
      <c r="BD123" s="686"/>
    </row>
    <row r="124" spans="1:56" s="466" customFormat="1" ht="13.5" customHeight="1" x14ac:dyDescent="0.2">
      <c r="A124" s="733"/>
      <c r="B124" s="733"/>
      <c r="C124" s="13"/>
      <c r="D124" s="31"/>
      <c r="E124" s="31"/>
      <c r="F124" s="849">
        <v>42622</v>
      </c>
      <c r="G124" s="13"/>
      <c r="H124" s="31"/>
      <c r="I124" s="31"/>
      <c r="J124" s="647"/>
      <c r="K124" s="850" t="s">
        <v>868</v>
      </c>
      <c r="L124" s="647">
        <v>44137354</v>
      </c>
      <c r="M124" s="647">
        <v>95526364</v>
      </c>
      <c r="N124" s="31"/>
      <c r="O124" s="118" t="s">
        <v>204</v>
      </c>
      <c r="P124" s="12" t="s">
        <v>219</v>
      </c>
      <c r="Q124" s="806">
        <v>67650</v>
      </c>
      <c r="R124" s="31"/>
      <c r="S124" s="31"/>
      <c r="T124" s="31"/>
      <c r="U124" s="31"/>
      <c r="V124" s="31"/>
      <c r="W124" s="31"/>
      <c r="X124" s="31"/>
      <c r="Y124" s="31"/>
      <c r="Z124" s="31"/>
      <c r="AA124" s="31"/>
      <c r="AB124" s="31"/>
      <c r="AC124" s="751"/>
      <c r="AD124" s="751"/>
      <c r="AE124" s="4"/>
      <c r="AF124" s="481"/>
      <c r="AG124" s="682"/>
      <c r="AH124" s="459"/>
      <c r="AJ124" s="459"/>
      <c r="AK124" s="459"/>
      <c r="AL124" s="683"/>
      <c r="AM124" s="684"/>
      <c r="AN124" s="683"/>
      <c r="AO124" s="469"/>
      <c r="AP124" s="118"/>
      <c r="AQ124" s="12"/>
      <c r="AR124" s="685"/>
      <c r="AS124" s="469"/>
      <c r="AT124" s="469"/>
      <c r="AU124" s="459"/>
      <c r="AV124" s="469"/>
      <c r="AW124" s="459"/>
      <c r="AX124" s="467"/>
      <c r="AY124" s="459"/>
      <c r="AZ124" s="469"/>
      <c r="BA124" s="467"/>
      <c r="BD124" s="686"/>
    </row>
    <row r="125" spans="1:56" s="466" customFormat="1" ht="13.5" customHeight="1" x14ac:dyDescent="0.2">
      <c r="A125" s="733"/>
      <c r="B125" s="733"/>
      <c r="C125" s="13"/>
      <c r="D125" s="31"/>
      <c r="E125" s="31"/>
      <c r="F125" s="849">
        <v>42622</v>
      </c>
      <c r="G125" s="13"/>
      <c r="H125" s="31"/>
      <c r="I125" s="31"/>
      <c r="J125" s="647"/>
      <c r="K125" s="850" t="s">
        <v>868</v>
      </c>
      <c r="L125" s="647">
        <v>44137354</v>
      </c>
      <c r="M125" s="647">
        <v>95692158</v>
      </c>
      <c r="N125" s="31"/>
      <c r="O125" s="118" t="s">
        <v>204</v>
      </c>
      <c r="P125" s="12" t="s">
        <v>219</v>
      </c>
      <c r="Q125" s="806">
        <v>67300</v>
      </c>
      <c r="R125" s="31"/>
      <c r="S125" s="31"/>
      <c r="T125" s="31"/>
      <c r="U125" s="31"/>
      <c r="V125" s="31"/>
      <c r="W125" s="31"/>
      <c r="X125" s="31"/>
      <c r="Y125" s="31"/>
      <c r="Z125" s="31"/>
      <c r="AA125" s="31"/>
      <c r="AB125" s="31"/>
      <c r="AC125" s="751"/>
      <c r="AD125" s="751"/>
      <c r="AE125" s="4"/>
      <c r="AF125" s="481"/>
      <c r="AG125" s="682"/>
      <c r="AH125" s="459"/>
      <c r="AJ125" s="459"/>
      <c r="AK125" s="459"/>
      <c r="AL125" s="683"/>
      <c r="AM125" s="684"/>
      <c r="AN125" s="683"/>
      <c r="AO125" s="469"/>
      <c r="AP125" s="118"/>
      <c r="AQ125" s="12"/>
      <c r="AR125" s="685"/>
      <c r="AS125" s="469"/>
      <c r="AT125" s="469"/>
      <c r="AU125" s="459"/>
      <c r="AV125" s="469"/>
      <c r="AW125" s="459"/>
      <c r="AX125" s="467"/>
      <c r="AY125" s="459"/>
      <c r="AZ125" s="469"/>
      <c r="BA125" s="467"/>
      <c r="BD125" s="686"/>
    </row>
    <row r="126" spans="1:56" s="466" customFormat="1" ht="13.5" customHeight="1" x14ac:dyDescent="0.2">
      <c r="A126" s="733"/>
      <c r="B126" s="733"/>
      <c r="C126" s="13"/>
      <c r="D126" s="31"/>
      <c r="E126" s="31"/>
      <c r="F126" s="849">
        <v>42622</v>
      </c>
      <c r="G126" s="110"/>
      <c r="H126"/>
      <c r="I126"/>
      <c r="J126" s="647"/>
      <c r="K126" s="850" t="s">
        <v>868</v>
      </c>
      <c r="L126" s="647">
        <v>44137354</v>
      </c>
      <c r="M126" s="647">
        <v>95759015</v>
      </c>
      <c r="N126" s="31"/>
      <c r="O126" s="118" t="s">
        <v>204</v>
      </c>
      <c r="P126" s="12" t="s">
        <v>219</v>
      </c>
      <c r="Q126" s="806">
        <v>67100</v>
      </c>
      <c r="R126" s="31"/>
      <c r="S126" s="31"/>
      <c r="T126" s="31"/>
      <c r="U126" s="31"/>
      <c r="V126" s="31"/>
      <c r="W126" s="31"/>
      <c r="X126" s="31"/>
      <c r="Y126" s="31"/>
      <c r="Z126" s="31"/>
      <c r="AA126" s="31"/>
      <c r="AB126" s="31"/>
      <c r="AC126" s="751"/>
      <c r="AD126" s="751"/>
      <c r="AE126" s="4"/>
      <c r="AF126" s="481"/>
      <c r="AG126" s="682"/>
      <c r="AH126" s="459"/>
      <c r="AJ126" s="459"/>
      <c r="AK126" s="459"/>
      <c r="AL126" s="683"/>
      <c r="AM126" s="684"/>
      <c r="AN126" s="683"/>
      <c r="AO126" s="469"/>
      <c r="AP126" s="118"/>
      <c r="AQ126" s="12"/>
      <c r="AR126" s="685"/>
      <c r="AS126" s="469"/>
      <c r="AT126" s="469"/>
      <c r="AU126" s="459"/>
      <c r="AV126" s="469"/>
      <c r="AW126" s="459"/>
      <c r="AX126" s="467"/>
      <c r="AY126" s="459"/>
      <c r="AZ126" s="469"/>
      <c r="BA126" s="467"/>
      <c r="BD126" s="686"/>
    </row>
    <row r="127" spans="1:56" s="466" customFormat="1" ht="13.5" customHeight="1" x14ac:dyDescent="0.2">
      <c r="A127" s="733"/>
      <c r="B127" s="733"/>
      <c r="C127" s="13"/>
      <c r="D127" s="31"/>
      <c r="E127" s="31"/>
      <c r="F127" s="849">
        <v>42622</v>
      </c>
      <c r="G127" s="110"/>
      <c r="H127"/>
      <c r="I127"/>
      <c r="J127" s="647"/>
      <c r="K127" s="850" t="s">
        <v>868</v>
      </c>
      <c r="L127" s="647">
        <v>44137354</v>
      </c>
      <c r="M127" s="647">
        <v>95335212</v>
      </c>
      <c r="N127" s="31"/>
      <c r="O127" s="118" t="s">
        <v>204</v>
      </c>
      <c r="P127" s="12" t="s">
        <v>219</v>
      </c>
      <c r="Q127" s="806">
        <v>62950</v>
      </c>
      <c r="R127" s="31"/>
      <c r="S127" s="31"/>
      <c r="T127" s="31"/>
      <c r="U127" s="31"/>
      <c r="V127" s="31"/>
      <c r="W127" s="31"/>
      <c r="X127" s="31"/>
      <c r="Y127" s="31"/>
      <c r="Z127" s="31"/>
      <c r="AA127" s="31"/>
      <c r="AB127" s="31"/>
      <c r="AC127" s="751"/>
      <c r="AD127" s="751"/>
      <c r="AE127" s="4"/>
      <c r="AF127" s="481"/>
      <c r="AG127" s="682"/>
      <c r="AH127" s="459"/>
      <c r="AJ127" s="459"/>
      <c r="AK127" s="459"/>
      <c r="AL127" s="683"/>
      <c r="AM127" s="684"/>
      <c r="AN127" s="683"/>
      <c r="AO127" s="469"/>
      <c r="AP127" s="118"/>
      <c r="AQ127" s="12"/>
      <c r="AR127" s="685"/>
      <c r="AS127" s="469"/>
      <c r="AT127" s="469"/>
      <c r="AU127" s="459"/>
      <c r="AV127" s="469"/>
      <c r="AW127" s="459"/>
      <c r="AX127" s="467"/>
      <c r="AY127" s="459"/>
      <c r="AZ127" s="469"/>
      <c r="BA127" s="467"/>
      <c r="BD127" s="686"/>
    </row>
    <row r="128" spans="1:56" s="466" customFormat="1" ht="13.5" customHeight="1" x14ac:dyDescent="0.2">
      <c r="A128" s="733"/>
      <c r="B128" s="733"/>
      <c r="C128" s="13"/>
      <c r="D128" s="31"/>
      <c r="E128" s="31"/>
      <c r="F128" s="849">
        <v>42622</v>
      </c>
      <c r="G128" s="110"/>
      <c r="H128"/>
      <c r="I128"/>
      <c r="J128" s="647"/>
      <c r="K128" s="850" t="s">
        <v>868</v>
      </c>
      <c r="L128" s="647">
        <v>44137354</v>
      </c>
      <c r="M128" s="647">
        <v>95448783</v>
      </c>
      <c r="N128" s="31"/>
      <c r="O128" s="118" t="s">
        <v>204</v>
      </c>
      <c r="P128" s="12" t="s">
        <v>219</v>
      </c>
      <c r="Q128" s="806">
        <v>68600</v>
      </c>
      <c r="R128" s="31"/>
      <c r="S128" s="31"/>
      <c r="T128" s="31"/>
      <c r="U128" s="31"/>
      <c r="V128" s="31"/>
      <c r="W128" s="31"/>
      <c r="X128" s="31"/>
      <c r="Y128" s="31"/>
      <c r="Z128" s="31"/>
      <c r="AA128" s="31"/>
      <c r="AB128" s="31"/>
      <c r="AC128" s="751"/>
      <c r="AD128" s="751"/>
      <c r="AE128" s="4"/>
      <c r="AF128" s="481"/>
      <c r="AG128" s="682"/>
      <c r="AH128" s="459"/>
      <c r="AJ128" s="459"/>
      <c r="AK128" s="459"/>
      <c r="AL128" s="683"/>
      <c r="AM128" s="684"/>
      <c r="AN128" s="683"/>
      <c r="AO128" s="469"/>
      <c r="AP128" s="118"/>
      <c r="AQ128" s="12"/>
      <c r="AR128" s="685"/>
      <c r="AS128" s="469"/>
      <c r="AT128" s="469"/>
      <c r="AU128" s="459"/>
      <c r="AV128" s="469"/>
      <c r="AW128" s="459"/>
      <c r="AX128" s="467"/>
      <c r="AY128" s="459"/>
      <c r="AZ128" s="469"/>
      <c r="BA128" s="467"/>
      <c r="BD128" s="686"/>
    </row>
    <row r="129" spans="1:56" s="466" customFormat="1" ht="13.5" customHeight="1" x14ac:dyDescent="0.2">
      <c r="A129" s="733"/>
      <c r="B129" s="733"/>
      <c r="C129" s="13"/>
      <c r="D129" s="31"/>
      <c r="E129" s="31"/>
      <c r="F129" s="849">
        <v>42622</v>
      </c>
      <c r="G129" s="110"/>
      <c r="H129"/>
      <c r="I129"/>
      <c r="J129" s="647"/>
      <c r="K129" s="850" t="s">
        <v>868</v>
      </c>
      <c r="L129" s="848">
        <v>36178</v>
      </c>
      <c r="M129" s="628" t="s">
        <v>918</v>
      </c>
      <c r="N129" s="31"/>
      <c r="O129" s="118" t="s">
        <v>204</v>
      </c>
      <c r="P129" s="12" t="s">
        <v>219</v>
      </c>
      <c r="Q129" s="806">
        <v>24020</v>
      </c>
      <c r="R129" s="31"/>
      <c r="S129" s="31"/>
      <c r="T129" s="31"/>
      <c r="U129" s="31"/>
      <c r="V129" s="31"/>
      <c r="W129" s="31"/>
      <c r="X129" s="31"/>
      <c r="Y129" s="31"/>
      <c r="Z129" s="31"/>
      <c r="AA129" s="31"/>
      <c r="AB129" s="31"/>
      <c r="AC129" s="751"/>
      <c r="AD129" s="751"/>
      <c r="AE129" s="4"/>
      <c r="AF129" s="481"/>
      <c r="AG129" s="682"/>
      <c r="AH129" s="459"/>
      <c r="AJ129" s="459"/>
      <c r="AK129" s="459"/>
      <c r="AL129" s="683"/>
      <c r="AM129" s="684"/>
      <c r="AN129" s="683"/>
      <c r="AO129" s="469"/>
      <c r="AP129" s="118"/>
      <c r="AQ129" s="12"/>
      <c r="AR129" s="685"/>
      <c r="AS129" s="469"/>
      <c r="AT129" s="469"/>
      <c r="AU129" s="459"/>
      <c r="AV129" s="469"/>
      <c r="AW129" s="459"/>
      <c r="AX129" s="467"/>
      <c r="AY129" s="459"/>
      <c r="AZ129" s="469"/>
      <c r="BA129" s="467"/>
      <c r="BD129" s="686"/>
    </row>
    <row r="130" spans="1:56" s="466" customFormat="1" ht="13.5" customHeight="1" x14ac:dyDescent="0.2">
      <c r="A130" s="733"/>
      <c r="B130" s="733"/>
      <c r="C130" s="13"/>
      <c r="D130" s="31"/>
      <c r="E130" s="31"/>
      <c r="F130" s="849">
        <v>42622</v>
      </c>
      <c r="G130" s="110"/>
      <c r="H130"/>
      <c r="I130"/>
      <c r="J130" s="647"/>
      <c r="K130" s="850" t="s">
        <v>868</v>
      </c>
      <c r="L130" s="848">
        <v>36179</v>
      </c>
      <c r="M130" s="628" t="s">
        <v>919</v>
      </c>
      <c r="N130" s="31"/>
      <c r="O130" s="118" t="s">
        <v>204</v>
      </c>
      <c r="P130" s="12" t="s">
        <v>219</v>
      </c>
      <c r="Q130" s="806">
        <v>22920</v>
      </c>
      <c r="R130" s="31"/>
      <c r="S130" s="31"/>
      <c r="T130" s="31"/>
      <c r="U130" s="31"/>
      <c r="V130" s="31"/>
      <c r="W130" s="31"/>
      <c r="X130" s="31"/>
      <c r="Y130" s="31"/>
      <c r="Z130" s="31"/>
      <c r="AA130" s="31"/>
      <c r="AB130" s="31"/>
      <c r="AC130" s="725"/>
      <c r="AD130" s="725"/>
      <c r="AE130"/>
      <c r="AF130" s="481"/>
      <c r="AG130" s="682"/>
      <c r="AH130" s="459"/>
      <c r="AJ130" s="459"/>
      <c r="AK130" s="459"/>
      <c r="AL130" s="683"/>
      <c r="AM130" s="684"/>
      <c r="AN130" s="683"/>
      <c r="AO130" s="469"/>
      <c r="AP130" s="118"/>
      <c r="AQ130" s="12"/>
      <c r="AR130" s="685"/>
      <c r="AS130" s="469"/>
      <c r="AT130" s="469"/>
      <c r="AU130" s="459"/>
      <c r="AV130" s="469"/>
      <c r="AW130" s="459"/>
      <c r="AX130" s="467"/>
      <c r="AY130" s="459"/>
      <c r="AZ130" s="469"/>
      <c r="BA130" s="467"/>
      <c r="BD130" s="686"/>
    </row>
    <row r="131" spans="1:56" s="466" customFormat="1" ht="13.5" customHeight="1" x14ac:dyDescent="0.2">
      <c r="A131" s="733"/>
      <c r="B131" s="733"/>
      <c r="C131" s="13"/>
      <c r="D131" s="31"/>
      <c r="E131" s="31"/>
      <c r="F131" s="849">
        <v>42622</v>
      </c>
      <c r="G131" s="110"/>
      <c r="H131"/>
      <c r="I131"/>
      <c r="J131" s="647"/>
      <c r="K131" s="850" t="s">
        <v>868</v>
      </c>
      <c r="L131" s="647">
        <v>270996</v>
      </c>
      <c r="M131" s="628" t="s">
        <v>920</v>
      </c>
      <c r="N131" s="31"/>
      <c r="O131" s="118" t="s">
        <v>204</v>
      </c>
      <c r="P131" s="12" t="s">
        <v>219</v>
      </c>
      <c r="Q131" s="806">
        <v>25160</v>
      </c>
      <c r="R131" s="31"/>
      <c r="S131" s="31"/>
      <c r="T131" s="31"/>
      <c r="U131" s="31"/>
      <c r="V131" s="31"/>
      <c r="W131" s="31"/>
      <c r="X131" s="31"/>
      <c r="Y131" s="31"/>
      <c r="Z131" s="31"/>
      <c r="AA131" s="31"/>
      <c r="AB131" s="31"/>
      <c r="AC131" s="725"/>
      <c r="AD131" s="725"/>
      <c r="AE131"/>
      <c r="AF131" s="481"/>
      <c r="AG131" s="682"/>
      <c r="AH131" s="459"/>
      <c r="AJ131" s="459"/>
      <c r="AK131" s="459"/>
      <c r="AL131" s="683"/>
      <c r="AM131" s="684"/>
      <c r="AN131" s="683"/>
      <c r="AO131" s="469"/>
      <c r="AP131" s="118"/>
      <c r="AQ131" s="12"/>
      <c r="AR131" s="685"/>
      <c r="AS131" s="469"/>
      <c r="AT131" s="469"/>
      <c r="AU131" s="459"/>
      <c r="AV131" s="469"/>
      <c r="AW131" s="459"/>
      <c r="AX131" s="467"/>
      <c r="AY131" s="459"/>
      <c r="AZ131" s="469"/>
      <c r="BA131" s="467"/>
      <c r="BD131" s="686"/>
    </row>
    <row r="132" spans="1:56" s="466" customFormat="1" ht="13.5" customHeight="1" x14ac:dyDescent="0.2">
      <c r="A132" s="733"/>
      <c r="B132" s="733"/>
      <c r="C132" s="13"/>
      <c r="D132" s="31"/>
      <c r="E132" s="31"/>
      <c r="F132" s="849">
        <v>42622</v>
      </c>
      <c r="G132" s="110"/>
      <c r="H132"/>
      <c r="I132"/>
      <c r="J132" s="647"/>
      <c r="K132" s="850" t="s">
        <v>868</v>
      </c>
      <c r="L132" s="647">
        <v>350245</v>
      </c>
      <c r="M132" s="628" t="s">
        <v>865</v>
      </c>
      <c r="N132" s="31"/>
      <c r="O132" s="118" t="s">
        <v>204</v>
      </c>
      <c r="P132" s="12" t="s">
        <v>219</v>
      </c>
      <c r="Q132" s="806">
        <v>21400</v>
      </c>
      <c r="R132" s="31"/>
      <c r="S132" s="31"/>
      <c r="T132" s="31"/>
      <c r="U132" s="31"/>
      <c r="V132" s="31"/>
      <c r="W132" s="31"/>
      <c r="X132" s="31"/>
      <c r="Y132" s="31"/>
      <c r="Z132" s="31"/>
      <c r="AA132" s="31"/>
      <c r="AB132" s="31"/>
      <c r="AC132" s="725"/>
      <c r="AD132" s="725"/>
      <c r="AE132"/>
      <c r="AF132" s="481"/>
      <c r="AG132" s="682"/>
      <c r="AH132" s="459"/>
      <c r="AJ132" s="459"/>
      <c r="AK132" s="459"/>
      <c r="AL132" s="683"/>
      <c r="AM132" s="684"/>
      <c r="AN132" s="683"/>
      <c r="AO132" s="469"/>
      <c r="AP132" s="118"/>
      <c r="AQ132" s="12"/>
      <c r="AR132" s="685"/>
      <c r="AS132" s="469"/>
      <c r="AT132" s="469"/>
      <c r="AU132" s="459"/>
      <c r="AV132" s="469"/>
      <c r="AW132" s="459"/>
      <c r="AX132" s="467"/>
      <c r="AY132" s="459"/>
      <c r="AZ132" s="469"/>
      <c r="BA132" s="467"/>
      <c r="BD132" s="686"/>
    </row>
    <row r="133" spans="1:56" s="466" customFormat="1" ht="13.5" customHeight="1" x14ac:dyDescent="0.2">
      <c r="A133" s="733"/>
      <c r="B133" s="733"/>
      <c r="C133" s="13"/>
      <c r="D133" s="31"/>
      <c r="E133" s="31"/>
      <c r="F133" s="849">
        <v>42622</v>
      </c>
      <c r="G133" s="110"/>
      <c r="H133"/>
      <c r="I133"/>
      <c r="J133" s="647"/>
      <c r="K133" s="850" t="s">
        <v>868</v>
      </c>
      <c r="L133" s="647">
        <v>350250</v>
      </c>
      <c r="M133" s="628" t="s">
        <v>864</v>
      </c>
      <c r="N133" s="31"/>
      <c r="O133" s="118" t="s">
        <v>204</v>
      </c>
      <c r="P133" s="12" t="s">
        <v>219</v>
      </c>
      <c r="Q133" s="806">
        <v>25300</v>
      </c>
      <c r="R133" s="31"/>
      <c r="S133" s="31"/>
      <c r="T133" s="31"/>
      <c r="U133" s="31"/>
      <c r="V133" s="31"/>
      <c r="W133" s="31"/>
      <c r="X133" s="31"/>
      <c r="Y133" s="31"/>
      <c r="Z133" s="31"/>
      <c r="AA133" s="31"/>
      <c r="AB133" s="31"/>
      <c r="AC133" s="725"/>
      <c r="AD133" s="725"/>
      <c r="AE133"/>
      <c r="AF133" s="481"/>
      <c r="AG133" s="682"/>
      <c r="AH133" s="459"/>
      <c r="AJ133" s="459"/>
      <c r="AK133" s="459"/>
      <c r="AL133" s="683"/>
      <c r="AM133" s="684"/>
      <c r="AN133" s="683"/>
      <c r="AO133" s="469"/>
      <c r="AP133" s="118"/>
      <c r="AQ133" s="12"/>
      <c r="AR133" s="685"/>
      <c r="AS133" s="469"/>
      <c r="AT133" s="469"/>
      <c r="AU133" s="459"/>
      <c r="AV133" s="469"/>
      <c r="AW133" s="459"/>
      <c r="AX133" s="467"/>
      <c r="AY133" s="459"/>
      <c r="AZ133" s="469"/>
      <c r="BA133" s="467"/>
      <c r="BD133" s="686"/>
    </row>
    <row r="134" spans="1:56" s="466" customFormat="1" ht="13.5" customHeight="1" x14ac:dyDescent="0.2">
      <c r="A134" s="733"/>
      <c r="B134" s="733"/>
      <c r="C134" s="13"/>
      <c r="D134" s="31"/>
      <c r="E134" s="31"/>
      <c r="F134" s="849">
        <v>42623</v>
      </c>
      <c r="G134" s="110"/>
      <c r="H134"/>
      <c r="I134"/>
      <c r="J134" s="647"/>
      <c r="K134" s="850" t="s">
        <v>868</v>
      </c>
      <c r="L134" s="647">
        <v>270993</v>
      </c>
      <c r="M134" s="628" t="s">
        <v>921</v>
      </c>
      <c r="N134" s="31"/>
      <c r="O134" s="118" t="s">
        <v>204</v>
      </c>
      <c r="P134" s="12" t="s">
        <v>219</v>
      </c>
      <c r="Q134" s="806">
        <v>23240</v>
      </c>
      <c r="R134" s="31"/>
      <c r="S134" s="31"/>
      <c r="T134" s="31"/>
      <c r="U134" s="31"/>
      <c r="V134" s="31"/>
      <c r="W134" s="31"/>
      <c r="X134" s="31"/>
      <c r="Y134" s="31"/>
      <c r="Z134" s="31"/>
      <c r="AA134" s="31"/>
      <c r="AB134" s="31"/>
      <c r="AC134" s="725"/>
      <c r="AD134" s="725"/>
      <c r="AE134"/>
      <c r="AF134" s="481"/>
      <c r="AG134" s="682"/>
      <c r="AH134" s="459"/>
      <c r="AJ134" s="459"/>
      <c r="AK134" s="459"/>
      <c r="AL134" s="683"/>
      <c r="AM134" s="684"/>
      <c r="AN134" s="683"/>
      <c r="AO134" s="469"/>
      <c r="AP134" s="118"/>
      <c r="AQ134" s="12"/>
      <c r="AR134" s="685"/>
      <c r="AS134" s="469"/>
      <c r="AT134" s="469"/>
      <c r="AU134" s="459"/>
      <c r="AV134" s="469"/>
      <c r="AW134" s="459"/>
      <c r="AX134" s="467"/>
      <c r="AY134" s="459"/>
      <c r="AZ134" s="469"/>
      <c r="BA134" s="467"/>
      <c r="BD134" s="686"/>
    </row>
    <row r="135" spans="1:56" s="466" customFormat="1" ht="13.5" customHeight="1" x14ac:dyDescent="0.2">
      <c r="A135" s="733"/>
      <c r="B135" s="733"/>
      <c r="C135" s="13"/>
      <c r="D135" s="31"/>
      <c r="E135" s="31"/>
      <c r="F135" s="849">
        <v>42623</v>
      </c>
      <c r="G135" s="110"/>
      <c r="H135"/>
      <c r="I135"/>
      <c r="J135" s="647"/>
      <c r="K135" s="850" t="s">
        <v>868</v>
      </c>
      <c r="L135" s="647">
        <v>270994</v>
      </c>
      <c r="M135" s="628" t="s">
        <v>922</v>
      </c>
      <c r="N135" s="31"/>
      <c r="O135" s="118" t="s">
        <v>204</v>
      </c>
      <c r="P135" s="12" t="s">
        <v>219</v>
      </c>
      <c r="Q135" s="806">
        <v>26560</v>
      </c>
      <c r="R135" s="31"/>
      <c r="S135" s="31"/>
      <c r="T135" s="31"/>
      <c r="U135" s="31"/>
      <c r="V135" s="31"/>
      <c r="W135" s="31"/>
      <c r="X135" s="31"/>
      <c r="Y135" s="31"/>
      <c r="Z135" s="31"/>
      <c r="AA135" s="31"/>
      <c r="AB135" s="31"/>
      <c r="AC135" s="725"/>
      <c r="AD135" s="725"/>
      <c r="AE135"/>
      <c r="AF135" s="481"/>
      <c r="AG135" s="682"/>
      <c r="AH135" s="459"/>
      <c r="AJ135" s="459"/>
      <c r="AK135" s="459"/>
      <c r="AL135" s="683"/>
      <c r="AM135" s="684"/>
      <c r="AN135" s="683"/>
      <c r="AO135" s="469"/>
      <c r="AP135" s="118"/>
      <c r="AQ135" s="12"/>
      <c r="AR135" s="685"/>
      <c r="AS135" s="469"/>
      <c r="AT135" s="469"/>
      <c r="AU135" s="459"/>
      <c r="AV135" s="469"/>
      <c r="AW135" s="459"/>
      <c r="AX135" s="467"/>
      <c r="AY135" s="459"/>
      <c r="AZ135" s="469"/>
      <c r="BA135" s="467"/>
      <c r="BD135" s="686"/>
    </row>
    <row r="136" spans="1:56" s="466" customFormat="1" ht="13.5" customHeight="1" x14ac:dyDescent="0.2">
      <c r="A136" s="733"/>
      <c r="B136" s="733"/>
      <c r="C136" s="13"/>
      <c r="D136" s="31"/>
      <c r="E136" s="31"/>
      <c r="F136" s="849">
        <v>42623</v>
      </c>
      <c r="G136" s="110"/>
      <c r="H136"/>
      <c r="I136"/>
      <c r="J136" s="647"/>
      <c r="K136" s="850" t="s">
        <v>868</v>
      </c>
      <c r="L136" s="647">
        <v>273736</v>
      </c>
      <c r="M136" s="628" t="s">
        <v>923</v>
      </c>
      <c r="N136" s="31"/>
      <c r="O136" s="118" t="s">
        <v>204</v>
      </c>
      <c r="P136" s="12" t="s">
        <v>219</v>
      </c>
      <c r="Q136" s="806">
        <v>24740</v>
      </c>
      <c r="R136" s="31"/>
      <c r="S136" s="31"/>
      <c r="T136" s="31"/>
      <c r="U136" s="31"/>
      <c r="V136" s="31"/>
      <c r="W136" s="31"/>
      <c r="X136" s="31"/>
      <c r="Y136" s="31"/>
      <c r="Z136" s="31"/>
      <c r="AA136" s="31"/>
      <c r="AB136" s="31"/>
      <c r="AC136" s="725"/>
      <c r="AD136" s="725"/>
      <c r="AE136"/>
      <c r="AF136" s="481"/>
      <c r="AG136" s="682"/>
      <c r="AH136" s="459"/>
      <c r="AJ136" s="459"/>
      <c r="AK136" s="459"/>
      <c r="AL136" s="683"/>
      <c r="AM136" s="684"/>
      <c r="AN136" s="683"/>
      <c r="AO136" s="469"/>
      <c r="AP136" s="118"/>
      <c r="AQ136" s="12"/>
      <c r="AR136" s="685"/>
      <c r="AS136" s="469"/>
      <c r="AT136" s="469"/>
      <c r="AU136" s="459"/>
      <c r="AV136" s="469"/>
      <c r="AW136" s="459"/>
      <c r="AX136" s="467"/>
      <c r="AY136" s="459"/>
      <c r="AZ136" s="469"/>
      <c r="BA136" s="467"/>
      <c r="BD136" s="686"/>
    </row>
    <row r="137" spans="1:56" s="466" customFormat="1" ht="13.5" customHeight="1" x14ac:dyDescent="0.2">
      <c r="A137" s="733"/>
      <c r="B137" s="733"/>
      <c r="C137" s="13"/>
      <c r="D137" s="31"/>
      <c r="E137" s="31"/>
      <c r="F137" s="849">
        <v>42623</v>
      </c>
      <c r="G137" s="110"/>
      <c r="H137"/>
      <c r="I137"/>
      <c r="J137" s="647"/>
      <c r="K137" s="850" t="s">
        <v>868</v>
      </c>
      <c r="L137" s="848">
        <v>36176</v>
      </c>
      <c r="M137" s="628" t="s">
        <v>924</v>
      </c>
      <c r="N137" s="31"/>
      <c r="O137" s="118" t="s">
        <v>204</v>
      </c>
      <c r="P137" s="12" t="s">
        <v>219</v>
      </c>
      <c r="Q137" s="806">
        <v>21940</v>
      </c>
      <c r="R137" s="31"/>
      <c r="S137" s="31"/>
      <c r="T137" s="31"/>
      <c r="U137" s="31"/>
      <c r="V137" s="31"/>
      <c r="W137" s="31"/>
      <c r="X137" s="31"/>
      <c r="Y137" s="31"/>
      <c r="Z137" s="31"/>
      <c r="AA137" s="31"/>
      <c r="AB137" s="31"/>
      <c r="AC137" s="725"/>
      <c r="AD137" s="725"/>
      <c r="AE137"/>
      <c r="AF137" s="481"/>
      <c r="AG137" s="682"/>
      <c r="AH137" s="459"/>
      <c r="AJ137" s="459"/>
      <c r="AK137" s="459"/>
      <c r="AL137" s="683"/>
      <c r="AM137" s="684"/>
      <c r="AN137" s="683"/>
      <c r="AO137" s="469"/>
      <c r="AP137" s="118"/>
      <c r="AQ137" s="12"/>
      <c r="AR137" s="685"/>
      <c r="AS137" s="469"/>
      <c r="AT137" s="469"/>
      <c r="AU137" s="459"/>
      <c r="AV137" s="469"/>
      <c r="AW137" s="459"/>
      <c r="AX137" s="467"/>
      <c r="AY137" s="459"/>
      <c r="AZ137" s="469"/>
      <c r="BA137" s="467"/>
      <c r="BD137" s="686"/>
    </row>
    <row r="138" spans="1:56" s="4" customFormat="1" ht="11.25" customHeight="1" x14ac:dyDescent="0.2">
      <c r="A138" s="31"/>
      <c r="B138" s="31"/>
      <c r="C138" s="13"/>
      <c r="D138" s="31"/>
      <c r="E138" s="31"/>
      <c r="F138" s="849">
        <v>42623</v>
      </c>
      <c r="G138" s="110"/>
      <c r="H138"/>
      <c r="I138"/>
      <c r="J138" s="647"/>
      <c r="K138" s="850" t="s">
        <v>868</v>
      </c>
      <c r="L138" s="647">
        <v>270991</v>
      </c>
      <c r="M138" s="628" t="s">
        <v>916</v>
      </c>
      <c r="N138" s="31"/>
      <c r="O138" s="118" t="s">
        <v>204</v>
      </c>
      <c r="P138" s="12" t="s">
        <v>219</v>
      </c>
      <c r="Q138" s="806">
        <v>26080</v>
      </c>
      <c r="R138" s="31"/>
      <c r="S138" s="31"/>
      <c r="T138" s="31"/>
      <c r="U138" s="31"/>
      <c r="V138" s="31"/>
      <c r="W138" s="31"/>
      <c r="X138" s="31"/>
      <c r="Y138" s="31"/>
      <c r="Z138" s="31"/>
      <c r="AA138" s="31"/>
      <c r="AB138" s="31"/>
      <c r="AC138" s="725"/>
      <c r="AD138" s="725"/>
      <c r="AE138"/>
    </row>
    <row r="139" spans="1:56" s="4" customFormat="1" ht="11.25" customHeight="1" x14ac:dyDescent="0.2">
      <c r="A139" s="31"/>
      <c r="B139" s="31"/>
      <c r="C139" s="110"/>
      <c r="D139"/>
      <c r="E139"/>
      <c r="F139" s="849">
        <v>42623</v>
      </c>
      <c r="G139" s="110"/>
      <c r="H139"/>
      <c r="I139"/>
      <c r="J139" s="647"/>
      <c r="K139" s="850" t="s">
        <v>868</v>
      </c>
      <c r="L139" s="647">
        <v>270598</v>
      </c>
      <c r="M139" s="628" t="s">
        <v>925</v>
      </c>
      <c r="N139"/>
      <c r="O139" s="118" t="s">
        <v>204</v>
      </c>
      <c r="P139" s="12" t="s">
        <v>219</v>
      </c>
      <c r="Q139" s="806">
        <v>22400</v>
      </c>
      <c r="R139"/>
      <c r="S139"/>
      <c r="T139"/>
      <c r="U139"/>
      <c r="V139"/>
      <c r="W139"/>
      <c r="X139"/>
      <c r="Y139"/>
      <c r="Z139"/>
      <c r="AA139"/>
      <c r="AB139"/>
      <c r="AC139"/>
      <c r="AD139"/>
      <c r="AE139"/>
    </row>
    <row r="140" spans="1:56" s="4" customFormat="1" ht="11.25" customHeight="1" x14ac:dyDescent="0.2">
      <c r="A140" s="31"/>
      <c r="B140" s="31"/>
      <c r="C140" s="110"/>
      <c r="D140"/>
      <c r="E140"/>
      <c r="F140" s="849">
        <v>42623</v>
      </c>
      <c r="G140" s="110"/>
      <c r="H140"/>
      <c r="I140"/>
      <c r="J140" s="647"/>
      <c r="K140" s="850" t="s">
        <v>868</v>
      </c>
      <c r="L140" s="647">
        <v>270992</v>
      </c>
      <c r="M140" s="628" t="s">
        <v>907</v>
      </c>
      <c r="N140"/>
      <c r="O140" s="118" t="s">
        <v>204</v>
      </c>
      <c r="P140" s="12" t="s">
        <v>219</v>
      </c>
      <c r="Q140" s="806">
        <v>25300</v>
      </c>
      <c r="R140"/>
      <c r="S140"/>
      <c r="T140"/>
      <c r="U140"/>
      <c r="V140"/>
      <c r="W140"/>
      <c r="X140"/>
      <c r="Y140"/>
      <c r="Z140"/>
      <c r="AA140"/>
      <c r="AB140"/>
      <c r="AC140"/>
      <c r="AD140"/>
      <c r="AE140"/>
    </row>
    <row r="141" spans="1:56" s="4" customFormat="1" ht="11.25" customHeight="1" x14ac:dyDescent="0.2">
      <c r="A141" s="31"/>
      <c r="B141" s="31"/>
      <c r="C141" s="110"/>
      <c r="D141"/>
      <c r="E141"/>
      <c r="F141" s="849">
        <v>42623</v>
      </c>
      <c r="G141" s="110"/>
      <c r="H141"/>
      <c r="I141"/>
      <c r="J141" s="647"/>
      <c r="K141" s="850" t="s">
        <v>868</v>
      </c>
      <c r="L141" s="647">
        <v>270596</v>
      </c>
      <c r="M141" s="628" t="s">
        <v>926</v>
      </c>
      <c r="N141"/>
      <c r="O141" s="118" t="s">
        <v>204</v>
      </c>
      <c r="P141" s="12" t="s">
        <v>219</v>
      </c>
      <c r="Q141" s="806">
        <v>22920</v>
      </c>
      <c r="R141"/>
      <c r="S141"/>
      <c r="T141"/>
      <c r="U141"/>
      <c r="V141"/>
      <c r="W141"/>
      <c r="X141"/>
      <c r="Y141"/>
      <c r="Z141"/>
      <c r="AA141"/>
      <c r="AB141"/>
      <c r="AC141"/>
      <c r="AD141"/>
      <c r="AE141"/>
    </row>
    <row r="142" spans="1:56" s="4" customFormat="1" ht="11.25" customHeight="1" x14ac:dyDescent="0.2">
      <c r="A142" s="31"/>
      <c r="B142" s="31"/>
      <c r="C142" s="110"/>
      <c r="D142"/>
      <c r="E142"/>
      <c r="F142" s="849">
        <v>42624</v>
      </c>
      <c r="G142" s="110"/>
      <c r="H142"/>
      <c r="I142"/>
      <c r="J142" s="647"/>
      <c r="K142" s="850" t="s">
        <v>868</v>
      </c>
      <c r="L142" s="647">
        <v>271013</v>
      </c>
      <c r="M142" s="628" t="s">
        <v>864</v>
      </c>
      <c r="N142"/>
      <c r="O142" s="118" t="s">
        <v>204</v>
      </c>
      <c r="P142" s="12" t="s">
        <v>219</v>
      </c>
      <c r="Q142" s="806">
        <v>25580</v>
      </c>
      <c r="R142"/>
      <c r="S142"/>
      <c r="T142"/>
      <c r="U142"/>
      <c r="V142"/>
      <c r="W142"/>
      <c r="X142"/>
      <c r="Y142"/>
      <c r="Z142"/>
      <c r="AA142"/>
      <c r="AB142"/>
      <c r="AC142"/>
      <c r="AD142"/>
      <c r="AE142"/>
    </row>
    <row r="143" spans="1:56" s="4" customFormat="1" ht="11.25" customHeight="1" x14ac:dyDescent="0.2">
      <c r="A143" s="31"/>
      <c r="B143" s="31"/>
      <c r="C143" s="110"/>
      <c r="D143"/>
      <c r="E143"/>
      <c r="F143" s="849">
        <v>42624</v>
      </c>
      <c r="G143" s="110"/>
      <c r="H143"/>
      <c r="I143"/>
      <c r="J143" s="647"/>
      <c r="K143" s="850" t="s">
        <v>868</v>
      </c>
      <c r="L143" s="647">
        <v>270578</v>
      </c>
      <c r="M143" s="628" t="s">
        <v>927</v>
      </c>
      <c r="N143"/>
      <c r="O143" s="118" t="s">
        <v>204</v>
      </c>
      <c r="P143" s="12" t="s">
        <v>219</v>
      </c>
      <c r="Q143" s="806">
        <v>22940</v>
      </c>
      <c r="R143"/>
      <c r="S143"/>
      <c r="T143"/>
      <c r="U143"/>
      <c r="V143"/>
      <c r="W143"/>
      <c r="X143"/>
      <c r="Y143"/>
      <c r="Z143"/>
      <c r="AA143"/>
      <c r="AB143"/>
      <c r="AC143"/>
      <c r="AD143"/>
      <c r="AE143"/>
    </row>
    <row r="144" spans="1:56" s="4" customFormat="1" ht="11.25" customHeight="1" x14ac:dyDescent="0.2">
      <c r="A144" s="31"/>
      <c r="B144" s="31"/>
      <c r="C144" s="110"/>
      <c r="D144"/>
      <c r="E144"/>
      <c r="F144" s="849">
        <v>42624</v>
      </c>
      <c r="G144" s="110"/>
      <c r="H144"/>
      <c r="I144"/>
      <c r="J144" s="647"/>
      <c r="K144" s="850" t="s">
        <v>868</v>
      </c>
      <c r="L144" s="848">
        <v>36193</v>
      </c>
      <c r="M144" s="628" t="s">
        <v>928</v>
      </c>
      <c r="N144"/>
      <c r="O144" s="118" t="s">
        <v>204</v>
      </c>
      <c r="P144" s="12" t="s">
        <v>219</v>
      </c>
      <c r="Q144" s="806">
        <v>24980</v>
      </c>
      <c r="R144"/>
      <c r="S144"/>
      <c r="T144"/>
      <c r="U144"/>
      <c r="V144"/>
      <c r="W144"/>
      <c r="X144"/>
      <c r="Y144"/>
      <c r="Z144"/>
      <c r="AA144"/>
      <c r="AB144"/>
      <c r="AC144"/>
      <c r="AD144"/>
      <c r="AE144"/>
    </row>
    <row r="145" spans="1:31" s="4" customFormat="1" ht="11.25" customHeight="1" x14ac:dyDescent="0.2">
      <c r="A145" s="31"/>
      <c r="B145" s="31"/>
      <c r="C145" s="110"/>
      <c r="D145"/>
      <c r="E145"/>
      <c r="F145" s="849">
        <v>42624</v>
      </c>
      <c r="G145" s="110"/>
      <c r="H145"/>
      <c r="I145"/>
      <c r="J145" s="647"/>
      <c r="K145" s="850" t="s">
        <v>868</v>
      </c>
      <c r="L145" s="848">
        <v>36194</v>
      </c>
      <c r="M145" s="628" t="s">
        <v>929</v>
      </c>
      <c r="N145"/>
      <c r="O145" s="118" t="s">
        <v>204</v>
      </c>
      <c r="P145" s="12" t="s">
        <v>219</v>
      </c>
      <c r="Q145" s="806">
        <v>24500</v>
      </c>
      <c r="R145"/>
      <c r="S145"/>
      <c r="T145"/>
      <c r="U145"/>
      <c r="V145"/>
      <c r="W145"/>
      <c r="X145"/>
      <c r="Y145"/>
      <c r="Z145"/>
      <c r="AA145"/>
      <c r="AB145"/>
      <c r="AC145"/>
      <c r="AD145"/>
      <c r="AE145"/>
    </row>
    <row r="146" spans="1:31" s="4" customFormat="1" ht="11.25" customHeight="1" x14ac:dyDescent="0.2">
      <c r="A146" s="31"/>
      <c r="B146" s="31"/>
      <c r="C146" s="110"/>
      <c r="D146"/>
      <c r="E146"/>
      <c r="F146" s="849">
        <v>42625</v>
      </c>
      <c r="G146" s="110"/>
      <c r="H146"/>
      <c r="I146"/>
      <c r="J146" s="647"/>
      <c r="K146" s="850" t="s">
        <v>868</v>
      </c>
      <c r="L146" s="647">
        <v>270595</v>
      </c>
      <c r="M146" s="628" t="s">
        <v>930</v>
      </c>
      <c r="N146"/>
      <c r="O146" s="118" t="s">
        <v>204</v>
      </c>
      <c r="P146" s="12" t="s">
        <v>219</v>
      </c>
      <c r="Q146" s="806">
        <v>25660</v>
      </c>
      <c r="R146"/>
      <c r="S146"/>
      <c r="T146"/>
      <c r="U146"/>
      <c r="V146"/>
      <c r="W146"/>
      <c r="X146"/>
      <c r="Y146"/>
      <c r="Z146"/>
      <c r="AA146"/>
      <c r="AB146"/>
      <c r="AC146"/>
      <c r="AD146"/>
      <c r="AE146"/>
    </row>
    <row r="147" spans="1:31" s="4" customFormat="1" ht="11.25" customHeight="1" x14ac:dyDescent="0.2">
      <c r="A147" s="31"/>
      <c r="B147" s="31"/>
      <c r="C147" s="110"/>
      <c r="D147"/>
      <c r="E147"/>
      <c r="F147" s="849">
        <v>42625</v>
      </c>
      <c r="G147" s="110"/>
      <c r="H147"/>
      <c r="I147"/>
      <c r="J147" s="647"/>
      <c r="K147" s="850" t="s">
        <v>868</v>
      </c>
      <c r="L147" s="647">
        <v>356176</v>
      </c>
      <c r="M147" s="628" t="s">
        <v>864</v>
      </c>
      <c r="N147"/>
      <c r="O147" s="118" t="s">
        <v>204</v>
      </c>
      <c r="P147" s="12" t="s">
        <v>219</v>
      </c>
      <c r="Q147" s="806">
        <v>25000</v>
      </c>
      <c r="R147"/>
      <c r="S147"/>
      <c r="T147"/>
      <c r="U147"/>
      <c r="V147"/>
      <c r="W147"/>
      <c r="X147"/>
      <c r="Y147"/>
      <c r="Z147"/>
      <c r="AA147"/>
      <c r="AB147"/>
      <c r="AC147"/>
      <c r="AD147"/>
      <c r="AE147"/>
    </row>
    <row r="148" spans="1:31" s="4" customFormat="1" ht="11.25" customHeight="1" x14ac:dyDescent="0.2">
      <c r="A148" s="31"/>
      <c r="B148" s="31"/>
      <c r="C148" s="110"/>
      <c r="D148"/>
      <c r="E148"/>
      <c r="F148" s="849">
        <v>42625</v>
      </c>
      <c r="G148" s="110"/>
      <c r="H148"/>
      <c r="I148"/>
      <c r="J148" s="647"/>
      <c r="K148" s="850" t="s">
        <v>868</v>
      </c>
      <c r="L148" s="647">
        <v>270593</v>
      </c>
      <c r="M148" s="628" t="s">
        <v>931</v>
      </c>
      <c r="N148"/>
      <c r="O148" s="118" t="s">
        <v>204</v>
      </c>
      <c r="P148" s="12" t="s">
        <v>219</v>
      </c>
      <c r="Q148" s="806">
        <v>25020</v>
      </c>
      <c r="R148"/>
      <c r="S148"/>
      <c r="T148"/>
      <c r="U148"/>
      <c r="V148"/>
      <c r="W148"/>
      <c r="X148"/>
      <c r="Y148"/>
      <c r="Z148"/>
      <c r="AA148"/>
      <c r="AB148"/>
      <c r="AC148"/>
      <c r="AD148"/>
      <c r="AE148"/>
    </row>
    <row r="149" spans="1:31" s="4" customFormat="1" ht="11.25" customHeight="1" x14ac:dyDescent="0.2">
      <c r="A149" s="31"/>
      <c r="B149" s="31"/>
      <c r="C149" s="110"/>
      <c r="D149"/>
      <c r="E149"/>
      <c r="F149" s="849">
        <v>42625</v>
      </c>
      <c r="G149" s="110"/>
      <c r="H149"/>
      <c r="I149"/>
      <c r="J149" s="647"/>
      <c r="K149" s="850" t="s">
        <v>868</v>
      </c>
      <c r="L149" s="647">
        <v>270590</v>
      </c>
      <c r="M149" s="628" t="s">
        <v>932</v>
      </c>
      <c r="N149"/>
      <c r="O149" s="118" t="s">
        <v>204</v>
      </c>
      <c r="P149" s="12" t="s">
        <v>219</v>
      </c>
      <c r="Q149" s="806">
        <v>24540</v>
      </c>
      <c r="R149"/>
      <c r="S149"/>
      <c r="T149"/>
      <c r="U149"/>
      <c r="V149"/>
      <c r="W149"/>
      <c r="X149"/>
      <c r="Y149"/>
      <c r="Z149"/>
      <c r="AA149"/>
      <c r="AB149"/>
      <c r="AC149"/>
      <c r="AD149"/>
      <c r="AE149"/>
    </row>
    <row r="150" spans="1:31" s="4" customFormat="1" ht="11.25" customHeight="1" x14ac:dyDescent="0.2">
      <c r="A150" s="31"/>
      <c r="B150" s="31"/>
      <c r="C150" s="110"/>
      <c r="D150"/>
      <c r="E150"/>
      <c r="F150" s="849">
        <v>42625</v>
      </c>
      <c r="G150" s="110"/>
      <c r="H150"/>
      <c r="I150"/>
      <c r="J150" s="647"/>
      <c r="K150" s="850" t="s">
        <v>868</v>
      </c>
      <c r="L150" s="647">
        <v>270591</v>
      </c>
      <c r="M150" s="628" t="s">
        <v>933</v>
      </c>
      <c r="N150"/>
      <c r="O150" s="118" t="s">
        <v>204</v>
      </c>
      <c r="P150" s="12" t="s">
        <v>219</v>
      </c>
      <c r="Q150" s="806">
        <v>25880</v>
      </c>
      <c r="R150"/>
      <c r="S150"/>
      <c r="T150"/>
      <c r="U150"/>
      <c r="V150"/>
      <c r="W150"/>
      <c r="X150"/>
      <c r="Y150"/>
      <c r="Z150"/>
      <c r="AA150"/>
      <c r="AB150"/>
      <c r="AC150"/>
      <c r="AD150"/>
      <c r="AE150"/>
    </row>
    <row r="151" spans="1:31" s="4" customFormat="1" ht="11.25" customHeight="1" x14ac:dyDescent="0.2">
      <c r="A151" s="31"/>
      <c r="B151" s="31"/>
      <c r="C151" s="110"/>
      <c r="D151"/>
      <c r="E151"/>
      <c r="F151" s="849">
        <v>42623</v>
      </c>
      <c r="G151" s="110"/>
      <c r="H151"/>
      <c r="I151"/>
      <c r="J151" s="647"/>
      <c r="K151" s="610" t="s">
        <v>704</v>
      </c>
      <c r="L151" s="647">
        <v>40511610</v>
      </c>
      <c r="M151" s="647">
        <v>58500216</v>
      </c>
      <c r="N151"/>
      <c r="O151" s="734" t="s">
        <v>760</v>
      </c>
      <c r="P151" s="735" t="s">
        <v>885</v>
      </c>
      <c r="Q151" s="806">
        <v>59450</v>
      </c>
      <c r="R151"/>
      <c r="S151"/>
      <c r="T151"/>
      <c r="U151"/>
      <c r="V151"/>
      <c r="W151"/>
      <c r="X151"/>
      <c r="Y151"/>
      <c r="Z151"/>
      <c r="AA151"/>
      <c r="AB151"/>
      <c r="AC151"/>
      <c r="AD151"/>
      <c r="AE151"/>
    </row>
    <row r="152" spans="1:31" s="4" customFormat="1" ht="11.25" customHeight="1" x14ac:dyDescent="0.2">
      <c r="A152" s="31"/>
      <c r="B152" s="31"/>
      <c r="C152" s="110"/>
      <c r="D152"/>
      <c r="E152"/>
      <c r="F152" s="849">
        <v>42623</v>
      </c>
      <c r="G152" s="110"/>
      <c r="H152"/>
      <c r="I152"/>
      <c r="J152" s="647"/>
      <c r="K152" s="610" t="s">
        <v>704</v>
      </c>
      <c r="L152" s="647">
        <v>40511610</v>
      </c>
      <c r="M152" s="647">
        <v>58523069</v>
      </c>
      <c r="N152"/>
      <c r="O152" s="734" t="s">
        <v>760</v>
      </c>
      <c r="P152" s="735" t="s">
        <v>885</v>
      </c>
      <c r="Q152" s="806">
        <v>60150</v>
      </c>
      <c r="R152"/>
      <c r="S152"/>
      <c r="T152"/>
      <c r="U152"/>
      <c r="V152"/>
      <c r="W152"/>
      <c r="X152"/>
      <c r="Y152"/>
      <c r="Z152"/>
      <c r="AA152"/>
      <c r="AB152"/>
      <c r="AC152"/>
      <c r="AD152"/>
      <c r="AE152"/>
    </row>
    <row r="153" spans="1:31" s="4" customFormat="1" ht="11.25" customHeight="1" x14ac:dyDescent="0.2">
      <c r="A153" s="31"/>
      <c r="B153" s="31"/>
      <c r="C153" s="110"/>
      <c r="D153"/>
      <c r="E153"/>
      <c r="F153" s="849">
        <v>42623</v>
      </c>
      <c r="G153" s="110"/>
      <c r="H153"/>
      <c r="I153"/>
      <c r="J153" s="647"/>
      <c r="K153" s="610" t="s">
        <v>704</v>
      </c>
      <c r="L153" s="647">
        <v>40511610</v>
      </c>
      <c r="M153" s="647">
        <v>53235552</v>
      </c>
      <c r="N153"/>
      <c r="O153" s="734" t="s">
        <v>760</v>
      </c>
      <c r="P153" s="735" t="s">
        <v>885</v>
      </c>
      <c r="Q153" s="806">
        <v>60650</v>
      </c>
      <c r="R153"/>
      <c r="S153"/>
      <c r="T153"/>
      <c r="U153"/>
      <c r="V153"/>
      <c r="W153"/>
      <c r="X153"/>
      <c r="Y153"/>
      <c r="Z153"/>
      <c r="AA153"/>
      <c r="AB153"/>
      <c r="AC153"/>
      <c r="AD153"/>
      <c r="AE153"/>
    </row>
    <row r="154" spans="1:31" s="4" customFormat="1" ht="11.25" customHeight="1" x14ac:dyDescent="0.2">
      <c r="A154" s="31"/>
      <c r="B154" s="31"/>
      <c r="C154" s="110"/>
      <c r="D154"/>
      <c r="E154"/>
      <c r="F154" s="849">
        <v>42623</v>
      </c>
      <c r="G154" s="110"/>
      <c r="H154"/>
      <c r="I154"/>
      <c r="J154" s="647"/>
      <c r="K154" s="610" t="s">
        <v>704</v>
      </c>
      <c r="L154" s="647">
        <v>40511610</v>
      </c>
      <c r="M154" s="647">
        <v>58556788</v>
      </c>
      <c r="N154"/>
      <c r="O154" s="734" t="s">
        <v>760</v>
      </c>
      <c r="P154" s="735" t="s">
        <v>885</v>
      </c>
      <c r="Q154" s="806">
        <v>60700</v>
      </c>
      <c r="R154"/>
      <c r="S154"/>
      <c r="T154"/>
      <c r="U154"/>
      <c r="V154"/>
      <c r="W154"/>
      <c r="X154"/>
      <c r="Y154"/>
      <c r="Z154"/>
      <c r="AA154"/>
      <c r="AB154"/>
      <c r="AC154"/>
      <c r="AD154"/>
      <c r="AE154"/>
    </row>
    <row r="155" spans="1:31" s="4" customFormat="1" ht="11.25" customHeight="1" x14ac:dyDescent="0.2">
      <c r="A155" s="31"/>
      <c r="B155" s="31"/>
      <c r="C155" s="110"/>
      <c r="D155"/>
      <c r="E155"/>
      <c r="F155" s="849">
        <v>42623</v>
      </c>
      <c r="G155" s="110"/>
      <c r="H155"/>
      <c r="I155"/>
      <c r="J155" s="647"/>
      <c r="K155" s="610" t="s">
        <v>704</v>
      </c>
      <c r="L155" s="647">
        <v>40511610</v>
      </c>
      <c r="M155" s="647">
        <v>58544875</v>
      </c>
      <c r="N155"/>
      <c r="O155" s="734" t="s">
        <v>760</v>
      </c>
      <c r="P155" s="735" t="s">
        <v>885</v>
      </c>
      <c r="Q155" s="806">
        <v>61200</v>
      </c>
      <c r="R155"/>
      <c r="S155"/>
      <c r="T155"/>
      <c r="U155"/>
      <c r="V155"/>
      <c r="W155"/>
      <c r="X155"/>
      <c r="Y155"/>
      <c r="Z155"/>
      <c r="AA155"/>
      <c r="AB155"/>
      <c r="AC155"/>
      <c r="AD155"/>
      <c r="AE155"/>
    </row>
    <row r="156" spans="1:31" s="4" customFormat="1" ht="11.25" customHeight="1" x14ac:dyDescent="0.2">
      <c r="A156" s="31"/>
      <c r="B156" s="31"/>
      <c r="C156" s="110"/>
      <c r="D156"/>
      <c r="E156"/>
      <c r="F156" s="849">
        <v>42623</v>
      </c>
      <c r="G156" s="110"/>
      <c r="H156"/>
      <c r="I156"/>
      <c r="J156" s="647"/>
      <c r="K156" s="610" t="s">
        <v>704</v>
      </c>
      <c r="L156" s="647">
        <v>40511610</v>
      </c>
      <c r="M156" s="647">
        <v>58534116</v>
      </c>
      <c r="N156"/>
      <c r="O156" s="734" t="s">
        <v>760</v>
      </c>
      <c r="P156" s="735" t="s">
        <v>885</v>
      </c>
      <c r="Q156" s="806">
        <v>58600</v>
      </c>
      <c r="R156"/>
      <c r="S156"/>
      <c r="T156"/>
      <c r="U156"/>
      <c r="V156"/>
      <c r="W156"/>
      <c r="X156"/>
      <c r="Y156"/>
      <c r="Z156"/>
      <c r="AA156"/>
      <c r="AB156"/>
      <c r="AC156"/>
      <c r="AD156"/>
      <c r="AE156"/>
    </row>
    <row r="157" spans="1:31" s="4" customFormat="1" ht="11.25" customHeight="1" x14ac:dyDescent="0.2">
      <c r="A157" s="31"/>
      <c r="B157" s="31"/>
      <c r="C157" s="110"/>
      <c r="D157"/>
      <c r="E157"/>
      <c r="F157" s="849">
        <v>42623</v>
      </c>
      <c r="G157" s="110"/>
      <c r="H157"/>
      <c r="I157"/>
      <c r="J157" s="647"/>
      <c r="K157" s="610" t="s">
        <v>704</v>
      </c>
      <c r="L157" s="647">
        <v>40518797</v>
      </c>
      <c r="M157" s="647">
        <v>95697827</v>
      </c>
      <c r="N157"/>
      <c r="O157" s="734" t="s">
        <v>760</v>
      </c>
      <c r="P157" s="735" t="s">
        <v>885</v>
      </c>
      <c r="Q157" s="806">
        <v>60850</v>
      </c>
      <c r="R157"/>
      <c r="S157"/>
      <c r="T157"/>
      <c r="U157"/>
      <c r="V157"/>
      <c r="W157"/>
      <c r="X157"/>
      <c r="Y157"/>
      <c r="Z157"/>
      <c r="AA157"/>
      <c r="AB157"/>
      <c r="AC157"/>
      <c r="AD157"/>
      <c r="AE157"/>
    </row>
    <row r="158" spans="1:31" s="4" customFormat="1" ht="11.25" customHeight="1" x14ac:dyDescent="0.2">
      <c r="A158" s="31"/>
      <c r="B158" s="31"/>
      <c r="C158" s="110"/>
      <c r="D158"/>
      <c r="E158"/>
      <c r="F158" s="849">
        <v>42623</v>
      </c>
      <c r="G158" s="110"/>
      <c r="H158"/>
      <c r="I158"/>
      <c r="J158" s="647"/>
      <c r="K158" s="610" t="s">
        <v>704</v>
      </c>
      <c r="L158" s="647">
        <v>40511610</v>
      </c>
      <c r="M158" s="647">
        <v>58547977</v>
      </c>
      <c r="N158"/>
      <c r="O158" s="734" t="s">
        <v>760</v>
      </c>
      <c r="P158" s="735" t="s">
        <v>885</v>
      </c>
      <c r="Q158" s="806">
        <v>60700</v>
      </c>
      <c r="R158"/>
      <c r="S158"/>
      <c r="T158"/>
      <c r="U158"/>
      <c r="V158"/>
      <c r="W158"/>
      <c r="X158"/>
      <c r="Y158"/>
      <c r="Z158"/>
      <c r="AA158"/>
      <c r="AB158"/>
      <c r="AC158"/>
      <c r="AD158"/>
      <c r="AE158"/>
    </row>
    <row r="159" spans="1:31" s="4" customFormat="1" ht="11.25" customHeight="1" x14ac:dyDescent="0.2">
      <c r="A159" s="31"/>
      <c r="B159" s="31"/>
      <c r="C159" s="110"/>
      <c r="D159"/>
      <c r="E159"/>
      <c r="F159" s="849">
        <v>42623</v>
      </c>
      <c r="G159" s="110"/>
      <c r="H159"/>
      <c r="I159"/>
      <c r="J159" s="647"/>
      <c r="K159" s="610" t="s">
        <v>704</v>
      </c>
      <c r="L159" s="647">
        <v>40518797</v>
      </c>
      <c r="M159" s="647">
        <v>95831129</v>
      </c>
      <c r="N159"/>
      <c r="O159" s="734" t="s">
        <v>760</v>
      </c>
      <c r="P159" s="735" t="s">
        <v>885</v>
      </c>
      <c r="Q159" s="806">
        <v>60950</v>
      </c>
      <c r="R159"/>
      <c r="S159"/>
      <c r="T159"/>
      <c r="U159"/>
      <c r="V159"/>
      <c r="W159"/>
      <c r="X159"/>
      <c r="Y159"/>
      <c r="Z159"/>
      <c r="AA159"/>
      <c r="AB159"/>
      <c r="AC159"/>
      <c r="AD159"/>
      <c r="AE159"/>
    </row>
    <row r="160" spans="1:31" s="4" customFormat="1" ht="11.25" customHeight="1" x14ac:dyDescent="0.2">
      <c r="A160" s="31"/>
      <c r="B160" s="31"/>
      <c r="C160" s="110"/>
      <c r="D160"/>
      <c r="E160"/>
      <c r="F160" s="849">
        <v>42623</v>
      </c>
      <c r="G160" s="110"/>
      <c r="H160"/>
      <c r="I160"/>
      <c r="J160" s="647"/>
      <c r="K160" s="610" t="s">
        <v>704</v>
      </c>
      <c r="L160" s="647">
        <v>40525305</v>
      </c>
      <c r="M160" s="647">
        <v>95912788</v>
      </c>
      <c r="N160"/>
      <c r="O160" s="734" t="s">
        <v>760</v>
      </c>
      <c r="P160" s="735" t="s">
        <v>885</v>
      </c>
      <c r="Q160" s="806">
        <v>60800</v>
      </c>
      <c r="R160"/>
      <c r="S160"/>
      <c r="T160"/>
      <c r="U160"/>
      <c r="V160"/>
      <c r="W160"/>
      <c r="X160"/>
      <c r="Y160"/>
      <c r="Z160"/>
      <c r="AA160"/>
      <c r="AB160"/>
      <c r="AC160"/>
      <c r="AD160"/>
      <c r="AE160"/>
    </row>
    <row r="161" spans="1:31" s="4" customFormat="1" ht="11.25" customHeight="1" x14ac:dyDescent="0.2">
      <c r="A161" s="31"/>
      <c r="B161" s="31"/>
      <c r="C161" s="110"/>
      <c r="D161"/>
      <c r="E161"/>
      <c r="F161" s="849">
        <v>42623</v>
      </c>
      <c r="G161" s="110"/>
      <c r="H161"/>
      <c r="I161"/>
      <c r="J161" s="647"/>
      <c r="K161" s="610" t="s">
        <v>704</v>
      </c>
      <c r="L161" s="647">
        <v>40488470</v>
      </c>
      <c r="M161" s="647">
        <v>95391520</v>
      </c>
      <c r="N161"/>
      <c r="O161" s="734" t="s">
        <v>760</v>
      </c>
      <c r="P161" s="735" t="s">
        <v>885</v>
      </c>
      <c r="Q161" s="806">
        <v>57300</v>
      </c>
      <c r="R161"/>
      <c r="S161"/>
      <c r="T161"/>
      <c r="U161"/>
      <c r="V161"/>
      <c r="W161"/>
      <c r="X161"/>
      <c r="Y161"/>
      <c r="Z161"/>
      <c r="AA161"/>
      <c r="AB161"/>
      <c r="AC161"/>
      <c r="AD161"/>
      <c r="AE161"/>
    </row>
    <row r="162" spans="1:31" s="4" customFormat="1" ht="11.25" customHeight="1" x14ac:dyDescent="0.2">
      <c r="A162" s="31"/>
      <c r="B162" s="31"/>
      <c r="C162" s="110"/>
      <c r="D162"/>
      <c r="E162"/>
      <c r="F162" s="849">
        <v>42623</v>
      </c>
      <c r="G162" s="110"/>
      <c r="H162"/>
      <c r="I162"/>
      <c r="J162" s="647"/>
      <c r="K162" s="610" t="s">
        <v>704</v>
      </c>
      <c r="L162" s="647">
        <v>40488470</v>
      </c>
      <c r="M162" s="647">
        <v>95636361</v>
      </c>
      <c r="N162"/>
      <c r="O162" s="734" t="s">
        <v>760</v>
      </c>
      <c r="P162" s="735" t="s">
        <v>885</v>
      </c>
      <c r="Q162" s="806">
        <v>57600</v>
      </c>
      <c r="R162"/>
      <c r="S162"/>
      <c r="T162"/>
      <c r="U162"/>
      <c r="V162"/>
      <c r="W162"/>
      <c r="X162"/>
      <c r="Y162"/>
      <c r="Z162"/>
      <c r="AA162"/>
      <c r="AB162"/>
      <c r="AC162"/>
      <c r="AD162"/>
      <c r="AE162"/>
    </row>
    <row r="163" spans="1:31" s="4" customFormat="1" ht="11.25" customHeight="1" x14ac:dyDescent="0.2">
      <c r="A163" s="31"/>
      <c r="B163" s="31"/>
      <c r="C163" s="110"/>
      <c r="D163"/>
      <c r="E163"/>
      <c r="F163" s="849">
        <v>42623</v>
      </c>
      <c r="G163" s="110"/>
      <c r="H163"/>
      <c r="I163"/>
      <c r="J163" s="647"/>
      <c r="K163" s="610" t="s">
        <v>704</v>
      </c>
      <c r="L163" s="647">
        <v>40495129</v>
      </c>
      <c r="M163" s="647">
        <v>95828703</v>
      </c>
      <c r="N163"/>
      <c r="O163" s="734" t="s">
        <v>760</v>
      </c>
      <c r="P163" s="735" t="s">
        <v>885</v>
      </c>
      <c r="Q163" s="806">
        <v>57050</v>
      </c>
      <c r="R163"/>
      <c r="S163"/>
      <c r="T163"/>
      <c r="U163"/>
      <c r="V163"/>
      <c r="W163"/>
      <c r="X163"/>
      <c r="Y163"/>
      <c r="Z163"/>
      <c r="AA163"/>
      <c r="AB163"/>
      <c r="AC163"/>
      <c r="AD163"/>
      <c r="AE163"/>
    </row>
    <row r="164" spans="1:31" s="4" customFormat="1" ht="11.25" customHeight="1" x14ac:dyDescent="0.2">
      <c r="A164" s="31"/>
      <c r="B164" s="31"/>
      <c r="C164" s="110"/>
      <c r="D164"/>
      <c r="E164"/>
      <c r="F164" s="849">
        <v>42623</v>
      </c>
      <c r="G164" s="110"/>
      <c r="H164"/>
      <c r="I164"/>
      <c r="J164" s="647"/>
      <c r="K164" s="610" t="s">
        <v>704</v>
      </c>
      <c r="L164" s="647">
        <v>40495129</v>
      </c>
      <c r="M164" s="647">
        <v>95644449</v>
      </c>
      <c r="N164"/>
      <c r="O164" s="734" t="s">
        <v>760</v>
      </c>
      <c r="P164" s="735" t="s">
        <v>885</v>
      </c>
      <c r="Q164" s="806">
        <v>57250</v>
      </c>
      <c r="R164"/>
      <c r="S164"/>
      <c r="T164"/>
      <c r="U164"/>
      <c r="V164"/>
      <c r="W164"/>
      <c r="X164"/>
      <c r="Y164"/>
      <c r="Z164"/>
      <c r="AA164"/>
      <c r="AB164"/>
      <c r="AC164"/>
      <c r="AD164"/>
      <c r="AE164"/>
    </row>
    <row r="165" spans="1:31" s="4" customFormat="1" ht="11.25" customHeight="1" x14ac:dyDescent="0.2">
      <c r="A165" s="31"/>
      <c r="B165" s="31"/>
      <c r="C165" s="110"/>
      <c r="D165"/>
      <c r="E165"/>
      <c r="F165" s="849">
        <v>42623</v>
      </c>
      <c r="G165" s="110"/>
      <c r="H165"/>
      <c r="I165"/>
      <c r="J165" s="647"/>
      <c r="K165" s="610" t="s">
        <v>704</v>
      </c>
      <c r="L165" s="647">
        <v>40511628</v>
      </c>
      <c r="M165" s="647">
        <v>95150462</v>
      </c>
      <c r="N165"/>
      <c r="O165" s="734" t="s">
        <v>760</v>
      </c>
      <c r="P165" s="735" t="s">
        <v>885</v>
      </c>
      <c r="Q165" s="806">
        <v>62850</v>
      </c>
      <c r="R165"/>
      <c r="S165"/>
      <c r="T165"/>
      <c r="U165"/>
      <c r="V165"/>
      <c r="W165"/>
      <c r="X165"/>
      <c r="Y165"/>
      <c r="Z165"/>
      <c r="AA165"/>
      <c r="AB165"/>
      <c r="AC165"/>
      <c r="AD165"/>
      <c r="AE165"/>
    </row>
    <row r="166" spans="1:31" s="4" customFormat="1" ht="11.25" customHeight="1" x14ac:dyDescent="0.2">
      <c r="A166" s="31"/>
      <c r="B166" s="31"/>
      <c r="C166" s="110"/>
      <c r="D166"/>
      <c r="E166"/>
      <c r="F166" s="849">
        <v>42623</v>
      </c>
      <c r="G166" s="110"/>
      <c r="H166"/>
      <c r="I166"/>
      <c r="J166" s="647"/>
      <c r="K166" s="610" t="s">
        <v>704</v>
      </c>
      <c r="L166" s="647">
        <v>40511636</v>
      </c>
      <c r="M166" s="647">
        <v>95362562</v>
      </c>
      <c r="N166"/>
      <c r="O166" s="734" t="s">
        <v>760</v>
      </c>
      <c r="P166" s="735" t="s">
        <v>885</v>
      </c>
      <c r="Q166" s="806">
        <v>64050</v>
      </c>
      <c r="R166"/>
      <c r="S166"/>
      <c r="T166"/>
      <c r="U166"/>
      <c r="V166"/>
      <c r="W166"/>
      <c r="X166"/>
      <c r="Y166"/>
      <c r="Z166"/>
      <c r="AA166"/>
      <c r="AB166"/>
      <c r="AC166"/>
      <c r="AD166"/>
      <c r="AE166"/>
    </row>
    <row r="167" spans="1:31" s="4" customFormat="1" ht="11.25" customHeight="1" x14ac:dyDescent="0.2">
      <c r="A167" s="31"/>
      <c r="B167" s="31"/>
      <c r="C167" s="110"/>
      <c r="D167"/>
      <c r="E167"/>
      <c r="F167" s="849">
        <v>42623</v>
      </c>
      <c r="G167" s="110"/>
      <c r="H167"/>
      <c r="I167"/>
      <c r="J167" s="647"/>
      <c r="K167" s="610" t="s">
        <v>704</v>
      </c>
      <c r="L167" s="647">
        <v>40511644</v>
      </c>
      <c r="M167" s="647">
        <v>95375440</v>
      </c>
      <c r="N167"/>
      <c r="O167" s="734" t="s">
        <v>760</v>
      </c>
      <c r="P167" s="735" t="s">
        <v>885</v>
      </c>
      <c r="Q167" s="806">
        <v>64450</v>
      </c>
      <c r="R167"/>
      <c r="S167"/>
      <c r="T167"/>
      <c r="U167"/>
      <c r="V167"/>
      <c r="W167"/>
      <c r="X167"/>
      <c r="Y167"/>
      <c r="Z167"/>
      <c r="AA167"/>
      <c r="AB167"/>
      <c r="AC167"/>
      <c r="AD167"/>
      <c r="AE167"/>
    </row>
    <row r="168" spans="1:31" s="4" customFormat="1" ht="11.25" customHeight="1" x14ac:dyDescent="0.2">
      <c r="A168" s="31"/>
      <c r="B168" s="31"/>
      <c r="C168" s="110"/>
      <c r="D168"/>
      <c r="E168"/>
      <c r="F168" s="849">
        <v>42623</v>
      </c>
      <c r="G168" s="110"/>
      <c r="H168"/>
      <c r="I168"/>
      <c r="J168" s="647"/>
      <c r="K168" s="610" t="s">
        <v>704</v>
      </c>
      <c r="L168" s="647">
        <v>40445447</v>
      </c>
      <c r="M168" s="647">
        <v>95621157</v>
      </c>
      <c r="N168"/>
      <c r="O168" s="734" t="s">
        <v>760</v>
      </c>
      <c r="P168" s="735" t="s">
        <v>885</v>
      </c>
      <c r="Q168" s="806">
        <v>57900</v>
      </c>
      <c r="R168"/>
      <c r="S168"/>
      <c r="T168"/>
      <c r="U168"/>
      <c r="V168"/>
      <c r="W168"/>
      <c r="X168"/>
      <c r="Y168"/>
      <c r="Z168"/>
      <c r="AA168"/>
      <c r="AB168"/>
      <c r="AC168"/>
      <c r="AD168"/>
      <c r="AE168"/>
    </row>
    <row r="169" spans="1:31" s="4" customFormat="1" ht="11.25" customHeight="1" x14ac:dyDescent="0.2">
      <c r="A169" s="31"/>
      <c r="B169" s="31"/>
      <c r="C169" s="110"/>
      <c r="D169"/>
      <c r="E169"/>
      <c r="F169" s="849">
        <v>42623</v>
      </c>
      <c r="G169" s="110"/>
      <c r="H169"/>
      <c r="I169"/>
      <c r="J169" s="647"/>
      <c r="K169" s="610" t="s">
        <v>704</v>
      </c>
      <c r="L169" s="647">
        <v>40525305</v>
      </c>
      <c r="M169" s="647">
        <v>95830576</v>
      </c>
      <c r="N169"/>
      <c r="O169" s="734" t="s">
        <v>760</v>
      </c>
      <c r="P169" s="735" t="s">
        <v>885</v>
      </c>
      <c r="Q169" s="806">
        <v>61250</v>
      </c>
      <c r="R169"/>
      <c r="S169"/>
      <c r="T169"/>
      <c r="U169"/>
      <c r="V169"/>
      <c r="W169"/>
      <c r="X169"/>
      <c r="Y169"/>
      <c r="Z169"/>
      <c r="AA169"/>
      <c r="AB169"/>
      <c r="AC169"/>
      <c r="AD169"/>
      <c r="AE169"/>
    </row>
    <row r="170" spans="1:31" s="4" customFormat="1" ht="11.25" customHeight="1" x14ac:dyDescent="0.2">
      <c r="A170" s="31"/>
      <c r="B170" s="31"/>
      <c r="C170" s="110"/>
      <c r="D170"/>
      <c r="E170"/>
      <c r="F170" s="849">
        <v>42623</v>
      </c>
      <c r="G170" s="110"/>
      <c r="H170"/>
      <c r="I170"/>
      <c r="J170" s="647"/>
      <c r="K170" s="610" t="s">
        <v>704</v>
      </c>
      <c r="L170" s="647">
        <v>40525305</v>
      </c>
      <c r="M170" s="647">
        <v>95616215</v>
      </c>
      <c r="N170"/>
      <c r="O170" s="734" t="s">
        <v>760</v>
      </c>
      <c r="P170" s="735" t="s">
        <v>885</v>
      </c>
      <c r="Q170" s="806">
        <v>60850</v>
      </c>
      <c r="R170"/>
      <c r="S170"/>
      <c r="T170"/>
      <c r="U170"/>
      <c r="V170"/>
      <c r="W170"/>
      <c r="X170"/>
      <c r="Y170"/>
      <c r="Z170"/>
      <c r="AA170"/>
      <c r="AB170"/>
      <c r="AC170"/>
      <c r="AD170"/>
      <c r="AE170"/>
    </row>
    <row r="171" spans="1:31" s="4" customFormat="1" ht="11.25" customHeight="1" x14ac:dyDescent="0.2">
      <c r="A171" s="31"/>
      <c r="B171" s="31"/>
      <c r="C171" s="110"/>
      <c r="D171"/>
      <c r="E171"/>
      <c r="F171" s="849">
        <v>42623</v>
      </c>
      <c r="G171" s="110"/>
      <c r="H171"/>
      <c r="I171"/>
      <c r="J171" s="647"/>
      <c r="K171" s="610" t="s">
        <v>704</v>
      </c>
      <c r="L171" s="647">
        <v>40525305</v>
      </c>
      <c r="M171" s="647">
        <v>95614616</v>
      </c>
      <c r="N171"/>
      <c r="O171" s="734" t="s">
        <v>760</v>
      </c>
      <c r="P171" s="735" t="s">
        <v>885</v>
      </c>
      <c r="Q171" s="806">
        <v>60800</v>
      </c>
      <c r="R171"/>
      <c r="S171"/>
      <c r="T171"/>
      <c r="U171"/>
      <c r="V171"/>
      <c r="W171"/>
      <c r="X171"/>
      <c r="Y171"/>
      <c r="Z171"/>
      <c r="AA171"/>
      <c r="AB171"/>
      <c r="AC171"/>
      <c r="AD171"/>
      <c r="AE171"/>
    </row>
    <row r="172" spans="1:31" s="4" customFormat="1" ht="11.25" customHeight="1" x14ac:dyDescent="0.2">
      <c r="A172" s="31"/>
      <c r="B172" s="31"/>
      <c r="C172" s="110"/>
      <c r="D172"/>
      <c r="E172"/>
      <c r="F172" s="849">
        <v>42623</v>
      </c>
      <c r="G172" s="110"/>
      <c r="H172"/>
      <c r="I172"/>
      <c r="J172" s="647"/>
      <c r="K172" s="610" t="s">
        <v>704</v>
      </c>
      <c r="L172" s="647">
        <v>40526014</v>
      </c>
      <c r="M172" s="647">
        <v>95651543</v>
      </c>
      <c r="N172"/>
      <c r="O172" s="734" t="s">
        <v>760</v>
      </c>
      <c r="P172" s="735" t="s">
        <v>885</v>
      </c>
      <c r="Q172" s="806">
        <v>60850</v>
      </c>
      <c r="R172"/>
      <c r="S172"/>
      <c r="T172"/>
      <c r="U172"/>
      <c r="V172"/>
      <c r="W172"/>
      <c r="X172"/>
      <c r="Y172"/>
      <c r="Z172"/>
      <c r="AA172"/>
      <c r="AB172"/>
      <c r="AC172"/>
      <c r="AD172"/>
      <c r="AE172"/>
    </row>
    <row r="173" spans="1:31" s="4" customFormat="1" ht="11.25" customHeight="1" x14ac:dyDescent="0.2">
      <c r="A173" s="31"/>
      <c r="B173" s="31"/>
      <c r="C173" s="110"/>
      <c r="D173"/>
      <c r="E173"/>
      <c r="F173" s="849">
        <v>42623</v>
      </c>
      <c r="G173" s="110"/>
      <c r="H173"/>
      <c r="I173"/>
      <c r="J173" s="647"/>
      <c r="K173" s="610" t="s">
        <v>704</v>
      </c>
      <c r="L173" s="647">
        <v>40488470</v>
      </c>
      <c r="M173" s="647">
        <v>95493151</v>
      </c>
      <c r="N173"/>
      <c r="O173" s="734" t="s">
        <v>760</v>
      </c>
      <c r="P173" s="735" t="s">
        <v>885</v>
      </c>
      <c r="Q173" s="806">
        <v>57350</v>
      </c>
      <c r="R173"/>
      <c r="S173"/>
      <c r="T173"/>
      <c r="U173"/>
      <c r="V173"/>
      <c r="W173"/>
      <c r="X173"/>
      <c r="Y173"/>
      <c r="Z173"/>
      <c r="AA173"/>
      <c r="AB173"/>
      <c r="AC173"/>
      <c r="AD173"/>
      <c r="AE173"/>
    </row>
    <row r="174" spans="1:31" ht="11.25" customHeight="1" x14ac:dyDescent="0.2">
      <c r="A174" s="31"/>
      <c r="B174" s="31"/>
      <c r="C174" s="110"/>
      <c r="F174" s="849">
        <v>42623</v>
      </c>
      <c r="G174" s="110"/>
      <c r="J174" s="647"/>
      <c r="K174" s="610" t="s">
        <v>704</v>
      </c>
      <c r="L174" s="647">
        <v>40488470</v>
      </c>
      <c r="M174" s="647">
        <v>95352670</v>
      </c>
      <c r="O174" s="734" t="s">
        <v>760</v>
      </c>
      <c r="P174" s="735" t="s">
        <v>885</v>
      </c>
      <c r="Q174" s="806">
        <v>57550</v>
      </c>
    </row>
    <row r="175" spans="1:31" ht="11.25" customHeight="1" x14ac:dyDescent="0.2">
      <c r="A175" s="31"/>
      <c r="B175" s="31"/>
      <c r="C175" s="110"/>
      <c r="F175" s="849">
        <v>42623</v>
      </c>
      <c r="G175" s="110"/>
      <c r="J175" s="647"/>
      <c r="K175" s="610" t="s">
        <v>622</v>
      </c>
      <c r="L175" s="647">
        <v>40568677</v>
      </c>
      <c r="M175" s="647">
        <v>95018768</v>
      </c>
      <c r="O175" s="734" t="s">
        <v>760</v>
      </c>
      <c r="P175" s="735" t="s">
        <v>885</v>
      </c>
      <c r="Q175" s="806">
        <v>57250</v>
      </c>
    </row>
    <row r="176" spans="1:31" ht="11.25" customHeight="1" x14ac:dyDescent="0.2">
      <c r="A176" s="31"/>
      <c r="B176" s="31"/>
      <c r="C176" s="110"/>
      <c r="F176" s="849">
        <v>42623</v>
      </c>
      <c r="G176" s="110"/>
      <c r="J176" s="647"/>
      <c r="K176" s="610" t="s">
        <v>622</v>
      </c>
      <c r="L176" s="647">
        <v>40568677</v>
      </c>
      <c r="M176" s="647">
        <v>95366530</v>
      </c>
      <c r="O176" s="734" t="s">
        <v>760</v>
      </c>
      <c r="P176" s="735" t="s">
        <v>885</v>
      </c>
      <c r="Q176" s="806">
        <v>58200</v>
      </c>
    </row>
    <row r="177" spans="1:56" ht="11.25" customHeight="1" x14ac:dyDescent="0.2">
      <c r="A177" s="31"/>
      <c r="B177" s="31"/>
      <c r="C177" s="110"/>
      <c r="F177" s="849">
        <v>42623</v>
      </c>
      <c r="G177" s="110"/>
      <c r="J177" s="647"/>
      <c r="K177" s="610" t="s">
        <v>622</v>
      </c>
      <c r="L177" s="647">
        <v>40568677</v>
      </c>
      <c r="M177" s="647">
        <v>95377834</v>
      </c>
      <c r="O177" s="734" t="s">
        <v>760</v>
      </c>
      <c r="P177" s="735" t="s">
        <v>885</v>
      </c>
      <c r="Q177" s="806">
        <v>57000</v>
      </c>
    </row>
    <row r="178" spans="1:56" ht="11.25" customHeight="1" x14ac:dyDescent="0.2">
      <c r="A178" s="31"/>
      <c r="B178" s="31"/>
      <c r="C178" s="110"/>
      <c r="F178" s="849">
        <v>42623</v>
      </c>
      <c r="G178" s="110"/>
      <c r="J178" s="647"/>
      <c r="K178" s="610" t="s">
        <v>622</v>
      </c>
      <c r="L178" s="647">
        <v>40568677</v>
      </c>
      <c r="M178" s="647">
        <v>95385514</v>
      </c>
      <c r="O178" s="734" t="s">
        <v>760</v>
      </c>
      <c r="P178" s="735" t="s">
        <v>885</v>
      </c>
      <c r="Q178" s="806">
        <v>57200</v>
      </c>
    </row>
    <row r="179" spans="1:56" ht="11.25" customHeight="1" x14ac:dyDescent="0.2">
      <c r="A179" s="31"/>
      <c r="B179" s="31"/>
      <c r="C179" s="110"/>
      <c r="F179" s="849">
        <v>42623</v>
      </c>
      <c r="G179" s="110"/>
      <c r="J179" s="647"/>
      <c r="K179" s="610" t="s">
        <v>622</v>
      </c>
      <c r="L179" s="647">
        <v>40569501</v>
      </c>
      <c r="M179" s="647">
        <v>95644381</v>
      </c>
      <c r="O179" s="734" t="s">
        <v>760</v>
      </c>
      <c r="P179" s="735" t="s">
        <v>885</v>
      </c>
      <c r="Q179" s="806">
        <v>56050</v>
      </c>
    </row>
    <row r="180" spans="1:56" s="466" customFormat="1" x14ac:dyDescent="0.2">
      <c r="A180" s="459"/>
      <c r="B180" s="459"/>
      <c r="C180" s="459"/>
      <c r="D180" s="459"/>
      <c r="E180" s="481"/>
      <c r="F180" s="849">
        <v>42622</v>
      </c>
      <c r="G180" s="752"/>
      <c r="H180" s="459"/>
      <c r="I180" s="459"/>
      <c r="J180" s="647"/>
      <c r="K180" s="4" t="s">
        <v>936</v>
      </c>
      <c r="L180" s="647">
        <v>271012</v>
      </c>
      <c r="M180" s="628" t="s">
        <v>912</v>
      </c>
      <c r="N180" s="469"/>
      <c r="O180" s="118" t="s">
        <v>143</v>
      </c>
      <c r="P180" s="12" t="s">
        <v>219</v>
      </c>
      <c r="Q180" s="806">
        <v>22320</v>
      </c>
      <c r="R180" s="751"/>
      <c r="S180" s="751"/>
      <c r="T180" s="459"/>
      <c r="U180" s="469"/>
      <c r="V180" s="459"/>
      <c r="W180" s="467"/>
      <c r="X180" s="459"/>
      <c r="Y180" s="469"/>
      <c r="Z180" s="467"/>
      <c r="AA180" s="459"/>
      <c r="AB180" s="459"/>
      <c r="AC180" s="832"/>
      <c r="AD180" s="803"/>
      <c r="AF180" s="481"/>
      <c r="AG180" s="682"/>
      <c r="AH180" s="459"/>
      <c r="AJ180" s="459"/>
      <c r="AK180" s="459"/>
      <c r="AL180" s="683"/>
      <c r="AM180" s="684"/>
      <c r="AN180" s="683"/>
      <c r="AO180" s="469"/>
      <c r="AP180" s="118"/>
      <c r="AQ180" s="12"/>
      <c r="AR180" s="685"/>
      <c r="AS180" s="469"/>
      <c r="AT180" s="469"/>
      <c r="AU180" s="459"/>
      <c r="AV180" s="469"/>
      <c r="AW180" s="459"/>
      <c r="AX180" s="467"/>
      <c r="AY180" s="459"/>
      <c r="AZ180" s="469"/>
      <c r="BA180" s="467"/>
      <c r="BD180" s="686"/>
    </row>
    <row r="181" spans="1:56" ht="11.25" customHeight="1" x14ac:dyDescent="0.2">
      <c r="A181" s="31"/>
      <c r="B181" s="31"/>
    </row>
    <row r="182" spans="1:56" ht="11.25" customHeight="1" x14ac:dyDescent="0.2">
      <c r="A182" s="31"/>
      <c r="B182" s="31"/>
    </row>
  </sheetData>
  <protectedRanges>
    <protectedRange sqref="B180 B11:B45" name="Диапазон1_2_2_4_1_1_1_1_1_1_1_1_1_2_1_1_1_1_2_1"/>
    <protectedRange sqref="C11:C12" name="Диапазон1_2_6_1_1_1_1_1_2_1_1_1_1_1_1_1_1_1_2_1_1"/>
  </protectedRanges>
  <autoFilter ref="A9:BD182">
    <filterColumn colId="14" showButton="0"/>
    <filterColumn colId="15" showButton="0"/>
  </autoFilter>
  <mergeCells count="1">
    <mergeCell ref="O9:Q9"/>
  </mergeCells>
  <conditionalFormatting sqref="S11:T93 S180:T180">
    <cfRule type="cellIs" dxfId="26" priority="23" stopIfTrue="1" operator="notEqual">
      <formula>R11-#REF!</formula>
    </cfRule>
  </conditionalFormatting>
  <conditionalFormatting sqref="AT11:AU137 AT180:AU180">
    <cfRule type="cellIs" dxfId="25" priority="22" stopIfTrue="1" operator="notEqual">
      <formula>AS11-#REF!</formula>
    </cfRule>
  </conditionalFormatting>
  <conditionalFormatting sqref="K11:K19">
    <cfRule type="uniqueValues" dxfId="24" priority="7"/>
  </conditionalFormatting>
  <conditionalFormatting sqref="K20:K179">
    <cfRule type="uniqueValues" dxfId="23" priority="3"/>
  </conditionalFormatting>
  <conditionalFormatting sqref="K180">
    <cfRule type="uniqueValues" dxfId="22" priority="1"/>
  </conditionalFormatting>
  <dataValidations disablePrompts="1" count="2">
    <dataValidation type="list" allowBlank="1" showInputMessage="1" showErrorMessage="1" sqref="WWB31:WWB35 WMF17 WCJ17 VSN17 VIR17 UYV17 UOZ17 UFD17 TVH17 TLL17 TBP17 SRT17 SHX17 RYB17 ROF17 REJ17 QUN17 QKR17 QAV17 PQZ17 PHD17 OXH17 ONL17 ODP17 NTT17 NJX17 NAB17 MQF17 MGJ17 LWN17 LMR17 LCV17 KSZ17 KJD17 JZH17 JPL17 JFP17 IVT17 ILX17 ICB17 HSF17 HIJ17 GYN17 GOR17 GEV17 FUZ17 FLD17 FBH17 ERL17 EHP17 DXT17 DNX17 DEB17 CUF17 CKJ17 CAN17 BQR17 BGV17 AWZ17 AND17 ADH17 TL17 JP17 JP31:JP35 WMF31:WMF35 WCJ31:WCJ35 VSN31:VSN35 VIR31:VIR35 UYV31:UYV35 UOZ31:UOZ35 UFD31:UFD35 TVH31:TVH35 TLL31:TLL35 TBP31:TBP35 SRT31:SRT35 SHX31:SHX35 RYB31:RYB35 ROF31:ROF35 REJ31:REJ35 QUN31:QUN35 QKR31:QKR35 QAV31:QAV35 PQZ31:PQZ35 PHD31:PHD35 OXH31:OXH35 ONL31:ONL35 ODP31:ODP35 NTT31:NTT35 NJX31:NJX35 NAB31:NAB35 MQF31:MQF35 MGJ31:MGJ35 LWN31:LWN35 LMR31:LMR35 LCV31:LCV35 KSZ31:KSZ35 KJD31:KJD35 JZH31:JZH35 JPL31:JPL35 JFP31:JFP35 IVT31:IVT35 ILX31:ILX35 ICB31:ICB35 HSF31:HSF35 HIJ31:HIJ35 GYN31:GYN35 GOR31:GOR35 GEV31:GEV35 FUZ31:FUZ35 FLD31:FLD35 FBH31:FBH35 ERL31:ERL35 EHP31:EHP35 DXT31:DXT35 DNX31:DNX35 DEB31:DEB35 CUF31:CUF35 CKJ31:CKJ35 CAN31:CAN35 BQR31:BQR35 BGV31:BGV35 AWZ31:AWZ35 AND31:AND35 ADH31:ADH35 TL31:TL35 WWB17">
      <formula1>$AF$2:$AF$9</formula1>
    </dataValidation>
    <dataValidation type="list" allowBlank="1" sqref="ANC180 TK180 ADG180 WME180 WCI180 VSM180 VIQ180 UYU180 UOY180 UFC180 TVG180 TLK180 TBO180 SRS180 SHW180 RYA180 ROE180 REI180 QUM180 QKQ180 QAU180 PQY180 PHC180 OXG180 ONK180 ODO180 NTS180 NJW180 NAA180 MQE180 MGI180 LWM180 LMQ180 LCU180 KSY180 KJC180 JZG180 JPK180 JFO180 IVS180 ILW180 ICA180 HSE180 HII180 GYM180 GOQ180 GEU180 FUY180 FLC180 FBG180 ERK180 EHO180 DXS180 DNW180 DEA180 CUE180 CKI180 CAM180 BQQ180 JO180 BGU180 WWA180 AWY180 T180 T11:T22">
      <formula1>Элеватор</formula1>
    </dataValidation>
  </dataValidations>
  <printOptions horizontalCentered="1"/>
  <pageMargins left="0.15748031496062992" right="0" top="0.15748031496062992" bottom="0" header="0" footer="0"/>
  <pageSetup scale="65" pageOrder="overThenDown" orientation="landscape" r:id="rId1"/>
  <headerFooter alignWithMargins="0"/>
  <drawing r:id="rId2"/>
  <legacyDrawing r:id="rId3"/>
  <controls>
    <mc:AlternateContent xmlns:mc="http://schemas.openxmlformats.org/markup-compatibility/2006">
      <mc:Choice Requires="x14">
        <control shapeId="2008065" r:id="rId4" name="CommandButton2101">
          <controlPr defaultSize="0" autoLine="0" r:id="rId5">
            <anchor moveWithCells="1">
              <from>
                <xdr:col>0</xdr:col>
                <xdr:colOff>0</xdr:colOff>
                <xdr:row>1</xdr:row>
                <xdr:rowOff>19050</xdr:rowOff>
              </from>
              <to>
                <xdr:col>9</xdr:col>
                <xdr:colOff>647700</xdr:colOff>
                <xdr:row>4</xdr:row>
                <xdr:rowOff>142875</xdr:rowOff>
              </to>
            </anchor>
          </controlPr>
        </control>
      </mc:Choice>
      <mc:Fallback>
        <control shapeId="2008065" r:id="rId4" name="CommandButton2101"/>
      </mc:Fallback>
    </mc:AlternateContent>
    <mc:AlternateContent xmlns:mc="http://schemas.openxmlformats.org/markup-compatibility/2006">
      <mc:Choice Requires="x14">
        <control shapeId="2008066" r:id="rId6" name="CommandButton2103">
          <controlPr defaultSize="0" autoLine="0" r:id="rId7">
            <anchor moveWithCells="1">
              <from>
                <xdr:col>11</xdr:col>
                <xdr:colOff>695325</xdr:colOff>
                <xdr:row>1</xdr:row>
                <xdr:rowOff>9525</xdr:rowOff>
              </from>
              <to>
                <xdr:col>14</xdr:col>
                <xdr:colOff>523875</xdr:colOff>
                <xdr:row>4</xdr:row>
                <xdr:rowOff>152400</xdr:rowOff>
              </to>
            </anchor>
          </controlPr>
        </control>
      </mc:Choice>
      <mc:Fallback>
        <control shapeId="2008066" r:id="rId6" name="CommandButton2103"/>
      </mc:Fallback>
    </mc:AlternateContent>
    <mc:AlternateContent xmlns:mc="http://schemas.openxmlformats.org/markup-compatibility/2006">
      <mc:Choice Requires="x14">
        <control shapeId="2008067" r:id="rId8" name="CommandButton2102">
          <controlPr defaultSize="0" autoLine="0" r:id="rId9">
            <anchor moveWithCells="1">
              <from>
                <xdr:col>10</xdr:col>
                <xdr:colOff>333375</xdr:colOff>
                <xdr:row>1</xdr:row>
                <xdr:rowOff>19050</xdr:rowOff>
              </from>
              <to>
                <xdr:col>11</xdr:col>
                <xdr:colOff>38100</xdr:colOff>
                <xdr:row>4</xdr:row>
                <xdr:rowOff>142875</xdr:rowOff>
              </to>
            </anchor>
          </controlPr>
        </control>
      </mc:Choice>
      <mc:Fallback>
        <control shapeId="2008067" r:id="rId8" name="CommandButton210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35"/>
  <sheetViews>
    <sheetView zoomScaleNormal="100" workbookViewId="0">
      <selection activeCell="A6" sqref="A6"/>
    </sheetView>
  </sheetViews>
  <sheetFormatPr defaultRowHeight="12.75" x14ac:dyDescent="0.2"/>
  <cols>
    <col min="1" max="1" width="13" customWidth="1"/>
    <col min="2" max="2" width="24" customWidth="1"/>
    <col min="3" max="3" width="9.7109375" customWidth="1"/>
    <col min="4" max="4" width="67.5703125" customWidth="1"/>
    <col min="5" max="5" width="11.42578125" customWidth="1"/>
    <col min="6" max="6" width="9.7109375" customWidth="1"/>
    <col min="7" max="7" width="7.7109375" customWidth="1"/>
    <col min="8" max="8" width="9.7109375" customWidth="1"/>
    <col min="9" max="9" width="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911</v>
      </c>
      <c r="T2" s="81" t="s">
        <v>405</v>
      </c>
    </row>
    <row r="3" spans="1:21" ht="42" customHeight="1" x14ac:dyDescent="0.25">
      <c r="C3" s="409" t="s">
        <v>263</v>
      </c>
      <c r="D3" s="410">
        <v>26.632975999999999</v>
      </c>
      <c r="L3" s="12" t="s">
        <v>201</v>
      </c>
      <c r="T3" s="436" t="s">
        <v>406</v>
      </c>
    </row>
    <row r="4" spans="1:21" ht="21" customHeight="1" thickBot="1" x14ac:dyDescent="0.25"/>
    <row r="5" spans="1:21" s="137" customFormat="1" ht="25.5"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B6" s="277"/>
      <c r="D6" s="610"/>
      <c r="E6" s="449"/>
      <c r="F6" s="829"/>
      <c r="G6" s="277"/>
      <c r="H6" s="324">
        <f>IF(G6="Y",F6/1.2,F6)</f>
        <v>0</v>
      </c>
      <c r="I6" s="325"/>
      <c r="J6" s="325"/>
      <c r="K6" s="828"/>
      <c r="L6" s="277"/>
    </row>
    <row r="7" spans="1:21" s="292" customFormat="1" ht="14.25" customHeight="1" x14ac:dyDescent="0.2">
      <c r="B7" s="277"/>
      <c r="D7" s="610"/>
      <c r="E7" s="449"/>
      <c r="F7" s="821"/>
      <c r="G7" s="277"/>
      <c r="H7" s="324">
        <f t="shared" ref="H7:H12" si="0">IF(G7="Y",F7/1.2,F7)</f>
        <v>0</v>
      </c>
      <c r="I7" s="325"/>
      <c r="J7" s="325"/>
      <c r="K7" s="824"/>
      <c r="L7" s="277"/>
    </row>
    <row r="8" spans="1:21" s="292" customFormat="1" ht="14.25" customHeight="1" x14ac:dyDescent="0.2">
      <c r="B8" s="277"/>
      <c r="D8" s="610"/>
      <c r="E8" s="449"/>
      <c r="F8" s="821"/>
      <c r="G8" s="277"/>
      <c r="H8" s="324">
        <f>IF(G8="Y",F8/1.2,F8)</f>
        <v>0</v>
      </c>
      <c r="I8" s="325"/>
      <c r="J8" s="325"/>
      <c r="K8" s="311"/>
      <c r="L8" s="277"/>
    </row>
    <row r="9" spans="1:21" s="292" customFormat="1" ht="14.25" customHeight="1" x14ac:dyDescent="0.2">
      <c r="B9" s="277"/>
      <c r="D9" s="843"/>
      <c r="E9" s="449"/>
      <c r="F9" s="804"/>
      <c r="G9" s="277"/>
      <c r="H9" s="324">
        <f t="shared" si="0"/>
        <v>0</v>
      </c>
      <c r="I9" s="325"/>
      <c r="J9" s="325"/>
      <c r="K9" s="801"/>
      <c r="L9" s="277"/>
    </row>
    <row r="10" spans="1:21" s="292" customFormat="1" ht="14.25" customHeight="1" x14ac:dyDescent="0.2">
      <c r="B10" s="277"/>
      <c r="D10" s="610"/>
      <c r="E10" s="449"/>
      <c r="F10" s="804"/>
      <c r="G10" s="277"/>
      <c r="H10" s="324">
        <f>IF(G10="Y",F10/1.2,F10)</f>
        <v>0</v>
      </c>
      <c r="I10" s="325"/>
      <c r="J10" s="325"/>
      <c r="K10" s="311"/>
      <c r="L10" s="277"/>
    </row>
    <row r="11" spans="1:21" s="292" customFormat="1" ht="14.25" customHeight="1" x14ac:dyDescent="0.2">
      <c r="B11" s="277"/>
      <c r="D11" s="610"/>
      <c r="E11" s="449"/>
      <c r="F11" s="817"/>
      <c r="G11" s="277"/>
      <c r="H11" s="790">
        <f t="shared" si="0"/>
        <v>0</v>
      </c>
      <c r="I11" s="325"/>
      <c r="J11" s="325"/>
      <c r="K11" s="311"/>
      <c r="L11" s="277"/>
    </row>
    <row r="12" spans="1:21" s="292" customFormat="1" ht="14.25" customHeight="1" x14ac:dyDescent="0.2">
      <c r="B12" s="277"/>
      <c r="D12" s="610"/>
      <c r="E12" s="449"/>
      <c r="F12" s="821"/>
      <c r="G12" s="277"/>
      <c r="H12" s="790">
        <f t="shared" si="0"/>
        <v>0</v>
      </c>
      <c r="I12" s="325"/>
      <c r="J12" s="325"/>
      <c r="K12" s="824"/>
      <c r="L12" s="277"/>
    </row>
    <row r="13" spans="1:21" ht="14.25" x14ac:dyDescent="0.2">
      <c r="A13" s="292"/>
      <c r="B13" s="277"/>
      <c r="C13" s="292"/>
      <c r="D13" s="610"/>
      <c r="E13" s="449"/>
      <c r="F13" s="811"/>
      <c r="G13" s="277"/>
      <c r="H13" s="790">
        <v>142</v>
      </c>
      <c r="I13" s="325"/>
      <c r="J13" s="325"/>
      <c r="K13" s="801"/>
      <c r="L13" s="277"/>
      <c r="M13" s="292"/>
      <c r="N13" s="292"/>
      <c r="O13" s="292"/>
    </row>
    <row r="14" spans="1:21" ht="14.25" x14ac:dyDescent="0.2">
      <c r="A14" s="292"/>
      <c r="B14" s="277"/>
      <c r="C14" s="292"/>
      <c r="D14" s="610"/>
      <c r="E14" s="449"/>
      <c r="F14" s="811"/>
      <c r="G14" s="277"/>
      <c r="H14" s="790">
        <f t="shared" ref="H14:H35" si="1">IF(G14="Y",F14/1.2,F14)</f>
        <v>0</v>
      </c>
      <c r="I14" s="325"/>
      <c r="J14" s="325"/>
      <c r="K14" s="847"/>
      <c r="L14" s="277"/>
      <c r="M14" s="292"/>
      <c r="N14" s="292"/>
      <c r="O14" s="292"/>
    </row>
    <row r="15" spans="1:21" ht="14.25" x14ac:dyDescent="0.2">
      <c r="A15" s="292"/>
      <c r="B15" s="277"/>
      <c r="C15" s="292"/>
      <c r="D15" s="610"/>
      <c r="E15" s="449"/>
      <c r="F15" s="811"/>
      <c r="G15" s="277"/>
      <c r="H15" s="790">
        <f t="shared" si="1"/>
        <v>0</v>
      </c>
      <c r="I15" s="325"/>
      <c r="J15" s="325"/>
      <c r="K15" s="842"/>
      <c r="L15" s="277"/>
      <c r="M15" s="292"/>
      <c r="N15" s="292"/>
      <c r="O15" s="292"/>
    </row>
    <row r="16" spans="1:21" ht="14.25" x14ac:dyDescent="0.2">
      <c r="A16" s="292"/>
      <c r="B16" s="277"/>
      <c r="C16" s="292"/>
      <c r="D16" s="699"/>
      <c r="E16" s="449"/>
      <c r="F16" s="804"/>
      <c r="G16" s="277"/>
      <c r="H16" s="790">
        <f t="shared" si="1"/>
        <v>0</v>
      </c>
      <c r="I16" s="325"/>
      <c r="J16" s="325"/>
      <c r="K16" s="824"/>
      <c r="L16" s="277"/>
      <c r="M16" s="292"/>
      <c r="N16" s="292"/>
      <c r="O16" s="292"/>
    </row>
    <row r="17" spans="1:15" ht="14.25" x14ac:dyDescent="0.2">
      <c r="A17" s="292"/>
      <c r="B17" s="277"/>
      <c r="C17" s="292"/>
      <c r="D17" s="610"/>
      <c r="E17" s="449"/>
      <c r="F17" s="804"/>
      <c r="G17" s="277"/>
      <c r="H17" s="790">
        <f t="shared" si="1"/>
        <v>0</v>
      </c>
      <c r="I17" s="325"/>
      <c r="J17" s="325"/>
      <c r="K17" s="311"/>
      <c r="L17" s="277"/>
      <c r="M17" s="292"/>
      <c r="N17" s="292"/>
      <c r="O17" s="292"/>
    </row>
    <row r="18" spans="1:15" ht="14.25" x14ac:dyDescent="0.2">
      <c r="A18" s="292"/>
      <c r="B18" s="277"/>
      <c r="C18" s="292"/>
      <c r="D18" s="610"/>
      <c r="E18" s="449"/>
      <c r="F18" s="804"/>
      <c r="G18" s="277"/>
      <c r="H18" s="790">
        <f t="shared" si="1"/>
        <v>0</v>
      </c>
      <c r="I18" s="325"/>
      <c r="J18" s="325"/>
      <c r="K18" s="311"/>
      <c r="L18" s="277"/>
      <c r="M18" s="292"/>
      <c r="N18" s="292"/>
      <c r="O18" s="292"/>
    </row>
    <row r="19" spans="1:15" ht="14.25" x14ac:dyDescent="0.2">
      <c r="A19" s="292"/>
      <c r="B19" s="277"/>
      <c r="C19" s="292"/>
      <c r="D19" s="610"/>
      <c r="E19" s="449"/>
      <c r="F19" s="804"/>
      <c r="G19" s="277"/>
      <c r="H19" s="790">
        <f t="shared" si="1"/>
        <v>0</v>
      </c>
      <c r="I19" s="325"/>
      <c r="J19" s="325"/>
      <c r="K19" s="311"/>
      <c r="L19" s="277"/>
      <c r="M19" s="292"/>
      <c r="N19" s="292"/>
      <c r="O19" s="292"/>
    </row>
    <row r="20" spans="1:15" ht="14.25" x14ac:dyDescent="0.2">
      <c r="A20" s="292"/>
      <c r="B20" s="277"/>
      <c r="C20" s="292"/>
      <c r="D20" s="610"/>
      <c r="E20" s="449"/>
      <c r="F20" s="804"/>
      <c r="G20" s="277"/>
      <c r="H20" s="324">
        <f t="shared" si="1"/>
        <v>0</v>
      </c>
      <c r="I20" s="325"/>
      <c r="J20" s="325"/>
      <c r="K20" s="277"/>
      <c r="L20" s="277"/>
      <c r="M20" s="292"/>
      <c r="N20" s="292"/>
      <c r="O20" s="292"/>
    </row>
    <row r="21" spans="1:15" ht="14.25" x14ac:dyDescent="0.2">
      <c r="A21" s="292"/>
      <c r="B21" s="277"/>
      <c r="C21" s="292"/>
      <c r="D21" s="610"/>
      <c r="E21" s="449"/>
      <c r="F21" s="804"/>
      <c r="G21" s="277"/>
      <c r="H21" s="324">
        <f t="shared" si="1"/>
        <v>0</v>
      </c>
      <c r="I21" s="325"/>
      <c r="J21" s="325"/>
      <c r="K21" s="311"/>
      <c r="L21" s="277"/>
      <c r="M21" s="292"/>
      <c r="N21" s="292"/>
      <c r="O21" s="292"/>
    </row>
    <row r="22" spans="1:15" ht="14.25" x14ac:dyDescent="0.2">
      <c r="A22" s="292"/>
      <c r="B22" s="277"/>
      <c r="C22" s="292"/>
      <c r="D22" s="610"/>
      <c r="E22" s="449"/>
      <c r="F22" s="804"/>
      <c r="G22" s="277"/>
      <c r="H22" s="790">
        <f t="shared" si="1"/>
        <v>0</v>
      </c>
      <c r="I22" s="325"/>
      <c r="J22" s="325"/>
      <c r="K22" s="311"/>
      <c r="L22" s="277"/>
      <c r="M22" s="292"/>
      <c r="N22" s="292"/>
      <c r="O22" s="292"/>
    </row>
    <row r="23" spans="1:15" ht="14.25" x14ac:dyDescent="0.2">
      <c r="A23" s="292"/>
      <c r="B23" s="277"/>
      <c r="C23" s="292"/>
      <c r="D23" s="610"/>
      <c r="E23" s="449"/>
      <c r="F23" s="804"/>
      <c r="G23" s="277"/>
      <c r="H23" s="790">
        <f t="shared" si="1"/>
        <v>0</v>
      </c>
      <c r="I23" s="325"/>
      <c r="J23" s="325"/>
      <c r="K23" s="277"/>
      <c r="L23" s="277"/>
      <c r="M23" s="292"/>
      <c r="N23" s="292"/>
      <c r="O23" s="292"/>
    </row>
    <row r="24" spans="1:15" ht="14.25" x14ac:dyDescent="0.2">
      <c r="A24" s="292"/>
      <c r="B24" s="277"/>
      <c r="C24" s="292"/>
      <c r="D24" s="610"/>
      <c r="E24" s="449"/>
      <c r="F24" s="804"/>
      <c r="G24" s="277"/>
      <c r="H24" s="790">
        <f t="shared" si="1"/>
        <v>0</v>
      </c>
      <c r="I24" s="325"/>
      <c r="J24" s="325"/>
      <c r="K24" s="824"/>
      <c r="L24" s="277"/>
      <c r="M24" s="292"/>
      <c r="N24" s="292"/>
      <c r="O24" s="292"/>
    </row>
    <row r="25" spans="1:15" ht="14.25" x14ac:dyDescent="0.2">
      <c r="A25" s="292"/>
      <c r="B25" s="277"/>
      <c r="C25" s="292"/>
      <c r="D25" s="610"/>
      <c r="E25" s="449"/>
      <c r="F25" s="821"/>
      <c r="G25" s="277"/>
      <c r="H25" s="790">
        <f t="shared" si="1"/>
        <v>0</v>
      </c>
      <c r="I25" s="325"/>
      <c r="J25" s="325"/>
      <c r="K25" s="824"/>
      <c r="L25" s="277"/>
      <c r="M25" s="292"/>
      <c r="N25" s="292"/>
      <c r="O25" s="292"/>
    </row>
    <row r="26" spans="1:15" ht="14.25" x14ac:dyDescent="0.2">
      <c r="A26" s="292"/>
      <c r="B26" s="277"/>
      <c r="C26" s="292"/>
      <c r="D26" s="610"/>
      <c r="E26" s="449"/>
      <c r="F26" s="804"/>
      <c r="G26" s="277"/>
      <c r="H26" s="790">
        <f t="shared" si="1"/>
        <v>0</v>
      </c>
      <c r="I26" s="325"/>
      <c r="J26" s="325"/>
      <c r="K26" s="277"/>
      <c r="L26" s="277"/>
      <c r="M26" s="292"/>
      <c r="N26" s="292"/>
      <c r="O26" s="292"/>
    </row>
    <row r="27" spans="1:15" ht="14.25" x14ac:dyDescent="0.2">
      <c r="A27" s="292"/>
      <c r="B27" s="277"/>
      <c r="C27" s="292"/>
      <c r="D27" s="610"/>
      <c r="E27" s="449"/>
      <c r="F27" s="804"/>
      <c r="G27" s="277"/>
      <c r="H27" s="790">
        <f t="shared" si="1"/>
        <v>0</v>
      </c>
      <c r="I27" s="325"/>
      <c r="J27" s="325"/>
      <c r="K27" s="277"/>
      <c r="L27" s="277"/>
      <c r="M27" s="292"/>
      <c r="N27" s="292"/>
      <c r="O27" s="292"/>
    </row>
    <row r="28" spans="1:15" ht="14.25" x14ac:dyDescent="0.2">
      <c r="A28" s="292"/>
      <c r="B28" s="277"/>
      <c r="C28" s="292"/>
      <c r="D28" s="610"/>
      <c r="E28" s="449"/>
      <c r="F28" s="804"/>
      <c r="G28" s="277"/>
      <c r="H28" s="790">
        <f t="shared" si="1"/>
        <v>0</v>
      </c>
      <c r="I28" s="325"/>
      <c r="J28" s="325"/>
      <c r="K28" s="277"/>
      <c r="L28" s="277"/>
      <c r="M28" s="292"/>
      <c r="N28" s="292"/>
      <c r="O28" s="292"/>
    </row>
    <row r="29" spans="1:15" ht="14.25" x14ac:dyDescent="0.2">
      <c r="A29" s="292"/>
      <c r="B29" s="277"/>
      <c r="C29" s="292"/>
      <c r="D29" s="610"/>
      <c r="E29" s="449"/>
      <c r="F29" s="804"/>
      <c r="G29" s="277"/>
      <c r="H29" s="790">
        <f t="shared" si="1"/>
        <v>0</v>
      </c>
      <c r="I29" s="325"/>
      <c r="J29" s="325"/>
      <c r="K29" s="277"/>
      <c r="L29" s="277"/>
      <c r="M29" s="292"/>
      <c r="N29" s="292"/>
      <c r="O29" s="292"/>
    </row>
    <row r="30" spans="1:15" ht="14.25" x14ac:dyDescent="0.2">
      <c r="A30" s="292"/>
      <c r="B30" s="277"/>
      <c r="C30" s="292"/>
      <c r="D30" s="610"/>
      <c r="E30" s="449"/>
      <c r="F30" s="804"/>
      <c r="G30" s="277"/>
      <c r="H30" s="790">
        <f t="shared" si="1"/>
        <v>0</v>
      </c>
      <c r="I30" s="325"/>
      <c r="J30" s="325"/>
      <c r="K30" s="277"/>
      <c r="L30" s="277"/>
      <c r="M30" s="292"/>
      <c r="N30" s="292"/>
      <c r="O30" s="292"/>
    </row>
    <row r="31" spans="1:15" ht="14.25" x14ac:dyDescent="0.2">
      <c r="A31" s="292"/>
      <c r="B31" s="277"/>
      <c r="C31" s="292"/>
      <c r="D31" s="610"/>
      <c r="E31" s="449"/>
      <c r="F31" s="804"/>
      <c r="G31" s="277"/>
      <c r="H31" s="790">
        <f t="shared" si="1"/>
        <v>0</v>
      </c>
      <c r="I31" s="325"/>
      <c r="J31" s="325"/>
      <c r="K31" s="277"/>
      <c r="L31" s="277"/>
      <c r="M31" s="292"/>
      <c r="N31" s="292"/>
      <c r="O31" s="292"/>
    </row>
    <row r="32" spans="1:15" ht="14.25" x14ac:dyDescent="0.2">
      <c r="A32" s="292"/>
      <c r="B32" s="277"/>
      <c r="C32" s="292"/>
      <c r="D32" s="610"/>
      <c r="E32" s="449"/>
      <c r="F32" s="804"/>
      <c r="G32" s="277"/>
      <c r="H32" s="790">
        <f t="shared" si="1"/>
        <v>0</v>
      </c>
      <c r="I32" s="325"/>
      <c r="J32" s="325"/>
      <c r="K32" s="277"/>
      <c r="L32" s="277"/>
      <c r="M32" s="292"/>
      <c r="N32" s="292"/>
      <c r="O32" s="292"/>
    </row>
    <row r="33" spans="1:15" ht="14.25" x14ac:dyDescent="0.2">
      <c r="A33" s="292"/>
      <c r="B33" s="277"/>
      <c r="C33" s="292"/>
      <c r="D33" s="610"/>
      <c r="E33" s="449"/>
      <c r="F33" s="804"/>
      <c r="G33" s="277"/>
      <c r="H33" s="790">
        <f t="shared" si="1"/>
        <v>0</v>
      </c>
      <c r="I33" s="325"/>
      <c r="J33" s="325"/>
      <c r="K33" s="277"/>
      <c r="L33" s="277"/>
      <c r="M33" s="292"/>
      <c r="N33" s="292"/>
      <c r="O33" s="292"/>
    </row>
    <row r="34" spans="1:15" ht="14.25" x14ac:dyDescent="0.2">
      <c r="A34" s="292"/>
      <c r="B34" s="277"/>
      <c r="C34" s="292"/>
      <c r="D34" s="610"/>
      <c r="E34" s="449"/>
      <c r="F34" s="804"/>
      <c r="G34" s="277"/>
      <c r="H34" s="790">
        <f t="shared" si="1"/>
        <v>0</v>
      </c>
      <c r="I34" s="325"/>
      <c r="J34" s="325"/>
      <c r="K34" s="277"/>
      <c r="L34" s="277"/>
      <c r="M34" s="292"/>
      <c r="N34" s="292"/>
      <c r="O34" s="292"/>
    </row>
    <row r="35" spans="1:15" ht="14.25" x14ac:dyDescent="0.2">
      <c r="A35" s="292"/>
      <c r="B35" s="277"/>
      <c r="C35" s="292"/>
      <c r="D35" s="610"/>
      <c r="E35" s="449"/>
      <c r="F35" s="804"/>
      <c r="G35" s="277"/>
      <c r="H35" s="790">
        <f t="shared" si="1"/>
        <v>0</v>
      </c>
      <c r="I35" s="325"/>
      <c r="J35" s="325"/>
      <c r="K35" s="277"/>
      <c r="L35" s="277"/>
      <c r="M35" s="292"/>
      <c r="N35" s="292"/>
      <c r="O35" s="292"/>
    </row>
  </sheetData>
  <autoFilter ref="A5:M35"/>
  <sortState ref="A6:M47">
    <sortCondition ref="K6:K47"/>
  </sortState>
  <customSheetViews>
    <customSheetView guid="{2527107E-9D0B-4093-B4A8-CF38BFB15F1C}" showAutoFilter="1">
      <pane ySplit="5" topLeftCell="A6" activePane="bottomLeft" state="frozen"/>
      <selection pane="bottomLeft" activeCell="E3" sqref="E3"/>
      <pageMargins left="0.24" right="0.24" top="0.25" bottom="1" header="0.5" footer="0.5"/>
      <pageSetup scale="90" orientation="landscape" r:id="rId1"/>
      <headerFooter alignWithMargins="0"/>
      <autoFilter ref="A5:N90"/>
    </customSheetView>
    <customSheetView guid="{7D07A65A-63F9-4A71-9039-2DCC2F4ABF4C}" showAutoFilter="1">
      <pane ySplit="5" topLeftCell="A6" activePane="bottomLeft" state="frozen"/>
      <selection pane="bottomLeft" activeCell="O13" sqref="O13"/>
      <pageMargins left="0.24" right="0.24" top="0.25" bottom="1" header="0.5" footer="0.5"/>
      <pageSetup scale="90" orientation="landscape" r:id="rId2"/>
      <headerFooter alignWithMargins="0"/>
      <autoFilter ref="A5:N97"/>
    </customSheetView>
    <customSheetView guid="{ADE400F8-D95C-46BC-A44D-BCC9A4530169}" showAutoFilter="1">
      <pane ySplit="5" topLeftCell="A6" activePane="bottomLeft" state="frozen"/>
      <selection pane="bottomLeft" activeCell="F9" sqref="F9"/>
      <pageMargins left="0.24" right="0.24" top="0.25" bottom="1" header="0.5" footer="0.5"/>
      <pageSetup scale="90" orientation="landscape" r:id="rId3"/>
      <headerFooter alignWithMargins="0"/>
      <autoFilter ref="A5:N97"/>
    </customSheetView>
    <customSheetView guid="{8D8F9819-0E72-417A-908C-B5A8F0F23F34}" showAutoFilter="1">
      <pane ySplit="5" topLeftCell="A6" activePane="bottomLeft" state="frozen"/>
      <selection pane="bottomLeft" activeCell="G7" sqref="G7"/>
      <pageMargins left="0.24" right="0.24" top="0.25" bottom="1" header="0.5" footer="0.5"/>
      <pageSetup scale="90" orientation="landscape" r:id="rId4"/>
      <headerFooter alignWithMargins="0"/>
      <autoFilter ref="A5:N97"/>
    </customSheetView>
  </customSheetViews>
  <phoneticPr fontId="9" type="noConversion"/>
  <pageMargins left="0.23622047244094491" right="0.23622047244094491" top="0.23622047244094491" bottom="0.98425196850393704" header="0.51181102362204722" footer="0.51181102362204722"/>
  <pageSetup scale="78" orientation="landscape" horizontalDpi="300" verticalDpi="300" r:id="rId5"/>
  <headerFooter alignWithMargins="0"/>
  <colBreaks count="1" manualBreakCount="1">
    <brk id="15" max="1048575" man="1"/>
  </colBreaks>
  <drawing r:id="rId6"/>
  <legacyDrawing r:id="rId7"/>
  <controls>
    <mc:AlternateContent xmlns:mc="http://schemas.openxmlformats.org/markup-compatibility/2006">
      <mc:Choice Requires="x14">
        <control shapeId="30723" r:id="rId8" name="CommandButton1002">
          <controlPr defaultSize="0" autoLine="0" r:id="rId9">
            <anchor moveWithCells="1">
              <from>
                <xdr:col>13</xdr:col>
                <xdr:colOff>19050</xdr:colOff>
                <xdr:row>1</xdr:row>
                <xdr:rowOff>9525</xdr:rowOff>
              </from>
              <to>
                <xdr:col>13</xdr:col>
                <xdr:colOff>647700</xdr:colOff>
                <xdr:row>2</xdr:row>
                <xdr:rowOff>219075</xdr:rowOff>
              </to>
            </anchor>
          </controlPr>
        </control>
      </mc:Choice>
      <mc:Fallback>
        <control shapeId="30723" r:id="rId8" name="CommandButton1002"/>
      </mc:Fallback>
    </mc:AlternateContent>
    <mc:AlternateContent xmlns:mc="http://schemas.openxmlformats.org/markup-compatibility/2006">
      <mc:Choice Requires="x14">
        <control shapeId="30722" r:id="rId10" name="CommandButton1003">
          <controlPr defaultSize="0" autoLine="0" r:id="rId11">
            <anchor moveWithCells="1">
              <from>
                <xdr:col>14</xdr:col>
                <xdr:colOff>9525</xdr:colOff>
                <xdr:row>1</xdr:row>
                <xdr:rowOff>9525</xdr:rowOff>
              </from>
              <to>
                <xdr:col>15</xdr:col>
                <xdr:colOff>0</xdr:colOff>
                <xdr:row>2</xdr:row>
                <xdr:rowOff>219075</xdr:rowOff>
              </to>
            </anchor>
          </controlPr>
        </control>
      </mc:Choice>
      <mc:Fallback>
        <control shapeId="30722" r:id="rId10" name="CommandButton1003"/>
      </mc:Fallback>
    </mc:AlternateContent>
    <mc:AlternateContent xmlns:mc="http://schemas.openxmlformats.org/markup-compatibility/2006">
      <mc:Choice Requires="x14">
        <control shapeId="30721" r:id="rId12" name="CommandButton1001">
          <controlPr defaultSize="0" autoLine="0" r:id="rId13">
            <anchor moveWithCells="1">
              <from>
                <xdr:col>11</xdr:col>
                <xdr:colOff>495300</xdr:colOff>
                <xdr:row>1</xdr:row>
                <xdr:rowOff>19050</xdr:rowOff>
              </from>
              <to>
                <xdr:col>12</xdr:col>
                <xdr:colOff>609600</xdr:colOff>
                <xdr:row>2</xdr:row>
                <xdr:rowOff>228600</xdr:rowOff>
              </to>
            </anchor>
          </controlPr>
        </control>
      </mc:Choice>
      <mc:Fallback>
        <control shapeId="30721" r:id="rId12" name="CommandButton1001"/>
      </mc:Fallback>
    </mc:AlternateContent>
    <mc:AlternateContent xmlns:mc="http://schemas.openxmlformats.org/markup-compatibility/2006">
      <mc:Choice Requires="x14">
        <control shapeId="30724" r:id="rId14" name="CommandButton1004">
          <controlPr defaultSize="0" autoLine="0" r:id="rId15">
            <anchor moveWithCells="1">
              <from>
                <xdr:col>0</xdr:col>
                <xdr:colOff>19050</xdr:colOff>
                <xdr:row>1</xdr:row>
                <xdr:rowOff>9525</xdr:rowOff>
              </from>
              <to>
                <xdr:col>0</xdr:col>
                <xdr:colOff>838200</xdr:colOff>
                <xdr:row>2</xdr:row>
                <xdr:rowOff>219075</xdr:rowOff>
              </to>
            </anchor>
          </controlPr>
        </control>
      </mc:Choice>
      <mc:Fallback>
        <control shapeId="30724" r:id="rId14" name="CommandButton1004"/>
      </mc:Fallback>
    </mc:AlternateContent>
    <mc:AlternateContent xmlns:mc="http://schemas.openxmlformats.org/markup-compatibility/2006">
      <mc:Choice Requires="x14">
        <control shapeId="30725" r:id="rId16" name="CommandButton1005">
          <controlPr defaultSize="0" autoLine="0" r:id="rId17">
            <anchor moveWithCells="1">
              <from>
                <xdr:col>1</xdr:col>
                <xdr:colOff>0</xdr:colOff>
                <xdr:row>1</xdr:row>
                <xdr:rowOff>9525</xdr:rowOff>
              </from>
              <to>
                <xdr:col>1</xdr:col>
                <xdr:colOff>1028700</xdr:colOff>
                <xdr:row>2</xdr:row>
                <xdr:rowOff>219075</xdr:rowOff>
              </to>
            </anchor>
          </controlPr>
        </control>
      </mc:Choice>
      <mc:Fallback>
        <control shapeId="30725" r:id="rId16" name="CommandButton1005"/>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filterMode="1"/>
  <dimension ref="A1:U24"/>
  <sheetViews>
    <sheetView workbookViewId="0">
      <selection activeCell="K23" sqref="K23"/>
    </sheetView>
  </sheetViews>
  <sheetFormatPr defaultRowHeight="12.75" x14ac:dyDescent="0.2"/>
  <cols>
    <col min="2" max="2" width="17.5703125" customWidth="1"/>
    <col min="4" max="4" width="37.140625" customWidth="1"/>
    <col min="5" max="5" width="12.5703125" customWidth="1"/>
  </cols>
  <sheetData>
    <row r="1" spans="1:21" ht="13.5" thickBot="1" x14ac:dyDescent="0.25"/>
    <row r="2" spans="1:21" s="137" customFormat="1" ht="25.5" customHeight="1" x14ac:dyDescent="0.25">
      <c r="A2" s="321" t="s">
        <v>61</v>
      </c>
      <c r="B2" s="322" t="s">
        <v>18</v>
      </c>
      <c r="C2" s="322" t="s">
        <v>137</v>
      </c>
      <c r="D2" s="322" t="s">
        <v>62</v>
      </c>
      <c r="E2" s="322" t="s">
        <v>63</v>
      </c>
      <c r="F2" s="322" t="s">
        <v>151</v>
      </c>
      <c r="G2" s="322" t="s">
        <v>150</v>
      </c>
      <c r="H2" s="322" t="s">
        <v>71</v>
      </c>
      <c r="I2" s="322" t="s">
        <v>69</v>
      </c>
      <c r="J2" s="322" t="s">
        <v>68</v>
      </c>
      <c r="K2" s="322" t="s">
        <v>191</v>
      </c>
      <c r="L2" s="322" t="s">
        <v>190</v>
      </c>
      <c r="M2" s="320"/>
      <c r="N2" s="320"/>
      <c r="O2" s="320"/>
      <c r="U2" s="319"/>
    </row>
    <row r="3" spans="1:21" s="292" customFormat="1" ht="20.25" hidden="1" customHeight="1" x14ac:dyDescent="0.2">
      <c r="A3" s="292" t="s">
        <v>305</v>
      </c>
      <c r="B3" s="277" t="s">
        <v>143</v>
      </c>
      <c r="D3" s="610" t="s">
        <v>868</v>
      </c>
      <c r="E3" s="449">
        <v>22.32</v>
      </c>
      <c r="F3" s="829">
        <v>141</v>
      </c>
      <c r="G3" s="277"/>
      <c r="H3" s="324">
        <f>IF(G3="Y",F3/1.2,F3)</f>
        <v>141</v>
      </c>
      <c r="I3" s="325">
        <v>42622.388344907406</v>
      </c>
      <c r="J3" s="325">
        <v>42622.388344907406</v>
      </c>
      <c r="K3" s="828">
        <v>552629</v>
      </c>
      <c r="L3" s="277"/>
      <c r="M3" s="292" t="s">
        <v>466</v>
      </c>
      <c r="O3" s="292" t="s">
        <v>466</v>
      </c>
    </row>
    <row r="4" spans="1:21" s="292" customFormat="1" ht="20.25" hidden="1" customHeight="1" x14ac:dyDescent="0.2">
      <c r="A4" s="292" t="s">
        <v>305</v>
      </c>
      <c r="B4" s="277" t="s">
        <v>143</v>
      </c>
      <c r="D4" s="610" t="s">
        <v>767</v>
      </c>
      <c r="E4" s="449">
        <v>1579.9499999999998</v>
      </c>
      <c r="F4" s="821">
        <v>155.5</v>
      </c>
      <c r="G4" s="277"/>
      <c r="H4" s="324">
        <f t="shared" ref="H4:H11" si="0">IF(G4="Y",F4/1.2,F4)</f>
        <v>155.5</v>
      </c>
      <c r="I4" s="325">
        <v>42622.796956018516</v>
      </c>
      <c r="J4" s="325">
        <v>42624.196527777778</v>
      </c>
      <c r="K4" s="824">
        <v>551438</v>
      </c>
      <c r="L4" s="277"/>
      <c r="M4" s="292" t="s">
        <v>466</v>
      </c>
      <c r="O4" s="292" t="s">
        <v>466</v>
      </c>
    </row>
    <row r="5" spans="1:21" s="292" customFormat="1" ht="20.25" hidden="1" customHeight="1" x14ac:dyDescent="0.2">
      <c r="A5" s="292" t="s">
        <v>305</v>
      </c>
      <c r="B5" s="277" t="s">
        <v>143</v>
      </c>
      <c r="D5" s="610" t="s">
        <v>712</v>
      </c>
      <c r="E5" s="449">
        <v>1346.7</v>
      </c>
      <c r="F5" s="821">
        <v>149</v>
      </c>
      <c r="G5" s="277"/>
      <c r="H5" s="324">
        <f t="shared" si="0"/>
        <v>149</v>
      </c>
      <c r="I5" s="325">
        <v>42622.877187500002</v>
      </c>
      <c r="J5" s="325">
        <v>42624.083449074074</v>
      </c>
      <c r="K5" s="826">
        <v>553450</v>
      </c>
      <c r="L5" s="277"/>
      <c r="M5" s="292" t="s">
        <v>466</v>
      </c>
      <c r="O5" s="292" t="s">
        <v>466</v>
      </c>
    </row>
    <row r="6" spans="1:21" s="292" customFormat="1" ht="20.25" customHeight="1" x14ac:dyDescent="0.2">
      <c r="A6" s="292" t="s">
        <v>305</v>
      </c>
      <c r="B6" s="277" t="s">
        <v>143</v>
      </c>
      <c r="D6" s="843" t="s">
        <v>934</v>
      </c>
      <c r="E6" s="449">
        <v>21.96</v>
      </c>
      <c r="F6" s="804">
        <v>142</v>
      </c>
      <c r="G6" s="277"/>
      <c r="H6" s="324">
        <f t="shared" si="0"/>
        <v>142</v>
      </c>
      <c r="I6" s="325">
        <v>42622.913449074076</v>
      </c>
      <c r="J6" s="325">
        <v>42622.913449074076</v>
      </c>
      <c r="K6" s="822">
        <v>553902</v>
      </c>
      <c r="L6" s="277"/>
      <c r="M6" s="292" t="s">
        <v>466</v>
      </c>
      <c r="O6" s="292" t="s">
        <v>466</v>
      </c>
    </row>
    <row r="7" spans="1:21" s="292" customFormat="1" ht="20.25" hidden="1" customHeight="1" x14ac:dyDescent="0.2">
      <c r="A7" s="292" t="s">
        <v>305</v>
      </c>
      <c r="B7" s="277" t="s">
        <v>143</v>
      </c>
      <c r="D7" s="610" t="s">
        <v>712</v>
      </c>
      <c r="E7" s="449">
        <v>469.40000000000003</v>
      </c>
      <c r="F7" s="804">
        <v>149</v>
      </c>
      <c r="G7" s="277"/>
      <c r="H7" s="324">
        <f t="shared" si="0"/>
        <v>149</v>
      </c>
      <c r="I7" s="325">
        <v>42623.391631944447</v>
      </c>
      <c r="J7" s="325">
        <v>42624.177361111113</v>
      </c>
      <c r="K7" s="826">
        <v>553756</v>
      </c>
      <c r="L7" s="277"/>
      <c r="M7" s="292" t="s">
        <v>466</v>
      </c>
      <c r="O7" s="292" t="s">
        <v>466</v>
      </c>
    </row>
    <row r="8" spans="1:21" s="292" customFormat="1" ht="20.25" hidden="1" customHeight="1" x14ac:dyDescent="0.2">
      <c r="A8" s="292" t="s">
        <v>305</v>
      </c>
      <c r="B8" s="277" t="s">
        <v>143</v>
      </c>
      <c r="D8" s="610" t="s">
        <v>495</v>
      </c>
      <c r="E8" s="449">
        <v>766.7</v>
      </c>
      <c r="F8" s="804">
        <v>142</v>
      </c>
      <c r="G8" s="277"/>
      <c r="H8" s="790">
        <f t="shared" si="0"/>
        <v>142</v>
      </c>
      <c r="I8" s="325">
        <v>42623.993310185186</v>
      </c>
      <c r="J8" s="325">
        <v>42625.11215277778</v>
      </c>
      <c r="K8" s="824">
        <v>552936</v>
      </c>
      <c r="L8" s="277"/>
      <c r="M8" s="292" t="s">
        <v>466</v>
      </c>
      <c r="O8" s="292" t="s">
        <v>466</v>
      </c>
    </row>
    <row r="9" spans="1:21" s="292" customFormat="1" ht="20.25" hidden="1" customHeight="1" x14ac:dyDescent="0.2">
      <c r="A9" s="292" t="s">
        <v>305</v>
      </c>
      <c r="B9" s="277" t="s">
        <v>143</v>
      </c>
      <c r="D9" s="610" t="s">
        <v>495</v>
      </c>
      <c r="E9" s="449">
        <v>41.06</v>
      </c>
      <c r="F9" s="831">
        <v>148</v>
      </c>
      <c r="G9" s="277"/>
      <c r="H9" s="790">
        <f t="shared" si="0"/>
        <v>148</v>
      </c>
      <c r="I9" s="325">
        <v>42624.7034375</v>
      </c>
      <c r="J9" s="325">
        <v>42624.706458333334</v>
      </c>
      <c r="K9" s="824">
        <v>553496</v>
      </c>
      <c r="L9" s="277"/>
      <c r="M9" s="292" t="s">
        <v>466</v>
      </c>
      <c r="O9" s="292" t="s">
        <v>466</v>
      </c>
    </row>
    <row r="10" spans="1:21" s="292" customFormat="1" ht="20.25" hidden="1" customHeight="1" x14ac:dyDescent="0.2">
      <c r="A10" s="292" t="s">
        <v>305</v>
      </c>
      <c r="B10" s="277" t="s">
        <v>143</v>
      </c>
      <c r="D10" s="610" t="s">
        <v>914</v>
      </c>
      <c r="E10" s="449">
        <v>487.95000000000005</v>
      </c>
      <c r="F10" s="817">
        <v>146</v>
      </c>
      <c r="G10" s="277"/>
      <c r="H10" s="790">
        <f t="shared" si="0"/>
        <v>146</v>
      </c>
      <c r="I10" s="325">
        <v>42625.239178240743</v>
      </c>
      <c r="J10" s="325">
        <v>42625.24318287037</v>
      </c>
      <c r="K10" s="826">
        <v>553932</v>
      </c>
      <c r="L10" s="277"/>
      <c r="M10" s="292" t="s">
        <v>466</v>
      </c>
      <c r="O10" s="292" t="s">
        <v>466</v>
      </c>
    </row>
    <row r="11" spans="1:21" s="292" customFormat="1" ht="20.25" hidden="1" customHeight="1" x14ac:dyDescent="0.2">
      <c r="A11" s="292" t="s">
        <v>305</v>
      </c>
      <c r="B11" s="277" t="s">
        <v>145</v>
      </c>
      <c r="D11" s="610" t="s">
        <v>818</v>
      </c>
      <c r="E11" s="449">
        <v>412.5</v>
      </c>
      <c r="F11" s="821">
        <v>139</v>
      </c>
      <c r="G11" s="277"/>
      <c r="H11" s="790">
        <f t="shared" si="0"/>
        <v>139</v>
      </c>
      <c r="I11" s="325">
        <v>42622.627696759257</v>
      </c>
      <c r="J11" s="325">
        <v>42623.70758101852</v>
      </c>
      <c r="K11" s="824">
        <v>553036</v>
      </c>
      <c r="L11" s="277"/>
      <c r="M11" s="292" t="s">
        <v>466</v>
      </c>
      <c r="O11" s="292" t="s">
        <v>466</v>
      </c>
    </row>
    <row r="12" spans="1:21" ht="20.25" customHeight="1" x14ac:dyDescent="0.2">
      <c r="A12" s="292" t="s">
        <v>305</v>
      </c>
      <c r="B12" s="277" t="s">
        <v>145</v>
      </c>
      <c r="C12" s="292"/>
      <c r="D12" s="610" t="s">
        <v>888</v>
      </c>
      <c r="E12" s="449">
        <v>346.65000000000003</v>
      </c>
      <c r="F12" s="811">
        <v>142</v>
      </c>
      <c r="G12" s="277"/>
      <c r="H12" s="790"/>
      <c r="I12" s="325">
        <v>42622.925856481481</v>
      </c>
      <c r="J12" s="325">
        <v>42625.136342592596</v>
      </c>
      <c r="K12" s="822">
        <v>553902</v>
      </c>
      <c r="L12" s="277"/>
      <c r="M12" s="292" t="s">
        <v>466</v>
      </c>
      <c r="N12" s="292" t="s">
        <v>144</v>
      </c>
      <c r="O12" s="292" t="s">
        <v>466</v>
      </c>
    </row>
    <row r="13" spans="1:21" ht="20.25" hidden="1" customHeight="1" x14ac:dyDescent="0.2">
      <c r="A13" s="292" t="s">
        <v>305</v>
      </c>
      <c r="B13" s="277" t="s">
        <v>145</v>
      </c>
      <c r="C13" s="292"/>
      <c r="D13" s="610" t="s">
        <v>619</v>
      </c>
      <c r="E13" s="449">
        <v>69.45</v>
      </c>
      <c r="F13" s="811">
        <v>146</v>
      </c>
      <c r="G13" s="277"/>
      <c r="H13" s="790">
        <f t="shared" ref="H13:H22" si="1">IF(G13="Y",F13/1.2,F13)</f>
        <v>146</v>
      </c>
      <c r="I13" s="325">
        <v>42623.055439814816</v>
      </c>
      <c r="J13" s="325">
        <v>42623.055439814816</v>
      </c>
      <c r="K13" s="847">
        <v>551127</v>
      </c>
      <c r="L13" s="277"/>
      <c r="M13" s="292" t="s">
        <v>466</v>
      </c>
      <c r="N13" s="292"/>
      <c r="O13" s="292" t="s">
        <v>466</v>
      </c>
    </row>
    <row r="14" spans="1:21" ht="20.25" hidden="1" customHeight="1" x14ac:dyDescent="0.2">
      <c r="A14" s="292" t="s">
        <v>305</v>
      </c>
      <c r="B14" s="277" t="s">
        <v>145</v>
      </c>
      <c r="C14" s="292"/>
      <c r="D14" s="610" t="s">
        <v>644</v>
      </c>
      <c r="E14" s="449">
        <v>1086.0999999999999</v>
      </c>
      <c r="F14" s="811">
        <v>137</v>
      </c>
      <c r="G14" s="277"/>
      <c r="H14" s="790">
        <f t="shared" si="1"/>
        <v>137</v>
      </c>
      <c r="I14" s="325">
        <v>42623.297013888892</v>
      </c>
      <c r="J14" s="325">
        <v>42625.238645833335</v>
      </c>
      <c r="K14" s="842">
        <v>552518</v>
      </c>
      <c r="L14" s="277"/>
      <c r="M14" s="292" t="s">
        <v>466</v>
      </c>
      <c r="N14" s="292"/>
      <c r="O14" s="292" t="s">
        <v>466</v>
      </c>
    </row>
    <row r="15" spans="1:21" ht="20.25" hidden="1" customHeight="1" x14ac:dyDescent="0.2">
      <c r="A15" s="292" t="s">
        <v>305</v>
      </c>
      <c r="B15" s="277" t="s">
        <v>145</v>
      </c>
      <c r="C15" s="292"/>
      <c r="D15" s="699" t="s">
        <v>702</v>
      </c>
      <c r="E15" s="449">
        <v>61.35</v>
      </c>
      <c r="F15" s="804">
        <v>141</v>
      </c>
      <c r="G15" s="277"/>
      <c r="H15" s="790">
        <f t="shared" si="1"/>
        <v>141</v>
      </c>
      <c r="I15" s="325">
        <v>42623.385162037041</v>
      </c>
      <c r="J15" s="325">
        <v>42623.385162037041</v>
      </c>
      <c r="K15" s="824">
        <v>553244</v>
      </c>
      <c r="L15" s="277"/>
      <c r="M15" s="292" t="s">
        <v>466</v>
      </c>
      <c r="N15" s="292"/>
      <c r="O15" s="292" t="s">
        <v>466</v>
      </c>
    </row>
    <row r="16" spans="1:21" ht="20.25" hidden="1" customHeight="1" x14ac:dyDescent="0.2">
      <c r="A16" s="292" t="s">
        <v>305</v>
      </c>
      <c r="B16" s="277" t="s">
        <v>145</v>
      </c>
      <c r="C16" s="292"/>
      <c r="D16" s="610" t="s">
        <v>886</v>
      </c>
      <c r="E16" s="449">
        <v>68.3</v>
      </c>
      <c r="F16" s="804">
        <v>143</v>
      </c>
      <c r="G16" s="277"/>
      <c r="H16" s="790">
        <f t="shared" si="1"/>
        <v>143</v>
      </c>
      <c r="I16" s="325">
        <v>42623.989201388889</v>
      </c>
      <c r="J16" s="325">
        <v>42623.989201388889</v>
      </c>
      <c r="K16" s="826">
        <v>553593</v>
      </c>
      <c r="L16" s="277"/>
      <c r="M16" s="292" t="s">
        <v>466</v>
      </c>
      <c r="N16" s="292"/>
      <c r="O16" s="292" t="s">
        <v>466</v>
      </c>
    </row>
    <row r="17" spans="1:15" ht="20.25" hidden="1" customHeight="1" x14ac:dyDescent="0.2">
      <c r="A17" s="292" t="s">
        <v>305</v>
      </c>
      <c r="B17" s="277" t="s">
        <v>145</v>
      </c>
      <c r="C17" s="292"/>
      <c r="D17" s="610" t="s">
        <v>701</v>
      </c>
      <c r="E17" s="449">
        <v>134.10000000000002</v>
      </c>
      <c r="F17" s="804">
        <v>136</v>
      </c>
      <c r="G17" s="277"/>
      <c r="H17" s="790">
        <f t="shared" si="1"/>
        <v>136</v>
      </c>
      <c r="I17" s="325">
        <v>42623.989641203705</v>
      </c>
      <c r="J17" s="325">
        <v>42623.990162037036</v>
      </c>
      <c r="K17" s="826">
        <v>552928</v>
      </c>
      <c r="L17" s="277"/>
      <c r="M17" s="292" t="s">
        <v>466</v>
      </c>
      <c r="N17" s="292"/>
      <c r="O17" s="292" t="s">
        <v>466</v>
      </c>
    </row>
    <row r="18" spans="1:15" ht="20.25" hidden="1" customHeight="1" x14ac:dyDescent="0.2">
      <c r="A18" s="292" t="s">
        <v>305</v>
      </c>
      <c r="B18" s="277" t="s">
        <v>145</v>
      </c>
      <c r="C18" s="292"/>
      <c r="D18" s="610" t="s">
        <v>935</v>
      </c>
      <c r="E18" s="449">
        <v>278.3</v>
      </c>
      <c r="F18" s="804">
        <v>144</v>
      </c>
      <c r="G18" s="277"/>
      <c r="H18" s="790">
        <f t="shared" si="1"/>
        <v>144</v>
      </c>
      <c r="I18" s="325">
        <v>42625.20820601852</v>
      </c>
      <c r="J18" s="325">
        <v>42625.209930555553</v>
      </c>
      <c r="K18" s="826">
        <v>553665</v>
      </c>
      <c r="L18" s="277"/>
      <c r="M18" s="292" t="s">
        <v>466</v>
      </c>
      <c r="N18" s="292"/>
      <c r="O18" s="292" t="s">
        <v>466</v>
      </c>
    </row>
    <row r="19" spans="1:15" ht="20.25" hidden="1" customHeight="1" x14ac:dyDescent="0.2">
      <c r="A19" s="292" t="s">
        <v>305</v>
      </c>
      <c r="B19" s="277" t="s">
        <v>204</v>
      </c>
      <c r="C19" s="292"/>
      <c r="D19" s="610" t="s">
        <v>868</v>
      </c>
      <c r="E19" s="449">
        <v>611.29999999999995</v>
      </c>
      <c r="F19" s="804">
        <v>146</v>
      </c>
      <c r="G19" s="277"/>
      <c r="H19" s="790">
        <f t="shared" si="1"/>
        <v>146</v>
      </c>
      <c r="I19" s="325">
        <v>42622.452013888891</v>
      </c>
      <c r="J19" s="325">
        <v>42625.101770833331</v>
      </c>
      <c r="K19" s="277">
        <v>554029</v>
      </c>
      <c r="L19" s="277"/>
      <c r="M19" s="292" t="s">
        <v>466</v>
      </c>
      <c r="N19" s="292"/>
      <c r="O19" s="292" t="s">
        <v>466</v>
      </c>
    </row>
    <row r="20" spans="1:15" ht="20.25" hidden="1" customHeight="1" x14ac:dyDescent="0.2">
      <c r="A20" s="292" t="s">
        <v>305</v>
      </c>
      <c r="B20" s="277" t="s">
        <v>204</v>
      </c>
      <c r="C20" s="292"/>
      <c r="D20" s="610" t="s">
        <v>868</v>
      </c>
      <c r="E20" s="449">
        <v>333.6</v>
      </c>
      <c r="F20" s="804">
        <v>156</v>
      </c>
      <c r="G20" s="277"/>
      <c r="H20" s="790">
        <f t="shared" si="1"/>
        <v>156</v>
      </c>
      <c r="I20" s="325">
        <v>42622.794525462959</v>
      </c>
      <c r="J20" s="325">
        <v>42622.796435185184</v>
      </c>
      <c r="K20" s="826">
        <v>553596</v>
      </c>
      <c r="L20" s="277"/>
      <c r="M20" s="292" t="s">
        <v>466</v>
      </c>
      <c r="N20" s="292"/>
      <c r="O20" s="292" t="s">
        <v>466</v>
      </c>
    </row>
    <row r="21" spans="1:15" ht="20.25" hidden="1" customHeight="1" x14ac:dyDescent="0.2">
      <c r="A21" s="292" t="s">
        <v>305</v>
      </c>
      <c r="B21" s="277" t="s">
        <v>760</v>
      </c>
      <c r="C21" s="292"/>
      <c r="D21" s="610" t="s">
        <v>704</v>
      </c>
      <c r="E21" s="449">
        <v>1441.1499999999996</v>
      </c>
      <c r="F21" s="804">
        <v>419</v>
      </c>
      <c r="G21" s="277"/>
      <c r="H21" s="790">
        <f t="shared" si="1"/>
        <v>419</v>
      </c>
      <c r="I21" s="325">
        <v>42623.380601851852</v>
      </c>
      <c r="J21" s="325">
        <v>42623.706018518518</v>
      </c>
      <c r="K21" s="826">
        <v>553610</v>
      </c>
      <c r="L21" s="277"/>
      <c r="M21" s="292" t="s">
        <v>466</v>
      </c>
      <c r="N21" s="292"/>
      <c r="O21" s="292" t="s">
        <v>466</v>
      </c>
    </row>
    <row r="22" spans="1:15" ht="20.25" hidden="1" customHeight="1" x14ac:dyDescent="0.2">
      <c r="A22" s="292" t="s">
        <v>305</v>
      </c>
      <c r="B22" s="277" t="s">
        <v>760</v>
      </c>
      <c r="C22" s="292"/>
      <c r="D22" s="610" t="s">
        <v>622</v>
      </c>
      <c r="E22" s="449">
        <v>285.7</v>
      </c>
      <c r="F22" s="804">
        <v>397</v>
      </c>
      <c r="G22" s="277"/>
      <c r="H22" s="790">
        <f t="shared" si="1"/>
        <v>397</v>
      </c>
      <c r="I22" s="325">
        <v>42623.721134259256</v>
      </c>
      <c r="J22" s="325">
        <v>42623.74622685185</v>
      </c>
      <c r="K22" s="277">
        <v>552973</v>
      </c>
      <c r="L22" s="277"/>
      <c r="M22" s="292" t="s">
        <v>466</v>
      </c>
      <c r="N22" s="292"/>
      <c r="O22" s="292" t="s">
        <v>466</v>
      </c>
    </row>
    <row r="24" spans="1:15" x14ac:dyDescent="0.2">
      <c r="E24" s="807">
        <f>SUM(E3:E23)</f>
        <v>9864.5400000000009</v>
      </c>
    </row>
  </sheetData>
  <autoFilter ref="A2:O22">
    <filterColumn colId="3">
      <filters>
        <filter val="Virness Trade S.A."/>
        <filter val="Virness Trade S.A.1"/>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11"/>
  <sheetViews>
    <sheetView workbookViewId="0">
      <selection activeCell="F40" sqref="F40"/>
    </sheetView>
  </sheetViews>
  <sheetFormatPr defaultRowHeight="12.75" x14ac:dyDescent="0.2"/>
  <cols>
    <col min="2" max="2" width="26.85546875" customWidth="1"/>
    <col min="4" max="4" width="48.85546875" customWidth="1"/>
    <col min="5" max="15" width="13.28515625" customWidth="1"/>
  </cols>
  <sheetData>
    <row r="1" spans="1:21" ht="13.5" thickBot="1" x14ac:dyDescent="0.25"/>
    <row r="2" spans="1:21" s="137" customFormat="1" ht="25.5" customHeight="1" x14ac:dyDescent="0.25">
      <c r="A2" s="321" t="s">
        <v>61</v>
      </c>
      <c r="B2" s="322" t="s">
        <v>18</v>
      </c>
      <c r="C2" s="322" t="s">
        <v>137</v>
      </c>
      <c r="D2" s="322" t="s">
        <v>62</v>
      </c>
      <c r="E2" s="322" t="s">
        <v>63</v>
      </c>
      <c r="F2" s="322" t="s">
        <v>151</v>
      </c>
      <c r="G2" s="322" t="s">
        <v>150</v>
      </c>
      <c r="H2" s="322" t="s">
        <v>71</v>
      </c>
      <c r="I2" s="322" t="s">
        <v>69</v>
      </c>
      <c r="J2" s="322" t="s">
        <v>68</v>
      </c>
      <c r="K2" s="322" t="s">
        <v>191</v>
      </c>
      <c r="L2" s="322" t="s">
        <v>190</v>
      </c>
      <c r="M2" s="320"/>
      <c r="N2" s="320"/>
      <c r="O2" s="320"/>
      <c r="U2" s="319"/>
    </row>
    <row r="3" spans="1:21" s="292" customFormat="1" ht="14.25" customHeight="1" x14ac:dyDescent="0.2">
      <c r="A3" s="292" t="s">
        <v>305</v>
      </c>
      <c r="B3" s="277" t="s">
        <v>143</v>
      </c>
      <c r="D3" s="610" t="s">
        <v>619</v>
      </c>
      <c r="E3" s="449">
        <v>612.30000000000007</v>
      </c>
      <c r="F3" s="829">
        <v>152</v>
      </c>
      <c r="G3" s="277"/>
      <c r="H3" s="324">
        <f>IF(G3="Y",F3/1.2,F3)</f>
        <v>152</v>
      </c>
      <c r="I3" s="325">
        <v>42621.459548611114</v>
      </c>
      <c r="J3" s="325">
        <v>42622.317847222221</v>
      </c>
      <c r="K3" s="828">
        <v>551128</v>
      </c>
      <c r="L3" s="277"/>
      <c r="M3" s="292" t="s">
        <v>466</v>
      </c>
      <c r="O3" s="292" t="s">
        <v>466</v>
      </c>
    </row>
    <row r="4" spans="1:21" s="292" customFormat="1" ht="14.25" customHeight="1" x14ac:dyDescent="0.2">
      <c r="A4" s="292" t="s">
        <v>305</v>
      </c>
      <c r="B4" s="277" t="s">
        <v>143</v>
      </c>
      <c r="D4" s="610" t="s">
        <v>845</v>
      </c>
      <c r="E4" s="449">
        <v>61.5</v>
      </c>
      <c r="F4" s="821">
        <v>152</v>
      </c>
      <c r="G4" s="277"/>
      <c r="H4" s="324">
        <f t="shared" ref="H4:H9" si="0">IF(G4="Y",F4/1.2,F4)</f>
        <v>152</v>
      </c>
      <c r="I4" s="325">
        <v>42622.315949074073</v>
      </c>
      <c r="J4" s="325">
        <v>42622.315949074073</v>
      </c>
      <c r="K4" s="824">
        <v>551772</v>
      </c>
      <c r="L4" s="277"/>
      <c r="M4" s="292" t="s">
        <v>466</v>
      </c>
      <c r="O4" s="292" t="s">
        <v>466</v>
      </c>
    </row>
    <row r="5" spans="1:21" s="292" customFormat="1" ht="14.25" customHeight="1" x14ac:dyDescent="0.2">
      <c r="A5" s="292" t="s">
        <v>305</v>
      </c>
      <c r="B5" s="277" t="s">
        <v>145</v>
      </c>
      <c r="D5" s="610" t="s">
        <v>818</v>
      </c>
      <c r="E5" s="449">
        <v>274.10000000000002</v>
      </c>
      <c r="F5" s="821">
        <v>139</v>
      </c>
      <c r="G5" s="277"/>
      <c r="H5" s="324">
        <f t="shared" si="0"/>
        <v>139</v>
      </c>
      <c r="I5" s="325">
        <v>42621.618136574078</v>
      </c>
      <c r="J5" s="325">
        <v>42621.619444444441</v>
      </c>
      <c r="K5" s="824">
        <v>553036</v>
      </c>
      <c r="L5" s="277"/>
      <c r="M5" s="292" t="s">
        <v>466</v>
      </c>
      <c r="O5" s="292" t="s">
        <v>466</v>
      </c>
    </row>
    <row r="6" spans="1:21" s="292" customFormat="1" ht="14.25" customHeight="1" x14ac:dyDescent="0.2">
      <c r="A6" s="292" t="s">
        <v>305</v>
      </c>
      <c r="B6" s="277" t="s">
        <v>145</v>
      </c>
      <c r="D6" s="843" t="s">
        <v>644</v>
      </c>
      <c r="E6" s="449">
        <v>273.05</v>
      </c>
      <c r="F6" s="804">
        <v>137</v>
      </c>
      <c r="G6" s="277"/>
      <c r="H6" s="324">
        <f t="shared" si="0"/>
        <v>137</v>
      </c>
      <c r="I6" s="325">
        <v>42621.619872685187</v>
      </c>
      <c r="J6" s="325">
        <v>42621.621099537035</v>
      </c>
      <c r="K6" s="826">
        <v>552518</v>
      </c>
      <c r="L6" s="277"/>
      <c r="M6" s="292" t="s">
        <v>466</v>
      </c>
      <c r="O6" s="292" t="s">
        <v>466</v>
      </c>
    </row>
    <row r="7" spans="1:21" s="292" customFormat="1" ht="14.25" customHeight="1" x14ac:dyDescent="0.2">
      <c r="A7" s="292" t="s">
        <v>305</v>
      </c>
      <c r="B7" s="277" t="s">
        <v>145</v>
      </c>
      <c r="D7" s="610" t="s">
        <v>888</v>
      </c>
      <c r="E7" s="449">
        <v>304.57</v>
      </c>
      <c r="F7" s="827">
        <v>142</v>
      </c>
      <c r="G7" s="277"/>
      <c r="H7" s="324">
        <f t="shared" si="0"/>
        <v>142</v>
      </c>
      <c r="I7" s="325">
        <v>42621.643449074072</v>
      </c>
      <c r="J7" s="325">
        <v>42621.764733796299</v>
      </c>
      <c r="K7" s="826">
        <v>553902</v>
      </c>
      <c r="L7" s="277"/>
      <c r="M7" s="292" t="s">
        <v>466</v>
      </c>
      <c r="O7" s="292" t="s">
        <v>466</v>
      </c>
    </row>
    <row r="8" spans="1:21" s="292" customFormat="1" ht="14.25" customHeight="1" x14ac:dyDescent="0.2">
      <c r="A8" s="292" t="s">
        <v>305</v>
      </c>
      <c r="B8" s="277" t="s">
        <v>204</v>
      </c>
      <c r="D8" s="610" t="s">
        <v>868</v>
      </c>
      <c r="E8" s="449">
        <v>191.2</v>
      </c>
      <c r="F8" s="827">
        <v>146</v>
      </c>
      <c r="G8" s="277"/>
      <c r="H8" s="790">
        <f t="shared" si="0"/>
        <v>146</v>
      </c>
      <c r="I8" s="325">
        <v>42622.25340277778</v>
      </c>
      <c r="J8" s="325">
        <v>42622.292847222219</v>
      </c>
      <c r="K8" s="826">
        <v>554029</v>
      </c>
      <c r="L8" s="277"/>
      <c r="M8" s="292" t="s">
        <v>466</v>
      </c>
      <c r="O8" s="292" t="s">
        <v>466</v>
      </c>
    </row>
    <row r="9" spans="1:21" s="292" customFormat="1" ht="14.25" customHeight="1" x14ac:dyDescent="0.2">
      <c r="A9" s="292" t="s">
        <v>305</v>
      </c>
      <c r="B9" s="277" t="s">
        <v>760</v>
      </c>
      <c r="D9" s="610" t="s">
        <v>704</v>
      </c>
      <c r="E9" s="449">
        <v>1739.0499999999997</v>
      </c>
      <c r="F9" s="830">
        <v>419</v>
      </c>
      <c r="G9" s="277"/>
      <c r="H9" s="790">
        <f t="shared" si="0"/>
        <v>419</v>
      </c>
      <c r="I9" s="325">
        <v>42621.513749999998</v>
      </c>
      <c r="J9" s="325">
        <v>42622.18959490741</v>
      </c>
      <c r="K9" s="826">
        <v>553610</v>
      </c>
      <c r="L9" s="277"/>
      <c r="M9" s="292" t="s">
        <v>466</v>
      </c>
      <c r="O9" s="292" t="s">
        <v>466</v>
      </c>
    </row>
    <row r="11" spans="1:21" x14ac:dyDescent="0.2">
      <c r="E11" s="807">
        <f>SUM(E3:E10)</f>
        <v>3455.7699999999995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U21"/>
  <sheetViews>
    <sheetView workbookViewId="0">
      <selection activeCell="E22" sqref="E22"/>
    </sheetView>
  </sheetViews>
  <sheetFormatPr defaultRowHeight="12.75" x14ac:dyDescent="0.2"/>
  <cols>
    <col min="1" max="1" width="15.7109375" customWidth="1"/>
    <col min="2" max="2" width="21.42578125" customWidth="1"/>
    <col min="4" max="4" width="66.28515625" customWidth="1"/>
    <col min="11" max="11" width="13.42578125" customWidth="1"/>
  </cols>
  <sheetData>
    <row r="1" spans="1:21" ht="13.5" thickBot="1" x14ac:dyDescent="0.25"/>
    <row r="2" spans="1:21" s="137" customFormat="1" ht="17.25" customHeight="1" x14ac:dyDescent="0.25">
      <c r="A2" s="321" t="s">
        <v>61</v>
      </c>
      <c r="B2" s="322" t="s">
        <v>18</v>
      </c>
      <c r="C2" s="322" t="s">
        <v>137</v>
      </c>
      <c r="D2" s="322" t="s">
        <v>62</v>
      </c>
      <c r="E2" s="322" t="s">
        <v>63</v>
      </c>
      <c r="F2" s="322" t="s">
        <v>151</v>
      </c>
      <c r="G2" s="322" t="s">
        <v>150</v>
      </c>
      <c r="H2" s="322" t="s">
        <v>71</v>
      </c>
      <c r="I2" s="322" t="s">
        <v>69</v>
      </c>
      <c r="J2" s="322" t="s">
        <v>68</v>
      </c>
      <c r="K2" s="322" t="s">
        <v>191</v>
      </c>
      <c r="L2" s="322" t="s">
        <v>190</v>
      </c>
      <c r="M2" s="320"/>
      <c r="N2" s="320"/>
      <c r="O2" s="320"/>
      <c r="U2" s="319"/>
    </row>
    <row r="3" spans="1:21" s="292" customFormat="1" ht="17.25" customHeight="1" x14ac:dyDescent="0.2">
      <c r="A3" s="835" t="s">
        <v>872</v>
      </c>
      <c r="B3" s="277" t="s">
        <v>143</v>
      </c>
      <c r="D3" s="610" t="s">
        <v>770</v>
      </c>
      <c r="E3" s="449">
        <v>1353.81</v>
      </c>
      <c r="F3" s="839">
        <v>152</v>
      </c>
      <c r="G3" s="277"/>
      <c r="H3" s="324">
        <f>IF(G3="Y",F3/1.2,F3)</f>
        <v>152</v>
      </c>
      <c r="I3" s="325">
        <v>42620</v>
      </c>
      <c r="J3" s="325">
        <v>42620</v>
      </c>
      <c r="K3" s="841">
        <v>553630</v>
      </c>
      <c r="L3" s="277"/>
    </row>
    <row r="4" spans="1:21" s="292" customFormat="1" ht="17.25" customHeight="1" x14ac:dyDescent="0.2">
      <c r="A4" s="835" t="s">
        <v>872</v>
      </c>
      <c r="B4" s="277" t="s">
        <v>143</v>
      </c>
      <c r="D4" s="610" t="s">
        <v>871</v>
      </c>
      <c r="E4" s="449">
        <v>69.61</v>
      </c>
      <c r="F4" s="838">
        <v>147</v>
      </c>
      <c r="G4" s="277"/>
      <c r="H4" s="324">
        <f t="shared" ref="H4" si="0">IF(G4="Y",F4/1.2,F4)</f>
        <v>147</v>
      </c>
      <c r="I4" s="325">
        <v>42620</v>
      </c>
      <c r="J4" s="325">
        <v>42620</v>
      </c>
      <c r="K4" s="837">
        <v>552825</v>
      </c>
      <c r="L4" s="277"/>
    </row>
    <row r="6" spans="1:21" x14ac:dyDescent="0.2">
      <c r="E6" s="807">
        <f>SUM(E3:E5)</f>
        <v>1423.4199999999998</v>
      </c>
    </row>
    <row r="10" spans="1:21" s="292" customFormat="1" ht="17.25" customHeight="1" x14ac:dyDescent="0.2">
      <c r="A10" s="292" t="s">
        <v>305</v>
      </c>
      <c r="B10" s="277" t="s">
        <v>143</v>
      </c>
      <c r="D10" s="610" t="s">
        <v>495</v>
      </c>
      <c r="E10" s="449">
        <v>340.35</v>
      </c>
      <c r="F10" s="804">
        <v>145</v>
      </c>
      <c r="G10" s="277"/>
      <c r="H10" s="324">
        <f t="shared" ref="H10:H19" si="1">IF(G10="Y",F10/1.2,F10)</f>
        <v>145</v>
      </c>
      <c r="I10" s="325">
        <v>42620.39875</v>
      </c>
      <c r="J10" s="325">
        <v>42620.401238425926</v>
      </c>
      <c r="K10" s="840">
        <v>553336</v>
      </c>
      <c r="L10" s="277"/>
    </row>
    <row r="11" spans="1:21" s="292" customFormat="1" ht="17.25" customHeight="1" x14ac:dyDescent="0.2">
      <c r="A11" s="292" t="s">
        <v>305</v>
      </c>
      <c r="B11" s="277" t="s">
        <v>143</v>
      </c>
      <c r="D11" s="610" t="s">
        <v>849</v>
      </c>
      <c r="E11" s="449">
        <v>119.54</v>
      </c>
      <c r="F11" s="821">
        <v>148</v>
      </c>
      <c r="G11" s="277"/>
      <c r="H11" s="324">
        <f t="shared" si="1"/>
        <v>148</v>
      </c>
      <c r="I11" s="325">
        <v>42620.484305555554</v>
      </c>
      <c r="J11" s="325">
        <v>42620.509166666663</v>
      </c>
      <c r="K11" s="837">
        <v>553496</v>
      </c>
      <c r="L11" s="277"/>
    </row>
    <row r="12" spans="1:21" s="292" customFormat="1" ht="17.25" customHeight="1" x14ac:dyDescent="0.2">
      <c r="A12" s="292" t="s">
        <v>305</v>
      </c>
      <c r="B12" s="277" t="s">
        <v>143</v>
      </c>
      <c r="D12" s="610" t="s">
        <v>900</v>
      </c>
      <c r="E12" s="449">
        <v>117.14000000000001</v>
      </c>
      <c r="F12" s="804">
        <v>149</v>
      </c>
      <c r="G12" s="277"/>
      <c r="H12" s="324">
        <f t="shared" si="1"/>
        <v>149</v>
      </c>
      <c r="I12" s="325">
        <v>42620.620868055557</v>
      </c>
      <c r="J12" s="325">
        <v>42621.072928240741</v>
      </c>
      <c r="K12" s="840">
        <v>553615</v>
      </c>
      <c r="L12" s="277"/>
    </row>
    <row r="13" spans="1:21" s="292" customFormat="1" ht="17.25" customHeight="1" x14ac:dyDescent="0.2">
      <c r="A13" s="292" t="s">
        <v>305</v>
      </c>
      <c r="B13" s="277" t="s">
        <v>143</v>
      </c>
      <c r="D13" s="610" t="s">
        <v>712</v>
      </c>
      <c r="E13" s="449">
        <v>950.14999999999986</v>
      </c>
      <c r="F13" s="804">
        <v>149</v>
      </c>
      <c r="G13" s="277"/>
      <c r="H13" s="790">
        <f t="shared" si="1"/>
        <v>149</v>
      </c>
      <c r="I13" s="325">
        <v>42621.045520833337</v>
      </c>
      <c r="J13" s="325">
        <v>42621.236620370371</v>
      </c>
      <c r="K13" s="840">
        <v>553450</v>
      </c>
      <c r="L13" s="277"/>
    </row>
    <row r="14" spans="1:21" s="292" customFormat="1" ht="17.25" customHeight="1" x14ac:dyDescent="0.2">
      <c r="A14" s="292" t="s">
        <v>305</v>
      </c>
      <c r="B14" s="277" t="s">
        <v>143</v>
      </c>
      <c r="D14" s="610" t="s">
        <v>901</v>
      </c>
      <c r="E14" s="449">
        <v>23.9</v>
      </c>
      <c r="F14" s="831">
        <v>142</v>
      </c>
      <c r="G14" s="277"/>
      <c r="H14" s="790">
        <f t="shared" si="1"/>
        <v>142</v>
      </c>
      <c r="I14" s="325">
        <v>42621.064664351848</v>
      </c>
      <c r="J14" s="325">
        <v>42621.064664351848</v>
      </c>
      <c r="K14" s="840">
        <v>553902</v>
      </c>
      <c r="L14" s="277"/>
    </row>
    <row r="15" spans="1:21" s="292" customFormat="1" ht="17.25" customHeight="1" x14ac:dyDescent="0.2">
      <c r="A15" s="292" t="s">
        <v>305</v>
      </c>
      <c r="B15" s="277" t="s">
        <v>145</v>
      </c>
      <c r="D15" s="610" t="s">
        <v>818</v>
      </c>
      <c r="E15" s="449">
        <v>197.35000000000002</v>
      </c>
      <c r="F15" s="817">
        <v>139</v>
      </c>
      <c r="G15" s="277"/>
      <c r="H15" s="790">
        <f t="shared" si="1"/>
        <v>139</v>
      </c>
      <c r="I15" s="325">
        <v>42621.23232638889</v>
      </c>
      <c r="J15" s="325">
        <v>42621.233564814815</v>
      </c>
      <c r="K15" s="837">
        <v>553036</v>
      </c>
      <c r="L15" s="277"/>
    </row>
    <row r="16" spans="1:21" s="292" customFormat="1" ht="17.25" customHeight="1" x14ac:dyDescent="0.2">
      <c r="A16" s="292" t="s">
        <v>305</v>
      </c>
      <c r="B16" s="277" t="s">
        <v>145</v>
      </c>
      <c r="D16" s="610" t="s">
        <v>888</v>
      </c>
      <c r="E16" s="449">
        <v>49.94</v>
      </c>
      <c r="F16" s="820">
        <v>142</v>
      </c>
      <c r="G16" s="277"/>
      <c r="H16" s="790">
        <f t="shared" si="1"/>
        <v>142</v>
      </c>
      <c r="I16" s="325">
        <v>42621.287164351852</v>
      </c>
      <c r="J16" s="325">
        <v>42621.310428240744</v>
      </c>
      <c r="K16" s="840">
        <v>553902</v>
      </c>
      <c r="L16" s="277"/>
    </row>
    <row r="17" spans="1:15" ht="17.25" customHeight="1" x14ac:dyDescent="0.2">
      <c r="A17" s="292" t="s">
        <v>305</v>
      </c>
      <c r="B17" s="277" t="s">
        <v>204</v>
      </c>
      <c r="C17" s="292"/>
      <c r="D17" s="610" t="s">
        <v>902</v>
      </c>
      <c r="E17" s="449">
        <v>46.22</v>
      </c>
      <c r="F17" s="811">
        <v>145.5</v>
      </c>
      <c r="G17" s="277"/>
      <c r="H17" s="790">
        <f t="shared" si="1"/>
        <v>145.5</v>
      </c>
      <c r="I17" s="325">
        <v>42621.028506944444</v>
      </c>
      <c r="J17" s="325">
        <v>42621.032280092593</v>
      </c>
      <c r="K17" s="840">
        <v>554029</v>
      </c>
      <c r="L17" s="277"/>
      <c r="M17" s="292"/>
      <c r="N17" s="292"/>
      <c r="O17" s="292"/>
    </row>
    <row r="18" spans="1:15" ht="17.25" customHeight="1" x14ac:dyDescent="0.2">
      <c r="A18" s="292" t="s">
        <v>305</v>
      </c>
      <c r="B18" s="277" t="s">
        <v>760</v>
      </c>
      <c r="C18" s="292"/>
      <c r="D18" s="610" t="s">
        <v>704</v>
      </c>
      <c r="E18" s="449">
        <v>1896.0999999999995</v>
      </c>
      <c r="F18" s="811">
        <v>419</v>
      </c>
      <c r="G18" s="277"/>
      <c r="H18" s="790">
        <f t="shared" si="1"/>
        <v>419</v>
      </c>
      <c r="I18" s="325">
        <v>42620.642604166664</v>
      </c>
      <c r="J18" s="325">
        <v>42621.324513888889</v>
      </c>
      <c r="K18" s="809">
        <v>553610</v>
      </c>
      <c r="L18" s="277"/>
      <c r="M18" s="292"/>
      <c r="N18" s="292"/>
      <c r="O18" s="292"/>
    </row>
    <row r="19" spans="1:15" ht="17.25" customHeight="1" x14ac:dyDescent="0.2">
      <c r="A19" s="292" t="s">
        <v>305</v>
      </c>
      <c r="B19" s="277" t="s">
        <v>204</v>
      </c>
      <c r="C19" s="292"/>
      <c r="D19" s="610" t="s">
        <v>868</v>
      </c>
      <c r="E19" s="449">
        <v>122.1</v>
      </c>
      <c r="F19" s="811">
        <v>145.5</v>
      </c>
      <c r="G19" s="277"/>
      <c r="H19" s="790">
        <f t="shared" si="1"/>
        <v>145.5</v>
      </c>
      <c r="I19" s="325">
        <v>42620.646770833337</v>
      </c>
      <c r="J19" s="325">
        <v>42621.023680555554</v>
      </c>
      <c r="K19" s="840">
        <v>553970</v>
      </c>
      <c r="L19" s="277"/>
      <c r="M19" s="292"/>
      <c r="N19" s="292"/>
      <c r="O19" s="292"/>
    </row>
    <row r="21" spans="1:15" x14ac:dyDescent="0.2">
      <c r="E21" s="807">
        <f>SUM(E10:E20)</f>
        <v>3862.7899999999995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S107"/>
  <sheetViews>
    <sheetView topLeftCell="C1" workbookViewId="0">
      <pane ySplit="10" topLeftCell="A11" activePane="bottomLeft" state="frozen"/>
      <selection pane="bottomLeft" activeCell="AH20" sqref="AH20"/>
    </sheetView>
  </sheetViews>
  <sheetFormatPr defaultColWidth="15.28515625" defaultRowHeight="12.75" x14ac:dyDescent="0.2"/>
  <cols>
    <col min="1" max="1" width="5.5703125" hidden="1" customWidth="1"/>
    <col min="2" max="2" width="5" hidden="1" customWidth="1"/>
    <col min="3" max="3" width="9.140625" customWidth="1"/>
    <col min="4" max="4" width="12.5703125" hidden="1" customWidth="1"/>
    <col min="5" max="5" width="24" hidden="1" customWidth="1"/>
    <col min="6" max="6" width="13.7109375" customWidth="1"/>
    <col min="7" max="7" width="10.85546875" bestFit="1" customWidth="1"/>
    <col min="8" max="8" width="19" hidden="1" customWidth="1"/>
    <col min="9" max="9" width="10.28515625" hidden="1" customWidth="1"/>
    <col min="10" max="10" width="16" hidden="1" customWidth="1"/>
    <col min="11" max="11" width="25.7109375" customWidth="1"/>
    <col min="12" max="12" width="12.85546875" customWidth="1"/>
    <col min="13" max="13" width="21.85546875" customWidth="1"/>
    <col min="14" max="14" width="8.7109375" customWidth="1"/>
    <col min="15" max="15" width="12.7109375" customWidth="1"/>
    <col min="16" max="16" width="9.5703125" customWidth="1"/>
    <col min="17" max="17" width="9.140625" bestFit="1" customWidth="1"/>
    <col min="18" max="18" width="12.85546875" customWidth="1"/>
    <col min="19" max="19" width="8" customWidth="1"/>
    <col min="20" max="20" width="17" hidden="1" customWidth="1"/>
    <col min="21" max="21" width="9.7109375" hidden="1" customWidth="1"/>
    <col min="22" max="22" width="10" hidden="1" customWidth="1"/>
    <col min="23" max="23" width="24" hidden="1" customWidth="1"/>
    <col min="24" max="24" width="11.140625" hidden="1" customWidth="1"/>
    <col min="25" max="25" width="12.140625" hidden="1" customWidth="1"/>
    <col min="26" max="26" width="0" hidden="1" customWidth="1"/>
    <col min="27" max="27" width="10.28515625" hidden="1" customWidth="1"/>
    <col min="28" max="28" width="9.140625" hidden="1" customWidth="1"/>
    <col min="29" max="30" width="9.140625" customWidth="1"/>
  </cols>
  <sheetData>
    <row r="1" spans="1:32" x14ac:dyDescent="0.2">
      <c r="A1" s="1">
        <v>1</v>
      </c>
      <c r="B1" s="1">
        <v>2</v>
      </c>
      <c r="C1" s="1">
        <v>3</v>
      </c>
      <c r="D1" s="1">
        <v>4</v>
      </c>
      <c r="E1" s="1">
        <v>5</v>
      </c>
      <c r="F1" s="1">
        <v>6</v>
      </c>
      <c r="G1" s="1">
        <v>7</v>
      </c>
      <c r="H1" s="1">
        <v>8</v>
      </c>
      <c r="I1" s="1">
        <v>9</v>
      </c>
      <c r="J1" s="1">
        <v>10</v>
      </c>
      <c r="K1" s="1">
        <v>11</v>
      </c>
      <c r="L1" s="1">
        <v>12</v>
      </c>
      <c r="M1" s="1">
        <v>13</v>
      </c>
      <c r="N1" s="1">
        <v>14</v>
      </c>
      <c r="O1" s="1">
        <v>15</v>
      </c>
      <c r="P1" s="1">
        <v>16</v>
      </c>
      <c r="Q1" s="1">
        <v>17</v>
      </c>
      <c r="R1" s="1">
        <v>18</v>
      </c>
      <c r="S1" s="1">
        <v>19</v>
      </c>
      <c r="T1" s="1">
        <v>20</v>
      </c>
      <c r="U1" s="1">
        <v>21</v>
      </c>
      <c r="V1" s="1">
        <v>22</v>
      </c>
      <c r="W1" s="1">
        <v>23</v>
      </c>
      <c r="X1" s="1">
        <v>24</v>
      </c>
      <c r="Y1" s="1">
        <v>25</v>
      </c>
      <c r="Z1" s="1">
        <v>26</v>
      </c>
      <c r="AA1" s="1">
        <v>27</v>
      </c>
      <c r="AB1" s="1">
        <v>28</v>
      </c>
      <c r="AC1" s="1">
        <v>29</v>
      </c>
      <c r="AD1" s="1">
        <v>30</v>
      </c>
    </row>
    <row r="2" spans="1:32" x14ac:dyDescent="0.2">
      <c r="O2" s="3" t="s">
        <v>67</v>
      </c>
      <c r="P2" s="3" t="s">
        <v>154</v>
      </c>
    </row>
    <row r="3" spans="1:32" x14ac:dyDescent="0.2">
      <c r="O3" s="341" t="s">
        <v>204</v>
      </c>
      <c r="P3" s="3"/>
    </row>
    <row r="4" spans="1:32" ht="13.5" thickBot="1" x14ac:dyDescent="0.25">
      <c r="O4" s="118" t="s">
        <v>142</v>
      </c>
      <c r="P4" s="12"/>
    </row>
    <row r="5" spans="1:32" ht="13.5" thickBot="1" x14ac:dyDescent="0.25">
      <c r="C5" s="48" t="s">
        <v>260</v>
      </c>
      <c r="H5" s="109" t="s">
        <v>225</v>
      </c>
      <c r="O5" s="118" t="s">
        <v>143</v>
      </c>
      <c r="P5" s="12"/>
    </row>
    <row r="6" spans="1:32" x14ac:dyDescent="0.2">
      <c r="C6" s="46"/>
      <c r="D6" s="46"/>
      <c r="O6" s="118" t="s">
        <v>145</v>
      </c>
      <c r="P6" s="12" t="s">
        <v>147</v>
      </c>
    </row>
    <row r="7" spans="1:32" x14ac:dyDescent="0.2">
      <c r="H7" s="198"/>
      <c r="O7" s="118" t="s">
        <v>145</v>
      </c>
      <c r="P7" s="12" t="s">
        <v>148</v>
      </c>
      <c r="R7">
        <v>1000</v>
      </c>
    </row>
    <row r="8" spans="1:32" ht="13.5" thickBot="1" x14ac:dyDescent="0.25">
      <c r="J8" s="5"/>
      <c r="K8" s="6"/>
      <c r="O8" s="118" t="s">
        <v>145</v>
      </c>
      <c r="P8" s="12" t="s">
        <v>149</v>
      </c>
    </row>
    <row r="9" spans="1:32" ht="33.75" x14ac:dyDescent="0.2">
      <c r="A9" s="387" t="s">
        <v>15</v>
      </c>
      <c r="B9" s="388" t="s">
        <v>231</v>
      </c>
      <c r="C9" s="388" t="s">
        <v>232</v>
      </c>
      <c r="D9" s="389" t="s">
        <v>233</v>
      </c>
      <c r="E9" s="390" t="s">
        <v>234</v>
      </c>
      <c r="F9" s="390" t="s">
        <v>235</v>
      </c>
      <c r="G9" s="389" t="s">
        <v>236</v>
      </c>
      <c r="H9" s="391" t="s">
        <v>237</v>
      </c>
      <c r="I9" s="342" t="s">
        <v>238</v>
      </c>
      <c r="J9" s="342" t="s">
        <v>164</v>
      </c>
      <c r="K9" s="352" t="s">
        <v>239</v>
      </c>
      <c r="L9" s="348" t="s">
        <v>240</v>
      </c>
      <c r="M9" s="349" t="s">
        <v>241</v>
      </c>
      <c r="N9" s="354" t="s">
        <v>242</v>
      </c>
      <c r="O9" s="898" t="s">
        <v>243</v>
      </c>
      <c r="P9" s="899"/>
      <c r="Q9" s="899"/>
      <c r="R9" s="420"/>
      <c r="S9" s="355" t="s">
        <v>244</v>
      </c>
      <c r="T9" s="355" t="s">
        <v>245</v>
      </c>
      <c r="U9" s="423" t="s">
        <v>246</v>
      </c>
      <c r="V9" s="342" t="s">
        <v>247</v>
      </c>
      <c r="W9" s="342" t="s">
        <v>248</v>
      </c>
      <c r="X9" s="344" t="s">
        <v>249</v>
      </c>
      <c r="Y9" s="343" t="s">
        <v>250</v>
      </c>
      <c r="Z9" s="342" t="s">
        <v>251</v>
      </c>
      <c r="AA9" s="342" t="s">
        <v>252</v>
      </c>
      <c r="AB9" s="342" t="s">
        <v>257</v>
      </c>
      <c r="AC9" s="382" t="s">
        <v>258</v>
      </c>
      <c r="AD9" s="383" t="s">
        <v>259</v>
      </c>
      <c r="AE9" s="4"/>
      <c r="AF9" s="4"/>
    </row>
    <row r="10" spans="1:32" ht="15.75" thickBot="1" x14ac:dyDescent="0.3">
      <c r="A10" s="392"/>
      <c r="B10" s="393"/>
      <c r="C10" s="393"/>
      <c r="D10" s="394"/>
      <c r="E10" s="395"/>
      <c r="F10" s="396"/>
      <c r="G10" s="394"/>
      <c r="H10" s="397"/>
      <c r="I10" s="345"/>
      <c r="J10" s="345"/>
      <c r="K10" s="353"/>
      <c r="L10" s="350"/>
      <c r="M10" s="351"/>
      <c r="N10" s="356" t="s">
        <v>255</v>
      </c>
      <c r="O10" s="358" t="s">
        <v>253</v>
      </c>
      <c r="P10" s="359" t="s">
        <v>254</v>
      </c>
      <c r="Q10" s="422" t="s">
        <v>255</v>
      </c>
      <c r="R10" s="421" t="s">
        <v>256</v>
      </c>
      <c r="S10" s="357"/>
      <c r="T10" s="357"/>
      <c r="U10" s="424"/>
      <c r="V10" s="345"/>
      <c r="W10" s="345"/>
      <c r="X10" s="347"/>
      <c r="Y10" s="346"/>
      <c r="Z10" s="345"/>
      <c r="AA10" s="345"/>
      <c r="AB10" s="384"/>
      <c r="AC10" s="385"/>
      <c r="AD10" s="386"/>
      <c r="AE10" s="4"/>
      <c r="AF10" s="4"/>
    </row>
    <row r="11" spans="1:32" s="458" customFormat="1" x14ac:dyDescent="0.2">
      <c r="A11" s="459"/>
      <c r="B11" s="459"/>
      <c r="C11" s="459" t="s">
        <v>17</v>
      </c>
      <c r="D11" s="466"/>
      <c r="E11" s="481"/>
      <c r="F11" s="687">
        <v>42598</v>
      </c>
      <c r="G11" s="693" t="s">
        <v>17</v>
      </c>
      <c r="H11" s="466"/>
      <c r="I11" s="459"/>
      <c r="J11" s="459"/>
      <c r="K11" s="689" t="s">
        <v>392</v>
      </c>
      <c r="L11" s="688">
        <v>103</v>
      </c>
      <c r="M11" s="689" t="s">
        <v>401</v>
      </c>
      <c r="N11" s="469"/>
      <c r="O11" s="118" t="s">
        <v>145</v>
      </c>
      <c r="P11" s="12" t="s">
        <v>149</v>
      </c>
      <c r="Q11" s="694">
        <v>16720</v>
      </c>
      <c r="R11" s="469"/>
      <c r="S11" s="469"/>
      <c r="T11" s="459"/>
      <c r="U11" s="469"/>
      <c r="V11" s="459"/>
      <c r="W11" s="467"/>
      <c r="X11" s="459"/>
      <c r="Y11" s="469"/>
      <c r="Z11" s="467"/>
      <c r="AA11" s="466"/>
      <c r="AB11" s="466"/>
      <c r="AC11" s="690">
        <v>12.4</v>
      </c>
      <c r="AD11" s="689">
        <v>0.4</v>
      </c>
    </row>
    <row r="12" spans="1:32" s="458" customFormat="1" x14ac:dyDescent="0.2">
      <c r="A12" s="459"/>
      <c r="B12" s="459"/>
      <c r="C12" s="459" t="s">
        <v>17</v>
      </c>
      <c r="D12" s="466"/>
      <c r="E12" s="481"/>
      <c r="F12" s="687">
        <v>42598</v>
      </c>
      <c r="G12" s="693" t="s">
        <v>17</v>
      </c>
      <c r="H12" s="466"/>
      <c r="I12" s="459"/>
      <c r="J12" s="459"/>
      <c r="K12" s="689" t="s">
        <v>392</v>
      </c>
      <c r="L12" s="688">
        <v>103</v>
      </c>
      <c r="M12" s="689" t="s">
        <v>401</v>
      </c>
      <c r="N12" s="469"/>
      <c r="O12" s="118" t="s">
        <v>145</v>
      </c>
      <c r="P12" s="12" t="s">
        <v>149</v>
      </c>
      <c r="Q12" s="694">
        <v>16120</v>
      </c>
      <c r="R12" s="469"/>
      <c r="S12" s="469"/>
      <c r="T12" s="459"/>
      <c r="U12" s="469"/>
      <c r="V12" s="459"/>
      <c r="W12" s="467"/>
      <c r="X12" s="459"/>
      <c r="Y12" s="469"/>
      <c r="Z12" s="467"/>
      <c r="AA12" s="466"/>
      <c r="AB12" s="466"/>
      <c r="AC12" s="690">
        <v>12.1</v>
      </c>
      <c r="AD12" s="689">
        <v>0.3</v>
      </c>
    </row>
    <row r="13" spans="1:32" s="458" customFormat="1" x14ac:dyDescent="0.2">
      <c r="A13" s="459"/>
      <c r="B13" s="459"/>
      <c r="C13" s="459" t="s">
        <v>17</v>
      </c>
      <c r="D13" s="466"/>
      <c r="E13" s="481"/>
      <c r="F13" s="687">
        <v>42598</v>
      </c>
      <c r="G13" s="693" t="s">
        <v>17</v>
      </c>
      <c r="H13" s="466"/>
      <c r="I13" s="459"/>
      <c r="J13" s="459"/>
      <c r="K13" s="689" t="s">
        <v>397</v>
      </c>
      <c r="L13" s="688" t="s">
        <v>402</v>
      </c>
      <c r="M13" s="689" t="s">
        <v>393</v>
      </c>
      <c r="N13" s="469"/>
      <c r="O13" s="118" t="s">
        <v>145</v>
      </c>
      <c r="P13" s="12" t="s">
        <v>149</v>
      </c>
      <c r="Q13" s="694">
        <v>38560</v>
      </c>
      <c r="R13" s="469"/>
      <c r="S13" s="469"/>
      <c r="T13" s="459"/>
      <c r="U13" s="469"/>
      <c r="V13" s="459"/>
      <c r="W13" s="467"/>
      <c r="X13" s="459"/>
      <c r="Y13" s="469"/>
      <c r="Z13" s="467"/>
      <c r="AA13" s="466"/>
      <c r="AB13" s="466"/>
      <c r="AC13" s="690">
        <v>12.7</v>
      </c>
      <c r="AD13" s="689">
        <v>0.02</v>
      </c>
    </row>
    <row r="14" spans="1:32" s="458" customFormat="1" x14ac:dyDescent="0.2">
      <c r="A14" s="459"/>
      <c r="B14" s="459"/>
      <c r="C14" s="459" t="s">
        <v>17</v>
      </c>
      <c r="D14" s="466"/>
      <c r="E14" s="481"/>
      <c r="F14" s="687">
        <v>42598</v>
      </c>
      <c r="G14" s="693" t="s">
        <v>17</v>
      </c>
      <c r="H14" s="466"/>
      <c r="I14" s="459"/>
      <c r="J14" s="459"/>
      <c r="K14" s="689" t="s">
        <v>397</v>
      </c>
      <c r="L14" s="688" t="s">
        <v>403</v>
      </c>
      <c r="M14" s="689" t="s">
        <v>395</v>
      </c>
      <c r="N14" s="469"/>
      <c r="O14" s="118" t="s">
        <v>145</v>
      </c>
      <c r="P14" s="12" t="s">
        <v>149</v>
      </c>
      <c r="Q14" s="694">
        <v>31440</v>
      </c>
      <c r="R14" s="634"/>
      <c r="S14" s="469"/>
      <c r="T14" s="459"/>
      <c r="U14" s="469"/>
      <c r="V14" s="459"/>
      <c r="W14" s="467"/>
      <c r="X14" s="459"/>
      <c r="Y14" s="469"/>
      <c r="Z14" s="467"/>
      <c r="AA14" s="466"/>
      <c r="AB14" s="466"/>
      <c r="AC14" s="690">
        <v>12.2</v>
      </c>
      <c r="AD14" s="689">
        <v>0.2</v>
      </c>
    </row>
    <row r="15" spans="1:32" s="458" customFormat="1" x14ac:dyDescent="0.2">
      <c r="A15" s="459"/>
      <c r="B15" s="459"/>
      <c r="C15" s="459" t="s">
        <v>17</v>
      </c>
      <c r="D15" s="466"/>
      <c r="E15" s="481"/>
      <c r="F15" s="687">
        <v>42598</v>
      </c>
      <c r="G15" s="693" t="s">
        <v>17</v>
      </c>
      <c r="H15" s="466"/>
      <c r="I15" s="459"/>
      <c r="J15" s="459"/>
      <c r="K15" s="689" t="s">
        <v>397</v>
      </c>
      <c r="L15" s="688" t="s">
        <v>404</v>
      </c>
      <c r="M15" s="689" t="s">
        <v>394</v>
      </c>
      <c r="N15" s="469"/>
      <c r="O15" s="118" t="s">
        <v>145</v>
      </c>
      <c r="P15" s="12" t="s">
        <v>149</v>
      </c>
      <c r="Q15" s="694">
        <v>35950</v>
      </c>
      <c r="R15" s="634"/>
      <c r="S15" s="469"/>
      <c r="T15" s="459"/>
      <c r="U15" s="469"/>
      <c r="V15" s="459"/>
      <c r="W15" s="467"/>
      <c r="X15" s="459"/>
      <c r="Y15" s="469"/>
      <c r="Z15" s="467"/>
      <c r="AA15" s="466"/>
      <c r="AB15" s="466"/>
      <c r="AC15" s="690">
        <v>12.9</v>
      </c>
      <c r="AD15" s="689">
        <v>0.04</v>
      </c>
    </row>
    <row r="16" spans="1:32" s="458" customFormat="1" x14ac:dyDescent="0.2">
      <c r="A16" s="459"/>
      <c r="B16" s="459"/>
      <c r="C16" s="459" t="s">
        <v>17</v>
      </c>
      <c r="D16" s="466"/>
      <c r="E16" s="481"/>
      <c r="F16" s="687">
        <v>42598</v>
      </c>
      <c r="G16" s="693" t="s">
        <v>17</v>
      </c>
      <c r="H16" s="466"/>
      <c r="I16" s="459"/>
      <c r="J16" s="459"/>
      <c r="K16" s="689" t="s">
        <v>396</v>
      </c>
      <c r="L16" s="688">
        <v>4504</v>
      </c>
      <c r="M16" s="689" t="s">
        <v>398</v>
      </c>
      <c r="N16" s="469"/>
      <c r="O16" s="118" t="s">
        <v>145</v>
      </c>
      <c r="P16" s="12" t="s">
        <v>149</v>
      </c>
      <c r="Q16" s="694">
        <v>19820</v>
      </c>
      <c r="R16" s="634"/>
      <c r="S16" s="469"/>
      <c r="T16" s="459"/>
      <c r="U16" s="469"/>
      <c r="V16" s="459"/>
      <c r="W16" s="467"/>
      <c r="X16" s="459"/>
      <c r="Y16" s="469"/>
      <c r="Z16" s="467"/>
      <c r="AA16" s="466"/>
      <c r="AB16" s="466"/>
      <c r="AC16" s="690">
        <v>11.6</v>
      </c>
      <c r="AD16" s="689">
        <v>0.2</v>
      </c>
    </row>
    <row r="17" spans="1:30" s="458" customFormat="1" x14ac:dyDescent="0.2">
      <c r="A17" s="459"/>
      <c r="B17" s="459"/>
      <c r="C17" s="459" t="s">
        <v>17</v>
      </c>
      <c r="D17" s="466"/>
      <c r="E17" s="481"/>
      <c r="F17" s="687">
        <v>42598</v>
      </c>
      <c r="G17" s="693" t="s">
        <v>17</v>
      </c>
      <c r="H17" s="466"/>
      <c r="I17" s="459"/>
      <c r="J17" s="459"/>
      <c r="K17" s="689" t="s">
        <v>396</v>
      </c>
      <c r="L17" s="688">
        <v>4504</v>
      </c>
      <c r="M17" s="689" t="s">
        <v>398</v>
      </c>
      <c r="N17" s="469"/>
      <c r="O17" s="118" t="s">
        <v>145</v>
      </c>
      <c r="P17" s="12" t="s">
        <v>149</v>
      </c>
      <c r="Q17" s="694">
        <v>23190</v>
      </c>
      <c r="R17" s="634"/>
      <c r="S17" s="469"/>
      <c r="T17" s="459"/>
      <c r="U17" s="469"/>
      <c r="V17" s="459"/>
      <c r="W17" s="467"/>
      <c r="X17" s="459"/>
      <c r="Y17" s="469"/>
      <c r="Z17" s="467"/>
      <c r="AA17" s="466"/>
      <c r="AB17" s="466"/>
      <c r="AC17" s="689">
        <v>11.6</v>
      </c>
      <c r="AD17" s="689">
        <v>0.2</v>
      </c>
    </row>
    <row r="18" spans="1:30" s="458" customFormat="1" x14ac:dyDescent="0.2">
      <c r="A18" s="459"/>
      <c r="B18" s="459"/>
      <c r="C18" s="459" t="s">
        <v>17</v>
      </c>
      <c r="D18" s="466"/>
      <c r="E18" s="481"/>
      <c r="F18" s="687">
        <v>42598</v>
      </c>
      <c r="G18" s="693" t="s">
        <v>17</v>
      </c>
      <c r="H18" s="466"/>
      <c r="I18" s="459"/>
      <c r="J18" s="459"/>
      <c r="K18" s="689" t="s">
        <v>396</v>
      </c>
      <c r="L18" s="688">
        <v>4507</v>
      </c>
      <c r="M18" s="689" t="s">
        <v>400</v>
      </c>
      <c r="N18" s="469"/>
      <c r="O18" s="118" t="s">
        <v>145</v>
      </c>
      <c r="P18" s="12" t="s">
        <v>149</v>
      </c>
      <c r="Q18" s="694">
        <v>20360</v>
      </c>
      <c r="R18" s="634"/>
      <c r="S18" s="469"/>
      <c r="T18" s="459"/>
      <c r="U18" s="469"/>
      <c r="V18" s="459"/>
      <c r="W18" s="467"/>
      <c r="X18" s="459"/>
      <c r="Y18" s="469"/>
      <c r="Z18" s="467"/>
      <c r="AA18" s="466"/>
      <c r="AB18" s="466"/>
      <c r="AC18" s="689">
        <v>12.5</v>
      </c>
      <c r="AD18" s="689">
        <v>0.4</v>
      </c>
    </row>
    <row r="19" spans="1:30" s="458" customFormat="1" x14ac:dyDescent="0.2">
      <c r="A19" s="459"/>
      <c r="B19" s="459"/>
      <c r="C19" s="459" t="s">
        <v>17</v>
      </c>
      <c r="D19" s="466"/>
      <c r="E19" s="481"/>
      <c r="F19" s="687">
        <v>42598</v>
      </c>
      <c r="G19" s="693" t="s">
        <v>17</v>
      </c>
      <c r="H19" s="459"/>
      <c r="I19" s="459"/>
      <c r="J19" s="459"/>
      <c r="K19" s="689" t="s">
        <v>396</v>
      </c>
      <c r="L19" s="688">
        <v>4507</v>
      </c>
      <c r="M19" s="689" t="s">
        <v>400</v>
      </c>
      <c r="N19" s="469"/>
      <c r="O19" s="118" t="s">
        <v>145</v>
      </c>
      <c r="P19" s="12" t="s">
        <v>149</v>
      </c>
      <c r="Q19" s="694">
        <v>25280</v>
      </c>
      <c r="R19" s="634"/>
      <c r="S19" s="469"/>
      <c r="T19" s="459"/>
      <c r="U19" s="469"/>
      <c r="V19" s="459"/>
      <c r="W19" s="467"/>
      <c r="X19" s="459"/>
      <c r="Y19" s="469"/>
      <c r="Z19" s="467"/>
      <c r="AA19" s="466"/>
      <c r="AB19" s="466"/>
      <c r="AC19" s="689">
        <v>12.5</v>
      </c>
      <c r="AD19" s="689">
        <v>0.4</v>
      </c>
    </row>
    <row r="20" spans="1:30" s="458" customFormat="1" x14ac:dyDescent="0.2">
      <c r="A20" s="459"/>
      <c r="B20" s="459"/>
      <c r="C20" s="459" t="s">
        <v>17</v>
      </c>
      <c r="D20" s="466"/>
      <c r="E20" s="481"/>
      <c r="F20" s="687">
        <v>42599</v>
      </c>
      <c r="G20" s="693" t="s">
        <v>17</v>
      </c>
      <c r="H20" s="459"/>
      <c r="I20" s="459"/>
      <c r="J20" s="459"/>
      <c r="K20" s="689" t="s">
        <v>396</v>
      </c>
      <c r="L20" s="688">
        <v>4506</v>
      </c>
      <c r="M20" s="689" t="s">
        <v>399</v>
      </c>
      <c r="N20" s="469"/>
      <c r="O20" s="118" t="s">
        <v>145</v>
      </c>
      <c r="P20" s="12" t="s">
        <v>149</v>
      </c>
      <c r="Q20" s="694">
        <v>21630</v>
      </c>
      <c r="R20" s="634"/>
      <c r="S20" s="469"/>
      <c r="T20" s="459"/>
      <c r="U20" s="469"/>
      <c r="V20" s="459"/>
      <c r="W20" s="467"/>
      <c r="X20" s="459"/>
      <c r="Y20" s="469"/>
      <c r="Z20" s="467"/>
      <c r="AA20" s="466"/>
      <c r="AB20" s="466"/>
      <c r="AC20" s="689">
        <v>11.9</v>
      </c>
      <c r="AD20" s="689">
        <v>0.1</v>
      </c>
    </row>
    <row r="21" spans="1:30" s="458" customFormat="1" x14ac:dyDescent="0.2">
      <c r="A21" s="459"/>
      <c r="B21" s="459"/>
      <c r="C21" s="459" t="s">
        <v>17</v>
      </c>
      <c r="D21" s="466"/>
      <c r="E21" s="481"/>
      <c r="F21" s="687">
        <v>42599</v>
      </c>
      <c r="G21" s="693" t="s">
        <v>17</v>
      </c>
      <c r="H21" s="459"/>
      <c r="I21" s="459"/>
      <c r="J21" s="459"/>
      <c r="K21" s="689" t="s">
        <v>396</v>
      </c>
      <c r="L21" s="688">
        <v>4506</v>
      </c>
      <c r="M21" s="689" t="s">
        <v>399</v>
      </c>
      <c r="N21" s="469"/>
      <c r="O21" s="118" t="s">
        <v>145</v>
      </c>
      <c r="P21" s="12" t="s">
        <v>149</v>
      </c>
      <c r="Q21" s="694">
        <v>27080</v>
      </c>
      <c r="R21" s="634"/>
      <c r="S21" s="469"/>
      <c r="T21" s="459"/>
      <c r="U21" s="469"/>
      <c r="V21" s="459"/>
      <c r="W21" s="467"/>
      <c r="X21" s="459"/>
      <c r="Y21" s="469"/>
      <c r="Z21" s="467"/>
      <c r="AA21" s="466"/>
      <c r="AB21" s="466"/>
      <c r="AC21" s="689">
        <v>11.9</v>
      </c>
      <c r="AD21" s="689">
        <v>0.1</v>
      </c>
    </row>
    <row r="22" spans="1:30" s="458" customFormat="1" x14ac:dyDescent="0.2">
      <c r="A22" s="459"/>
      <c r="B22" s="459"/>
      <c r="C22" s="459"/>
      <c r="D22" s="466"/>
      <c r="E22" s="481"/>
      <c r="F22" s="691"/>
      <c r="G22" s="693"/>
      <c r="H22" s="459"/>
      <c r="I22" s="459"/>
      <c r="J22" s="459"/>
      <c r="K22" s="692"/>
      <c r="L22" s="693"/>
      <c r="M22" s="692"/>
      <c r="N22" s="469"/>
      <c r="O22" s="118"/>
      <c r="P22" s="12"/>
      <c r="Q22" s="694"/>
      <c r="R22" s="634"/>
      <c r="S22" s="469"/>
      <c r="T22" s="459"/>
      <c r="U22" s="469"/>
      <c r="V22" s="459"/>
      <c r="W22" s="467"/>
      <c r="X22" s="459"/>
      <c r="Y22" s="469"/>
      <c r="Z22" s="467"/>
      <c r="AA22" s="466"/>
      <c r="AB22" s="466"/>
      <c r="AC22" s="695"/>
      <c r="AD22" s="689"/>
    </row>
    <row r="23" spans="1:30" s="458" customFormat="1" x14ac:dyDescent="0.2">
      <c r="A23" s="459"/>
      <c r="B23" s="459"/>
      <c r="C23" s="459"/>
      <c r="D23" s="466"/>
      <c r="E23" s="481"/>
      <c r="F23" s="691"/>
      <c r="G23" s="693"/>
      <c r="H23" s="459"/>
      <c r="I23" s="459"/>
      <c r="J23" s="459"/>
      <c r="K23" s="692"/>
      <c r="L23" s="693"/>
      <c r="M23" s="692"/>
      <c r="N23" s="469"/>
      <c r="O23" s="118"/>
      <c r="P23" s="12"/>
      <c r="Q23" s="694"/>
      <c r="R23" s="634"/>
      <c r="S23" s="469"/>
      <c r="T23" s="459"/>
      <c r="U23" s="469"/>
      <c r="V23" s="459"/>
      <c r="W23" s="467"/>
      <c r="X23" s="459"/>
      <c r="Y23" s="469"/>
      <c r="Z23" s="467"/>
      <c r="AA23" s="466"/>
      <c r="AB23" s="466"/>
      <c r="AC23" s="695"/>
      <c r="AD23" s="689"/>
    </row>
    <row r="24" spans="1:30" s="458" customFormat="1" x14ac:dyDescent="0.2">
      <c r="A24" s="459"/>
      <c r="B24" s="459"/>
      <c r="C24" s="459"/>
      <c r="D24" s="466"/>
      <c r="E24" s="481"/>
      <c r="F24" s="691"/>
      <c r="G24" s="693"/>
      <c r="H24" s="459"/>
      <c r="I24" s="459"/>
      <c r="J24" s="459"/>
      <c r="K24" s="692"/>
      <c r="L24" s="693"/>
      <c r="M24" s="692"/>
      <c r="N24" s="469"/>
      <c r="O24" s="118"/>
      <c r="P24" s="12"/>
      <c r="Q24" s="694"/>
      <c r="R24" s="634"/>
      <c r="S24" s="469"/>
      <c r="T24" s="459"/>
      <c r="U24" s="469"/>
      <c r="V24" s="459"/>
      <c r="W24" s="467"/>
      <c r="X24" s="459"/>
      <c r="Y24" s="469"/>
      <c r="Z24" s="467"/>
      <c r="AA24" s="466"/>
      <c r="AB24" s="466"/>
      <c r="AC24" s="695"/>
      <c r="AD24" s="689"/>
    </row>
    <row r="25" spans="1:30" s="458" customFormat="1" x14ac:dyDescent="0.2">
      <c r="A25" s="459"/>
      <c r="B25" s="459"/>
      <c r="C25" s="459"/>
      <c r="D25" s="466"/>
      <c r="E25" s="481"/>
      <c r="F25" s="691"/>
      <c r="G25" s="693"/>
      <c r="H25" s="459"/>
      <c r="I25" s="459"/>
      <c r="J25" s="459"/>
      <c r="K25" s="692"/>
      <c r="L25" s="693"/>
      <c r="M25" s="692"/>
      <c r="N25" s="469"/>
      <c r="O25" s="118"/>
      <c r="P25" s="12"/>
      <c r="Q25" s="694"/>
      <c r="R25" s="634"/>
      <c r="S25" s="469"/>
      <c r="T25" s="459"/>
      <c r="U25" s="469"/>
      <c r="V25" s="459"/>
      <c r="W25" s="467"/>
      <c r="X25" s="459"/>
      <c r="Y25" s="469"/>
      <c r="Z25" s="467"/>
      <c r="AA25" s="466"/>
      <c r="AB25" s="466"/>
      <c r="AC25" s="695"/>
      <c r="AD25" s="689"/>
    </row>
    <row r="26" spans="1:30" s="458" customFormat="1" x14ac:dyDescent="0.2">
      <c r="A26" s="459"/>
      <c r="B26" s="459"/>
      <c r="C26" s="459"/>
      <c r="D26" s="466"/>
      <c r="E26" s="481"/>
      <c r="F26" s="691"/>
      <c r="G26" s="693"/>
      <c r="H26" s="459"/>
      <c r="I26" s="459"/>
      <c r="J26" s="459"/>
      <c r="K26" s="692"/>
      <c r="L26" s="693"/>
      <c r="M26" s="692"/>
      <c r="N26" s="469"/>
      <c r="O26" s="118"/>
      <c r="P26" s="12"/>
      <c r="Q26" s="694"/>
      <c r="R26" s="634"/>
      <c r="S26" s="469"/>
      <c r="T26" s="459"/>
      <c r="U26" s="469"/>
      <c r="V26" s="459"/>
      <c r="W26" s="467"/>
      <c r="X26" s="459"/>
      <c r="Y26" s="469"/>
      <c r="Z26" s="467"/>
      <c r="AA26" s="466"/>
      <c r="AB26" s="466"/>
      <c r="AC26" s="695"/>
      <c r="AD26" s="689"/>
    </row>
    <row r="27" spans="1:30" s="458" customFormat="1" x14ac:dyDescent="0.2">
      <c r="A27" s="459"/>
      <c r="B27" s="459"/>
      <c r="C27" s="459"/>
      <c r="D27" s="466"/>
      <c r="E27" s="481"/>
      <c r="F27" s="691"/>
      <c r="G27" s="693"/>
      <c r="H27" s="459"/>
      <c r="I27" s="459"/>
      <c r="J27" s="459"/>
      <c r="K27" s="692"/>
      <c r="L27" s="693"/>
      <c r="M27" s="692"/>
      <c r="N27" s="469"/>
      <c r="O27" s="118"/>
      <c r="P27" s="12"/>
      <c r="Q27" s="694"/>
      <c r="R27" s="634"/>
      <c r="S27" s="469"/>
      <c r="T27" s="459"/>
      <c r="U27" s="469"/>
      <c r="V27" s="459"/>
      <c r="W27" s="467"/>
      <c r="X27" s="459"/>
      <c r="Y27" s="469"/>
      <c r="Z27" s="467"/>
      <c r="AA27" s="466"/>
      <c r="AB27" s="466"/>
      <c r="AC27" s="695"/>
      <c r="AD27" s="689"/>
    </row>
    <row r="28" spans="1:30" s="458" customFormat="1" x14ac:dyDescent="0.2">
      <c r="A28" s="459"/>
      <c r="B28" s="459"/>
      <c r="C28" s="459"/>
      <c r="D28" s="466"/>
      <c r="E28" s="481"/>
      <c r="F28" s="691"/>
      <c r="G28" s="693"/>
      <c r="H28" s="459"/>
      <c r="I28" s="459"/>
      <c r="J28" s="459"/>
      <c r="K28" s="692"/>
      <c r="L28" s="693"/>
      <c r="M28" s="692"/>
      <c r="N28" s="469"/>
      <c r="O28" s="118"/>
      <c r="P28" s="12"/>
      <c r="Q28" s="694"/>
      <c r="R28" s="634"/>
      <c r="S28" s="469"/>
      <c r="T28" s="459"/>
      <c r="U28" s="469"/>
      <c r="V28" s="459"/>
      <c r="W28" s="467"/>
      <c r="X28" s="459"/>
      <c r="Y28" s="469"/>
      <c r="Z28" s="467"/>
      <c r="AA28" s="466"/>
      <c r="AB28" s="466"/>
      <c r="AC28" s="695"/>
      <c r="AD28" s="689"/>
    </row>
    <row r="29" spans="1:30" s="458" customFormat="1" x14ac:dyDescent="0.2">
      <c r="A29" s="459"/>
      <c r="B29" s="459"/>
      <c r="C29" s="459"/>
      <c r="D29" s="466"/>
      <c r="E29" s="481"/>
      <c r="F29" s="691"/>
      <c r="G29" s="693"/>
      <c r="H29" s="459"/>
      <c r="I29" s="459"/>
      <c r="J29" s="459"/>
      <c r="K29" s="692"/>
      <c r="L29" s="693"/>
      <c r="M29" s="692"/>
      <c r="N29" s="469"/>
      <c r="O29" s="118"/>
      <c r="P29" s="12"/>
      <c r="Q29" s="694"/>
      <c r="R29" s="634"/>
      <c r="S29" s="469"/>
      <c r="T29" s="459"/>
      <c r="U29" s="469"/>
      <c r="V29" s="459"/>
      <c r="W29" s="467"/>
      <c r="X29" s="459"/>
      <c r="Y29" s="469"/>
      <c r="Z29" s="467"/>
      <c r="AA29" s="466"/>
      <c r="AB29" s="466"/>
      <c r="AC29" s="695"/>
      <c r="AD29" s="689"/>
    </row>
    <row r="30" spans="1:30" s="458" customFormat="1" x14ac:dyDescent="0.2">
      <c r="A30" s="459"/>
      <c r="B30" s="459"/>
      <c r="C30" s="459"/>
      <c r="D30" s="466"/>
      <c r="E30" s="481"/>
      <c r="F30" s="691"/>
      <c r="G30" s="693"/>
      <c r="H30" s="459"/>
      <c r="I30" s="459"/>
      <c r="J30" s="459"/>
      <c r="K30" s="692"/>
      <c r="L30" s="693"/>
      <c r="M30" s="692"/>
      <c r="N30" s="469"/>
      <c r="O30" s="118"/>
      <c r="P30" s="12"/>
      <c r="Q30" s="694"/>
      <c r="R30" s="634"/>
      <c r="S30" s="469"/>
      <c r="T30" s="459"/>
      <c r="U30" s="469"/>
      <c r="V30" s="459"/>
      <c r="W30" s="467"/>
      <c r="X30" s="459"/>
      <c r="Y30" s="469"/>
      <c r="Z30" s="467"/>
      <c r="AA30" s="466"/>
      <c r="AB30" s="466"/>
      <c r="AC30" s="695"/>
      <c r="AD30" s="689"/>
    </row>
    <row r="31" spans="1:30" s="458" customFormat="1" x14ac:dyDescent="0.2">
      <c r="A31" s="459"/>
      <c r="B31" s="459"/>
      <c r="C31" s="459"/>
      <c r="D31" s="466"/>
      <c r="E31" s="481"/>
      <c r="F31" s="691"/>
      <c r="G31" s="693"/>
      <c r="H31" s="459"/>
      <c r="I31" s="459"/>
      <c r="J31" s="459"/>
      <c r="K31" s="692"/>
      <c r="L31" s="693"/>
      <c r="M31" s="692"/>
      <c r="N31" s="469"/>
      <c r="O31" s="118"/>
      <c r="P31" s="12"/>
      <c r="Q31" s="694"/>
      <c r="R31" s="634"/>
      <c r="S31" s="469"/>
      <c r="T31" s="459"/>
      <c r="U31" s="469"/>
      <c r="V31" s="459"/>
      <c r="W31" s="467"/>
      <c r="X31" s="459"/>
      <c r="Y31" s="469"/>
      <c r="Z31" s="467"/>
      <c r="AA31" s="466"/>
      <c r="AB31" s="466"/>
      <c r="AC31" s="695"/>
      <c r="AD31" s="689"/>
    </row>
    <row r="32" spans="1:30" s="458" customFormat="1" x14ac:dyDescent="0.2">
      <c r="A32" s="459"/>
      <c r="B32" s="459"/>
      <c r="C32" s="459"/>
      <c r="D32" s="466"/>
      <c r="E32" s="481"/>
      <c r="F32" s="691"/>
      <c r="G32" s="693"/>
      <c r="H32" s="459"/>
      <c r="I32" s="459"/>
      <c r="J32" s="459"/>
      <c r="K32" s="692"/>
      <c r="L32" s="693"/>
      <c r="M32" s="692"/>
      <c r="N32" s="469"/>
      <c r="O32" s="118"/>
      <c r="P32" s="12"/>
      <c r="Q32" s="694"/>
      <c r="R32" s="634"/>
      <c r="S32" s="469"/>
      <c r="T32" s="459"/>
      <c r="U32" s="469"/>
      <c r="V32" s="459"/>
      <c r="W32" s="467"/>
      <c r="X32" s="459"/>
      <c r="Y32" s="469"/>
      <c r="Z32" s="467"/>
      <c r="AA32" s="466"/>
      <c r="AB32" s="466"/>
      <c r="AC32" s="695"/>
      <c r="AD32" s="689"/>
    </row>
    <row r="33" spans="1:30" s="458" customFormat="1" x14ac:dyDescent="0.2">
      <c r="A33" s="459"/>
      <c r="B33" s="459"/>
      <c r="C33" s="459"/>
      <c r="D33" s="466"/>
      <c r="E33" s="481"/>
      <c r="F33" s="691"/>
      <c r="G33" s="459"/>
      <c r="H33" s="459"/>
      <c r="I33" s="459"/>
      <c r="J33" s="459"/>
      <c r="K33" s="692"/>
      <c r="L33" s="693"/>
      <c r="M33" s="692"/>
      <c r="N33" s="469"/>
      <c r="O33" s="118"/>
      <c r="P33" s="12"/>
      <c r="Q33" s="694"/>
      <c r="R33" s="634"/>
      <c r="S33" s="469"/>
      <c r="T33" s="459"/>
      <c r="U33" s="469"/>
      <c r="V33" s="459"/>
      <c r="W33" s="467"/>
      <c r="X33" s="459"/>
      <c r="Y33" s="469"/>
      <c r="Z33" s="467"/>
      <c r="AA33" s="466"/>
      <c r="AB33" s="466"/>
      <c r="AC33" s="695"/>
      <c r="AD33" s="689"/>
    </row>
    <row r="34" spans="1:30" s="458" customFormat="1" x14ac:dyDescent="0.2">
      <c r="A34" s="459"/>
      <c r="B34" s="459"/>
      <c r="C34" s="459"/>
      <c r="D34" s="466"/>
      <c r="E34" s="481"/>
      <c r="F34" s="691"/>
      <c r="G34" s="459"/>
      <c r="H34" s="459"/>
      <c r="I34" s="459"/>
      <c r="J34" s="459"/>
      <c r="K34" s="692"/>
      <c r="L34" s="693"/>
      <c r="M34" s="692"/>
      <c r="N34" s="469"/>
      <c r="O34" s="118"/>
      <c r="P34" s="12"/>
      <c r="Q34" s="694"/>
      <c r="R34" s="634"/>
      <c r="S34" s="469"/>
      <c r="T34" s="459"/>
      <c r="U34" s="469"/>
      <c r="V34" s="459"/>
      <c r="W34" s="467"/>
      <c r="X34" s="459"/>
      <c r="Y34" s="469"/>
      <c r="Z34" s="467"/>
      <c r="AA34" s="466"/>
      <c r="AB34" s="466"/>
      <c r="AC34" s="695"/>
      <c r="AD34" s="689"/>
    </row>
    <row r="35" spans="1:30" s="458" customFormat="1" x14ac:dyDescent="0.2">
      <c r="A35" s="459"/>
      <c r="B35" s="459"/>
      <c r="C35" s="459"/>
      <c r="D35" s="466"/>
      <c r="E35" s="481"/>
      <c r="F35" s="691"/>
      <c r="G35" s="459"/>
      <c r="H35" s="459"/>
      <c r="I35" s="459"/>
      <c r="J35" s="459"/>
      <c r="K35" s="692"/>
      <c r="L35" s="693"/>
      <c r="M35" s="692"/>
      <c r="N35" s="469"/>
      <c r="O35" s="118"/>
      <c r="P35" s="12"/>
      <c r="Q35" s="694"/>
      <c r="R35" s="634"/>
      <c r="S35" s="469"/>
      <c r="T35" s="459"/>
      <c r="U35" s="469"/>
      <c r="V35" s="459"/>
      <c r="W35" s="467"/>
      <c r="X35" s="459"/>
      <c r="Y35" s="469"/>
      <c r="Z35" s="467"/>
      <c r="AA35" s="466"/>
      <c r="AB35" s="466"/>
      <c r="AC35" s="695"/>
      <c r="AD35" s="689"/>
    </row>
    <row r="36" spans="1:30" s="458" customFormat="1" x14ac:dyDescent="0.2">
      <c r="A36" s="459"/>
      <c r="B36" s="459"/>
      <c r="C36" s="459"/>
      <c r="D36" s="466"/>
      <c r="E36" s="481"/>
      <c r="F36" s="691"/>
      <c r="G36" s="459"/>
      <c r="H36" s="459"/>
      <c r="I36" s="459"/>
      <c r="J36" s="459"/>
      <c r="K36" s="692"/>
      <c r="L36" s="693"/>
      <c r="M36" s="692"/>
      <c r="N36" s="469"/>
      <c r="O36" s="118"/>
      <c r="P36" s="12"/>
      <c r="Q36" s="694"/>
      <c r="R36" s="634"/>
      <c r="S36" s="469"/>
      <c r="T36" s="459"/>
      <c r="U36" s="469"/>
      <c r="V36" s="459"/>
      <c r="W36" s="467"/>
      <c r="X36" s="459"/>
      <c r="Y36" s="469"/>
      <c r="Z36" s="467"/>
      <c r="AA36" s="466"/>
      <c r="AB36" s="466"/>
      <c r="AC36" s="695"/>
      <c r="AD36" s="689"/>
    </row>
    <row r="37" spans="1:30" s="458" customFormat="1" ht="15" x14ac:dyDescent="0.2">
      <c r="A37" s="459"/>
      <c r="B37" s="459"/>
      <c r="C37" s="459"/>
      <c r="D37" s="466"/>
      <c r="E37" s="481"/>
      <c r="F37" s="645"/>
      <c r="G37" s="459"/>
      <c r="H37" s="459"/>
      <c r="I37" s="459"/>
      <c r="J37" s="459"/>
      <c r="K37" s="489"/>
      <c r="L37" s="490" t="s">
        <v>20</v>
      </c>
      <c r="M37" s="490" t="s">
        <v>20</v>
      </c>
      <c r="N37" s="469"/>
      <c r="O37" s="469"/>
      <c r="P37" s="469"/>
      <c r="Q37" s="653"/>
      <c r="R37" s="634"/>
      <c r="S37" s="469"/>
      <c r="T37" s="459"/>
      <c r="U37" s="469"/>
      <c r="V37" s="459"/>
      <c r="W37" s="467"/>
      <c r="X37" s="459"/>
      <c r="Y37" s="469"/>
      <c r="Z37" s="467"/>
      <c r="AA37" s="466"/>
      <c r="AB37" s="466"/>
      <c r="AC37" s="466"/>
    </row>
    <row r="38" spans="1:30" s="458" customFormat="1" ht="12" x14ac:dyDescent="0.2">
      <c r="A38" s="459"/>
      <c r="B38" s="459"/>
      <c r="C38" s="459"/>
      <c r="D38" s="466"/>
      <c r="E38" s="481"/>
      <c r="F38" s="633"/>
      <c r="G38" s="459"/>
      <c r="H38" s="459"/>
      <c r="I38" s="459"/>
      <c r="J38" s="459"/>
      <c r="K38" s="468"/>
      <c r="L38" s="631" t="s">
        <v>20</v>
      </c>
      <c r="M38" s="632"/>
      <c r="N38" s="469"/>
      <c r="O38" s="469"/>
      <c r="P38" s="469"/>
      <c r="Q38" s="469"/>
      <c r="R38" s="634"/>
      <c r="S38" s="469"/>
      <c r="T38" s="459"/>
      <c r="U38" s="469"/>
      <c r="V38" s="459"/>
      <c r="W38" s="467"/>
      <c r="X38" s="459"/>
      <c r="Y38" s="469"/>
      <c r="Z38" s="467"/>
      <c r="AA38" s="466"/>
      <c r="AB38" s="466"/>
      <c r="AC38" s="466"/>
    </row>
    <row r="39" spans="1:30" s="458" customFormat="1" ht="12" x14ac:dyDescent="0.2">
      <c r="A39" s="459"/>
      <c r="B39" s="459"/>
      <c r="C39" s="459"/>
      <c r="D39" s="466"/>
      <c r="E39" s="481"/>
      <c r="F39" s="633"/>
      <c r="G39" s="459"/>
      <c r="H39" s="459"/>
      <c r="I39" s="459"/>
      <c r="J39" s="459"/>
      <c r="K39" s="468"/>
      <c r="L39" s="631" t="s">
        <v>20</v>
      </c>
      <c r="M39" s="632"/>
      <c r="N39" s="469"/>
      <c r="O39" s="469"/>
      <c r="P39" s="469"/>
      <c r="Q39" s="469"/>
      <c r="R39" s="634"/>
      <c r="S39" s="469"/>
      <c r="T39" s="459"/>
      <c r="U39" s="469"/>
      <c r="V39" s="459"/>
      <c r="W39" s="467"/>
      <c r="X39" s="459"/>
      <c r="Y39" s="469"/>
      <c r="Z39" s="467"/>
      <c r="AA39" s="466"/>
      <c r="AB39" s="466"/>
      <c r="AC39" s="466"/>
    </row>
    <row r="40" spans="1:30" s="458" customFormat="1" ht="12" x14ac:dyDescent="0.2">
      <c r="A40" s="459"/>
      <c r="B40" s="459"/>
      <c r="C40" s="459"/>
      <c r="D40" s="466"/>
      <c r="E40" s="481"/>
      <c r="F40" s="633"/>
      <c r="G40" s="459"/>
      <c r="H40" s="459"/>
      <c r="I40" s="459"/>
      <c r="J40" s="459"/>
      <c r="K40" s="468"/>
      <c r="L40" s="631" t="s">
        <v>20</v>
      </c>
      <c r="M40" s="632"/>
      <c r="N40" s="469"/>
      <c r="O40" s="469"/>
      <c r="P40" s="469"/>
      <c r="Q40" s="469"/>
      <c r="R40" s="634"/>
      <c r="S40" s="469"/>
      <c r="T40" s="459"/>
      <c r="U40" s="469"/>
      <c r="V40" s="459"/>
      <c r="W40" s="467"/>
      <c r="X40" s="459"/>
      <c r="Y40" s="469"/>
      <c r="Z40" s="467"/>
      <c r="AA40" s="466"/>
      <c r="AB40" s="466"/>
      <c r="AC40" s="466"/>
    </row>
    <row r="41" spans="1:30" s="458" customFormat="1" ht="12" x14ac:dyDescent="0.2">
      <c r="A41" s="459"/>
      <c r="B41" s="459"/>
      <c r="C41" s="459"/>
      <c r="D41" s="466"/>
      <c r="E41" s="481"/>
      <c r="F41" s="633"/>
      <c r="G41" s="459"/>
      <c r="H41" s="459"/>
      <c r="I41" s="459"/>
      <c r="J41" s="459"/>
      <c r="K41" s="468"/>
      <c r="L41" s="631" t="s">
        <v>20</v>
      </c>
      <c r="M41" s="632"/>
      <c r="N41" s="469"/>
      <c r="O41" s="469"/>
      <c r="P41" s="469"/>
      <c r="Q41" s="469"/>
      <c r="R41" s="634"/>
      <c r="S41" s="469"/>
      <c r="T41" s="459"/>
      <c r="U41" s="469"/>
      <c r="V41" s="459"/>
      <c r="W41" s="467"/>
      <c r="X41" s="459"/>
      <c r="Y41" s="469"/>
      <c r="Z41" s="467"/>
      <c r="AA41" s="466"/>
      <c r="AB41" s="466"/>
      <c r="AC41" s="466"/>
    </row>
    <row r="42" spans="1:30" s="458" customFormat="1" ht="12" x14ac:dyDescent="0.2">
      <c r="A42" s="459"/>
      <c r="B42" s="459"/>
      <c r="C42" s="459"/>
      <c r="D42" s="466"/>
      <c r="E42" s="481"/>
      <c r="F42" s="633"/>
      <c r="G42" s="459"/>
      <c r="H42" s="459"/>
      <c r="I42" s="459"/>
      <c r="J42" s="459"/>
      <c r="K42" s="468"/>
      <c r="L42" s="631" t="s">
        <v>20</v>
      </c>
      <c r="M42" s="632"/>
      <c r="N42" s="469"/>
      <c r="O42" s="469"/>
      <c r="P42" s="469"/>
      <c r="Q42" s="469"/>
      <c r="R42" s="634"/>
      <c r="S42" s="469"/>
      <c r="T42" s="459"/>
      <c r="U42" s="469"/>
      <c r="V42" s="459"/>
      <c r="W42" s="467"/>
      <c r="X42" s="459"/>
      <c r="Y42" s="469"/>
      <c r="Z42" s="467"/>
      <c r="AA42" s="466"/>
      <c r="AB42" s="466"/>
      <c r="AC42" s="466"/>
    </row>
    <row r="43" spans="1:30" s="458" customFormat="1" ht="12" x14ac:dyDescent="0.2">
      <c r="A43" s="459"/>
      <c r="B43" s="459"/>
      <c r="C43" s="459"/>
      <c r="D43" s="466"/>
      <c r="E43" s="481"/>
      <c r="F43" s="633"/>
      <c r="G43" s="459"/>
      <c r="H43" s="459"/>
      <c r="I43" s="459"/>
      <c r="J43" s="459"/>
      <c r="K43" s="468"/>
      <c r="L43" s="631" t="s">
        <v>20</v>
      </c>
      <c r="M43" s="632"/>
      <c r="N43" s="469"/>
      <c r="O43" s="469"/>
      <c r="P43" s="469"/>
      <c r="Q43" s="469"/>
      <c r="R43" s="634"/>
      <c r="S43" s="469"/>
      <c r="T43" s="459"/>
      <c r="U43" s="469"/>
      <c r="V43" s="459"/>
      <c r="W43" s="467"/>
      <c r="X43" s="459"/>
      <c r="Y43" s="469"/>
      <c r="Z43" s="467"/>
      <c r="AA43" s="466"/>
      <c r="AB43" s="466"/>
      <c r="AC43" s="466"/>
    </row>
    <row r="44" spans="1:30" s="458" customFormat="1" ht="12" x14ac:dyDescent="0.2">
      <c r="A44" s="459"/>
      <c r="B44" s="459"/>
      <c r="C44" s="459"/>
      <c r="D44" s="466"/>
      <c r="E44" s="481"/>
      <c r="F44" s="633"/>
      <c r="G44" s="459"/>
      <c r="H44" s="459"/>
      <c r="I44" s="459"/>
      <c r="J44" s="459"/>
      <c r="K44" s="468"/>
      <c r="L44" s="631" t="s">
        <v>20</v>
      </c>
      <c r="M44" s="632"/>
      <c r="N44" s="469"/>
      <c r="O44" s="469"/>
      <c r="P44" s="469"/>
      <c r="Q44" s="469"/>
      <c r="R44" s="634"/>
      <c r="S44" s="469"/>
      <c r="T44" s="459"/>
      <c r="U44" s="469"/>
      <c r="V44" s="459"/>
      <c r="W44" s="467"/>
      <c r="X44" s="459"/>
      <c r="Y44" s="469"/>
      <c r="Z44" s="467"/>
      <c r="AA44" s="466"/>
      <c r="AB44" s="466"/>
      <c r="AC44" s="466"/>
    </row>
    <row r="45" spans="1:30" s="458" customFormat="1" ht="12" x14ac:dyDescent="0.2">
      <c r="A45" s="459"/>
      <c r="B45" s="459"/>
      <c r="C45" s="459"/>
      <c r="D45" s="466"/>
      <c r="E45" s="481"/>
      <c r="F45" s="633"/>
      <c r="G45" s="459"/>
      <c r="H45" s="459"/>
      <c r="I45" s="459"/>
      <c r="J45" s="459"/>
      <c r="K45" s="468"/>
      <c r="L45" s="631" t="s">
        <v>20</v>
      </c>
      <c r="M45" s="632"/>
      <c r="N45" s="469"/>
      <c r="O45" s="469"/>
      <c r="P45" s="469"/>
      <c r="Q45" s="469"/>
      <c r="R45" s="634"/>
      <c r="S45" s="469"/>
      <c r="T45" s="459"/>
      <c r="U45" s="469"/>
      <c r="V45" s="459"/>
      <c r="W45" s="467"/>
      <c r="X45" s="459"/>
      <c r="Y45" s="469"/>
      <c r="Z45" s="467"/>
      <c r="AA45" s="466"/>
      <c r="AB45" s="466"/>
      <c r="AC45" s="466"/>
    </row>
    <row r="46" spans="1:30" s="458" customFormat="1" ht="12" x14ac:dyDescent="0.2">
      <c r="A46" s="459"/>
      <c r="B46" s="459"/>
      <c r="C46" s="459"/>
      <c r="D46" s="466"/>
      <c r="E46" s="481"/>
      <c r="F46" s="633"/>
      <c r="G46" s="459"/>
      <c r="H46" s="459"/>
      <c r="I46" s="459"/>
      <c r="J46" s="459"/>
      <c r="K46" s="468"/>
      <c r="L46" s="631" t="s">
        <v>20</v>
      </c>
      <c r="M46" s="632"/>
      <c r="N46" s="469"/>
      <c r="O46" s="469"/>
      <c r="P46" s="469"/>
      <c r="Q46" s="469"/>
      <c r="R46" s="634"/>
      <c r="S46" s="469"/>
      <c r="T46" s="459"/>
      <c r="U46" s="469"/>
      <c r="V46" s="459"/>
      <c r="W46" s="467"/>
      <c r="X46" s="459"/>
      <c r="Y46" s="469"/>
      <c r="Z46" s="467"/>
      <c r="AA46" s="466"/>
      <c r="AB46" s="466"/>
      <c r="AC46" s="466"/>
    </row>
    <row r="47" spans="1:30" s="458" customFormat="1" ht="12" x14ac:dyDescent="0.2">
      <c r="A47" s="459"/>
      <c r="B47" s="459"/>
      <c r="C47" s="459"/>
      <c r="D47" s="466"/>
      <c r="E47" s="481"/>
      <c r="F47" s="633"/>
      <c r="G47" s="459"/>
      <c r="H47" s="459"/>
      <c r="I47" s="459"/>
      <c r="J47" s="459"/>
      <c r="K47" s="468"/>
      <c r="L47" s="631" t="s">
        <v>20</v>
      </c>
      <c r="M47" s="632"/>
      <c r="N47" s="469"/>
      <c r="O47" s="469"/>
      <c r="P47" s="469"/>
      <c r="Q47" s="469"/>
      <c r="R47" s="634"/>
      <c r="S47" s="469"/>
      <c r="T47" s="459"/>
      <c r="U47" s="469"/>
      <c r="V47" s="459"/>
      <c r="W47" s="467"/>
      <c r="X47" s="459"/>
      <c r="Y47" s="469"/>
      <c r="Z47" s="467"/>
      <c r="AA47" s="466"/>
      <c r="AB47" s="466"/>
      <c r="AC47" s="466"/>
    </row>
    <row r="48" spans="1:30" s="458" customFormat="1" ht="12" x14ac:dyDescent="0.2">
      <c r="A48" s="459"/>
      <c r="B48" s="459"/>
      <c r="C48" s="459"/>
      <c r="D48" s="466"/>
      <c r="E48" s="481"/>
      <c r="F48" s="633"/>
      <c r="G48" s="459"/>
      <c r="H48" s="459"/>
      <c r="I48" s="459"/>
      <c r="J48" s="459"/>
      <c r="K48" s="468"/>
      <c r="L48" s="631" t="s">
        <v>20</v>
      </c>
      <c r="M48" s="632"/>
      <c r="N48" s="469"/>
      <c r="O48" s="469"/>
      <c r="P48" s="469"/>
      <c r="Q48" s="469"/>
      <c r="R48" s="634"/>
      <c r="S48" s="469"/>
      <c r="T48" s="459"/>
      <c r="U48" s="469"/>
      <c r="V48" s="459"/>
      <c r="W48" s="467"/>
      <c r="X48" s="459"/>
      <c r="Y48" s="469"/>
      <c r="Z48" s="467"/>
      <c r="AA48" s="466"/>
      <c r="AB48" s="466"/>
      <c r="AC48" s="466"/>
    </row>
    <row r="49" spans="1:29" s="458" customFormat="1" ht="12" x14ac:dyDescent="0.2">
      <c r="A49" s="459"/>
      <c r="B49" s="459"/>
      <c r="C49" s="459"/>
      <c r="D49" s="466"/>
      <c r="E49" s="481"/>
      <c r="F49" s="633"/>
      <c r="G49" s="459"/>
      <c r="H49" s="459"/>
      <c r="I49" s="459"/>
      <c r="J49" s="459"/>
      <c r="K49" s="468"/>
      <c r="L49" s="631" t="s">
        <v>20</v>
      </c>
      <c r="M49" s="632"/>
      <c r="N49" s="469"/>
      <c r="O49" s="469"/>
      <c r="P49" s="469"/>
      <c r="Q49" s="469"/>
      <c r="R49" s="634"/>
      <c r="S49" s="469"/>
      <c r="T49" s="459"/>
      <c r="U49" s="469"/>
      <c r="V49" s="459"/>
      <c r="W49" s="467"/>
      <c r="X49" s="459"/>
      <c r="Y49" s="469"/>
      <c r="Z49" s="467"/>
      <c r="AA49" s="466"/>
      <c r="AB49" s="466"/>
      <c r="AC49" s="466"/>
    </row>
    <row r="50" spans="1:29" s="458" customFormat="1" ht="12" x14ac:dyDescent="0.2">
      <c r="A50" s="459"/>
      <c r="B50" s="459"/>
      <c r="C50" s="459"/>
      <c r="D50" s="466"/>
      <c r="E50" s="481"/>
      <c r="F50" s="633"/>
      <c r="G50" s="459"/>
      <c r="H50" s="459"/>
      <c r="I50" s="459"/>
      <c r="J50" s="459"/>
      <c r="K50" s="468"/>
      <c r="L50" s="631" t="s">
        <v>20</v>
      </c>
      <c r="M50" s="632"/>
      <c r="N50" s="469"/>
      <c r="O50" s="469"/>
      <c r="P50" s="469"/>
      <c r="Q50" s="469"/>
      <c r="R50" s="634"/>
      <c r="S50" s="469"/>
      <c r="T50" s="459"/>
      <c r="U50" s="469"/>
      <c r="V50" s="459"/>
      <c r="W50" s="467"/>
      <c r="X50" s="459"/>
      <c r="Y50" s="469"/>
      <c r="Z50" s="467"/>
      <c r="AA50" s="466"/>
      <c r="AB50" s="466"/>
      <c r="AC50" s="466"/>
    </row>
    <row r="51" spans="1:29" s="458" customFormat="1" ht="12" x14ac:dyDescent="0.2">
      <c r="A51" s="459"/>
      <c r="B51" s="459"/>
      <c r="C51" s="459"/>
      <c r="D51" s="466"/>
      <c r="E51" s="481"/>
      <c r="F51" s="633"/>
      <c r="G51" s="459"/>
      <c r="H51" s="459"/>
      <c r="I51" s="459"/>
      <c r="J51" s="459"/>
      <c r="K51" s="468"/>
      <c r="L51" s="631" t="s">
        <v>20</v>
      </c>
      <c r="M51" s="632"/>
      <c r="N51" s="469"/>
      <c r="O51" s="469"/>
      <c r="P51" s="469"/>
      <c r="Q51" s="469"/>
      <c r="R51" s="634"/>
      <c r="S51" s="469"/>
      <c r="T51" s="459"/>
      <c r="U51" s="469"/>
      <c r="V51" s="459"/>
      <c r="W51" s="467"/>
      <c r="X51" s="459"/>
      <c r="Y51" s="469"/>
      <c r="Z51" s="467"/>
      <c r="AA51" s="466"/>
      <c r="AB51" s="466"/>
      <c r="AC51" s="466"/>
    </row>
    <row r="52" spans="1:29" s="458" customFormat="1" ht="12" x14ac:dyDescent="0.2">
      <c r="A52" s="459"/>
      <c r="B52" s="459"/>
      <c r="C52" s="459"/>
      <c r="D52" s="466"/>
      <c r="E52" s="481"/>
      <c r="F52" s="633"/>
      <c r="G52" s="459"/>
      <c r="H52" s="459"/>
      <c r="I52" s="459"/>
      <c r="J52" s="459"/>
      <c r="K52" s="468"/>
      <c r="L52" s="631" t="s">
        <v>20</v>
      </c>
      <c r="M52" s="632"/>
      <c r="N52" s="469"/>
      <c r="O52" s="469"/>
      <c r="P52" s="469"/>
      <c r="Q52" s="469"/>
      <c r="R52" s="634"/>
      <c r="S52" s="469"/>
      <c r="T52" s="459"/>
      <c r="U52" s="469"/>
      <c r="V52" s="459"/>
      <c r="W52" s="467"/>
      <c r="X52" s="459"/>
      <c r="Y52" s="469"/>
      <c r="Z52" s="467"/>
      <c r="AA52" s="466"/>
      <c r="AB52" s="466"/>
      <c r="AC52" s="466"/>
    </row>
    <row r="53" spans="1:29" s="458" customFormat="1" ht="12" x14ac:dyDescent="0.2">
      <c r="A53" s="459"/>
      <c r="B53" s="459"/>
      <c r="C53" s="459"/>
      <c r="D53" s="466"/>
      <c r="E53" s="481"/>
      <c r="F53" s="633"/>
      <c r="G53" s="459"/>
      <c r="H53" s="459"/>
      <c r="I53" s="459"/>
      <c r="J53" s="459"/>
      <c r="K53" s="468"/>
      <c r="L53" s="631" t="s">
        <v>20</v>
      </c>
      <c r="M53" s="632"/>
      <c r="N53" s="469"/>
      <c r="O53" s="469"/>
      <c r="P53" s="469"/>
      <c r="Q53" s="469"/>
      <c r="R53" s="634"/>
      <c r="S53" s="469"/>
      <c r="T53" s="459"/>
      <c r="U53" s="469"/>
      <c r="V53" s="459"/>
      <c r="W53" s="467"/>
      <c r="X53" s="459"/>
      <c r="Y53" s="469"/>
      <c r="Z53" s="467"/>
      <c r="AA53" s="466"/>
      <c r="AB53" s="466"/>
      <c r="AC53" s="466"/>
    </row>
    <row r="54" spans="1:29" s="458" customFormat="1" ht="12" x14ac:dyDescent="0.2">
      <c r="A54" s="459"/>
      <c r="B54" s="459"/>
      <c r="C54" s="459"/>
      <c r="D54" s="466"/>
      <c r="E54" s="481"/>
      <c r="F54" s="633"/>
      <c r="G54" s="459"/>
      <c r="H54" s="459"/>
      <c r="I54" s="459"/>
      <c r="J54" s="459"/>
      <c r="K54" s="468"/>
      <c r="L54" s="631" t="s">
        <v>20</v>
      </c>
      <c r="M54" s="632"/>
      <c r="N54" s="469"/>
      <c r="O54" s="469"/>
      <c r="P54" s="469"/>
      <c r="Q54" s="469"/>
      <c r="R54" s="634"/>
      <c r="S54" s="469"/>
      <c r="T54" s="459"/>
      <c r="U54" s="469"/>
      <c r="V54" s="459"/>
      <c r="W54" s="467"/>
      <c r="X54" s="459"/>
      <c r="Y54" s="469"/>
      <c r="Z54" s="467"/>
      <c r="AA54" s="466"/>
      <c r="AB54" s="466"/>
      <c r="AC54" s="466"/>
    </row>
    <row r="55" spans="1:29" s="458" customFormat="1" ht="12" x14ac:dyDescent="0.2">
      <c r="A55" s="459"/>
      <c r="B55" s="459"/>
      <c r="C55" s="459"/>
      <c r="D55" s="466"/>
      <c r="E55" s="481"/>
      <c r="F55" s="633"/>
      <c r="G55" s="459"/>
      <c r="H55" s="459"/>
      <c r="I55" s="459"/>
      <c r="J55" s="459"/>
      <c r="K55" s="468"/>
      <c r="L55" s="631" t="s">
        <v>20</v>
      </c>
      <c r="M55" s="632"/>
      <c r="N55" s="469"/>
      <c r="O55" s="469"/>
      <c r="P55" s="469"/>
      <c r="Q55" s="469"/>
      <c r="R55" s="634"/>
      <c r="S55" s="469"/>
      <c r="T55" s="459"/>
      <c r="U55" s="469"/>
      <c r="V55" s="459"/>
      <c r="W55" s="467"/>
      <c r="X55" s="459"/>
      <c r="Y55" s="469"/>
      <c r="Z55" s="467"/>
      <c r="AA55" s="466"/>
      <c r="AB55" s="466"/>
      <c r="AC55" s="466"/>
    </row>
    <row r="56" spans="1:29" s="458" customFormat="1" ht="12" x14ac:dyDescent="0.2">
      <c r="A56" s="459"/>
      <c r="B56" s="459"/>
      <c r="C56" s="459"/>
      <c r="D56" s="466"/>
      <c r="E56" s="481"/>
      <c r="F56" s="633"/>
      <c r="G56" s="459"/>
      <c r="H56" s="459"/>
      <c r="I56" s="459"/>
      <c r="J56" s="459"/>
      <c r="K56" s="468"/>
      <c r="L56" s="631" t="s">
        <v>20</v>
      </c>
      <c r="M56" s="632"/>
      <c r="N56" s="469"/>
      <c r="O56" s="469"/>
      <c r="P56" s="469"/>
      <c r="Q56" s="469"/>
      <c r="R56" s="634"/>
      <c r="S56" s="469"/>
      <c r="T56" s="459"/>
      <c r="U56" s="469"/>
      <c r="V56" s="459"/>
      <c r="W56" s="467"/>
      <c r="X56" s="459"/>
      <c r="Y56" s="469"/>
      <c r="Z56" s="467"/>
      <c r="AA56" s="466"/>
      <c r="AB56" s="466"/>
      <c r="AC56" s="466"/>
    </row>
    <row r="57" spans="1:29" s="458" customFormat="1" ht="12" x14ac:dyDescent="0.2">
      <c r="A57" s="459"/>
      <c r="B57" s="459"/>
      <c r="C57" s="459"/>
      <c r="D57" s="466"/>
      <c r="E57" s="481"/>
      <c r="F57" s="633"/>
      <c r="G57" s="459"/>
      <c r="H57" s="459"/>
      <c r="I57" s="459"/>
      <c r="J57" s="459"/>
      <c r="K57" s="468"/>
      <c r="L57" s="631" t="s">
        <v>20</v>
      </c>
      <c r="M57" s="632"/>
      <c r="N57" s="469"/>
      <c r="O57" s="469"/>
      <c r="P57" s="469"/>
      <c r="Q57" s="469"/>
      <c r="R57" s="634"/>
      <c r="S57" s="469"/>
      <c r="T57" s="459"/>
      <c r="U57" s="469"/>
      <c r="V57" s="459"/>
      <c r="W57" s="467"/>
      <c r="X57" s="459"/>
      <c r="Y57" s="469"/>
      <c r="Z57" s="467"/>
      <c r="AA57" s="466"/>
      <c r="AB57" s="466"/>
      <c r="AC57" s="466"/>
    </row>
    <row r="58" spans="1:29" s="458" customFormat="1" ht="12" x14ac:dyDescent="0.2">
      <c r="A58" s="459"/>
      <c r="B58" s="459"/>
      <c r="C58" s="459"/>
      <c r="D58" s="466"/>
      <c r="E58" s="481"/>
      <c r="F58" s="633"/>
      <c r="G58" s="459"/>
      <c r="H58" s="459"/>
      <c r="I58" s="459"/>
      <c r="J58" s="459"/>
      <c r="K58" s="468"/>
      <c r="L58" s="631" t="s">
        <v>20</v>
      </c>
      <c r="M58" s="632"/>
      <c r="N58" s="469"/>
      <c r="O58" s="469"/>
      <c r="P58" s="469"/>
      <c r="Q58" s="469"/>
      <c r="R58" s="634"/>
      <c r="S58" s="469"/>
      <c r="T58" s="459"/>
      <c r="U58" s="469"/>
      <c r="V58" s="459"/>
      <c r="W58" s="467"/>
      <c r="X58" s="459"/>
      <c r="Y58" s="469"/>
      <c r="Z58" s="467"/>
      <c r="AA58" s="466"/>
      <c r="AB58" s="466"/>
      <c r="AC58" s="466"/>
    </row>
    <row r="59" spans="1:29" s="458" customFormat="1" ht="12" x14ac:dyDescent="0.2">
      <c r="A59" s="459"/>
      <c r="B59" s="459"/>
      <c r="C59" s="459"/>
      <c r="D59" s="466"/>
      <c r="E59" s="481"/>
      <c r="F59" s="633"/>
      <c r="G59" s="459"/>
      <c r="H59" s="459"/>
      <c r="I59" s="459"/>
      <c r="J59" s="459"/>
      <c r="K59" s="468"/>
      <c r="L59" s="631" t="s">
        <v>20</v>
      </c>
      <c r="M59" s="632"/>
      <c r="N59" s="469"/>
      <c r="O59" s="469"/>
      <c r="P59" s="469"/>
      <c r="Q59" s="469"/>
      <c r="R59" s="634"/>
      <c r="S59" s="469"/>
      <c r="T59" s="459"/>
      <c r="U59" s="469"/>
      <c r="V59" s="459"/>
      <c r="W59" s="467"/>
      <c r="X59" s="459"/>
      <c r="Y59" s="469"/>
      <c r="Z59" s="467"/>
      <c r="AA59" s="466"/>
      <c r="AB59" s="466"/>
      <c r="AC59" s="466"/>
    </row>
    <row r="60" spans="1:29" s="458" customFormat="1" ht="12" x14ac:dyDescent="0.2">
      <c r="A60" s="459"/>
      <c r="B60" s="459"/>
      <c r="C60" s="459"/>
      <c r="D60" s="466"/>
      <c r="E60" s="481"/>
      <c r="F60" s="633"/>
      <c r="G60" s="459"/>
      <c r="H60" s="459"/>
      <c r="I60" s="459"/>
      <c r="J60" s="459"/>
      <c r="K60" s="468"/>
      <c r="L60" s="631" t="s">
        <v>20</v>
      </c>
      <c r="M60" s="632"/>
      <c r="N60" s="469"/>
      <c r="O60" s="469"/>
      <c r="P60" s="469"/>
      <c r="Q60" s="469"/>
      <c r="R60" s="634"/>
      <c r="S60" s="469"/>
      <c r="T60" s="459"/>
      <c r="U60" s="469"/>
      <c r="V60" s="459"/>
      <c r="W60" s="467"/>
      <c r="X60" s="459"/>
      <c r="Y60" s="469"/>
      <c r="Z60" s="467"/>
      <c r="AA60" s="466"/>
      <c r="AB60" s="466"/>
      <c r="AC60" s="466"/>
    </row>
    <row r="61" spans="1:29" s="458" customFormat="1" ht="12" x14ac:dyDescent="0.2">
      <c r="A61" s="459"/>
      <c r="B61" s="459"/>
      <c r="C61" s="459"/>
      <c r="D61" s="466"/>
      <c r="E61" s="481"/>
      <c r="F61" s="633"/>
      <c r="G61" s="459"/>
      <c r="H61" s="459"/>
      <c r="I61" s="459"/>
      <c r="J61" s="459"/>
      <c r="K61" s="468"/>
      <c r="L61" s="631" t="s">
        <v>20</v>
      </c>
      <c r="M61" s="632"/>
      <c r="N61" s="469"/>
      <c r="O61" s="469"/>
      <c r="P61" s="469"/>
      <c r="Q61" s="469"/>
      <c r="R61" s="634"/>
      <c r="S61" s="469"/>
      <c r="T61" s="459"/>
      <c r="U61" s="469"/>
      <c r="V61" s="459"/>
      <c r="W61" s="467"/>
      <c r="X61" s="459"/>
      <c r="Y61" s="469"/>
      <c r="Z61" s="467"/>
      <c r="AA61" s="466"/>
      <c r="AB61" s="466"/>
      <c r="AC61" s="466"/>
    </row>
    <row r="62" spans="1:29" s="458" customFormat="1" ht="12" x14ac:dyDescent="0.2">
      <c r="A62" s="459"/>
      <c r="B62" s="459"/>
      <c r="C62" s="459"/>
      <c r="D62" s="466"/>
      <c r="E62" s="481"/>
      <c r="F62" s="633"/>
      <c r="G62" s="459"/>
      <c r="H62" s="459"/>
      <c r="I62" s="459"/>
      <c r="J62" s="459"/>
      <c r="K62" s="468"/>
      <c r="L62" s="631" t="s">
        <v>20</v>
      </c>
      <c r="M62" s="632"/>
      <c r="N62" s="469"/>
      <c r="O62" s="469"/>
      <c r="P62" s="469"/>
      <c r="Q62" s="469"/>
      <c r="R62" s="634"/>
      <c r="S62" s="469"/>
      <c r="T62" s="459"/>
      <c r="U62" s="469"/>
      <c r="V62" s="459"/>
      <c r="W62" s="467"/>
      <c r="X62" s="459"/>
      <c r="Y62" s="469"/>
      <c r="Z62" s="467"/>
      <c r="AA62" s="466"/>
      <c r="AB62" s="466"/>
      <c r="AC62" s="466"/>
    </row>
    <row r="63" spans="1:29" s="458" customFormat="1" ht="12" x14ac:dyDescent="0.2">
      <c r="A63" s="459"/>
      <c r="B63" s="459"/>
      <c r="C63" s="459"/>
      <c r="D63" s="466"/>
      <c r="E63" s="481"/>
      <c r="F63" s="633"/>
      <c r="G63" s="459"/>
      <c r="H63" s="459"/>
      <c r="I63" s="459"/>
      <c r="J63" s="459"/>
      <c r="K63" s="468"/>
      <c r="L63" s="631" t="s">
        <v>20</v>
      </c>
      <c r="M63" s="632"/>
      <c r="N63" s="469"/>
      <c r="O63" s="469"/>
      <c r="P63" s="469"/>
      <c r="Q63" s="469"/>
      <c r="R63" s="634"/>
      <c r="S63" s="469"/>
      <c r="T63" s="459"/>
      <c r="U63" s="469"/>
      <c r="V63" s="459"/>
      <c r="W63" s="467"/>
      <c r="X63" s="459"/>
      <c r="Y63" s="469"/>
      <c r="Z63" s="467"/>
      <c r="AA63" s="466"/>
      <c r="AB63" s="466"/>
      <c r="AC63" s="466"/>
    </row>
    <row r="64" spans="1:29" s="458" customFormat="1" ht="12" x14ac:dyDescent="0.2">
      <c r="A64" s="459"/>
      <c r="B64" s="459"/>
      <c r="C64" s="459"/>
      <c r="D64" s="466"/>
      <c r="E64" s="481"/>
      <c r="F64" s="633"/>
      <c r="G64" s="459"/>
      <c r="H64" s="459"/>
      <c r="I64" s="459"/>
      <c r="J64" s="459"/>
      <c r="K64" s="468"/>
      <c r="L64" s="631" t="s">
        <v>20</v>
      </c>
      <c r="M64" s="632"/>
      <c r="N64" s="469"/>
      <c r="O64" s="469"/>
      <c r="P64" s="469"/>
      <c r="Q64" s="469"/>
      <c r="R64" s="634"/>
      <c r="S64" s="469"/>
      <c r="T64" s="459"/>
      <c r="U64" s="469"/>
      <c r="V64" s="459"/>
      <c r="W64" s="467"/>
      <c r="X64" s="459"/>
      <c r="Y64" s="469"/>
      <c r="Z64" s="467"/>
      <c r="AA64" s="466"/>
      <c r="AB64" s="466"/>
      <c r="AC64" s="466"/>
    </row>
    <row r="65" spans="1:29" s="458" customFormat="1" ht="12" x14ac:dyDescent="0.2">
      <c r="A65" s="459"/>
      <c r="B65" s="459"/>
      <c r="C65" s="459"/>
      <c r="D65" s="466"/>
      <c r="E65" s="481"/>
      <c r="F65" s="633"/>
      <c r="G65" s="459"/>
      <c r="H65" s="459"/>
      <c r="I65" s="459"/>
      <c r="J65" s="459"/>
      <c r="K65" s="468"/>
      <c r="L65" s="631" t="s">
        <v>20</v>
      </c>
      <c r="M65" s="632"/>
      <c r="N65" s="469"/>
      <c r="O65" s="469"/>
      <c r="P65" s="469"/>
      <c r="Q65" s="469"/>
      <c r="R65" s="634"/>
      <c r="S65" s="469"/>
      <c r="T65" s="459"/>
      <c r="U65" s="469"/>
      <c r="V65" s="459"/>
      <c r="W65" s="467"/>
      <c r="X65" s="459"/>
      <c r="Y65" s="469"/>
      <c r="Z65" s="467"/>
      <c r="AA65" s="466"/>
      <c r="AB65" s="466"/>
      <c r="AC65" s="466"/>
    </row>
    <row r="66" spans="1:29" s="458" customFormat="1" ht="12" x14ac:dyDescent="0.2">
      <c r="A66" s="459"/>
      <c r="B66" s="459"/>
      <c r="C66" s="459"/>
      <c r="D66" s="466"/>
      <c r="E66" s="481"/>
      <c r="F66" s="633"/>
      <c r="G66" s="459"/>
      <c r="H66" s="459"/>
      <c r="I66" s="459"/>
      <c r="J66" s="459"/>
      <c r="K66" s="468"/>
      <c r="L66" s="631" t="s">
        <v>20</v>
      </c>
      <c r="M66" s="632"/>
      <c r="N66" s="469"/>
      <c r="O66" s="469"/>
      <c r="P66" s="469"/>
      <c r="Q66" s="469"/>
      <c r="R66" s="634"/>
      <c r="S66" s="469"/>
      <c r="T66" s="459"/>
      <c r="U66" s="469"/>
      <c r="V66" s="459"/>
      <c r="W66" s="467"/>
      <c r="X66" s="459"/>
      <c r="Y66" s="469"/>
      <c r="Z66" s="467"/>
      <c r="AA66" s="466"/>
      <c r="AB66" s="466"/>
      <c r="AC66" s="466"/>
    </row>
    <row r="67" spans="1:29" s="458" customFormat="1" ht="12" x14ac:dyDescent="0.2">
      <c r="A67" s="459"/>
      <c r="B67" s="459"/>
      <c r="C67" s="459"/>
      <c r="D67" s="466"/>
      <c r="E67" s="481"/>
      <c r="F67" s="633"/>
      <c r="G67" s="459"/>
      <c r="H67" s="459"/>
      <c r="I67" s="459"/>
      <c r="J67" s="459"/>
      <c r="K67" s="468"/>
      <c r="L67" s="631" t="s">
        <v>20</v>
      </c>
      <c r="M67" s="632"/>
      <c r="N67" s="469"/>
      <c r="O67" s="469"/>
      <c r="P67" s="469"/>
      <c r="Q67" s="469"/>
      <c r="R67" s="634"/>
      <c r="S67" s="469"/>
      <c r="T67" s="459"/>
      <c r="U67" s="469"/>
      <c r="V67" s="459"/>
      <c r="W67" s="467"/>
      <c r="X67" s="459"/>
      <c r="Y67" s="469"/>
      <c r="Z67" s="467"/>
      <c r="AA67" s="466"/>
      <c r="AB67" s="466"/>
      <c r="AC67" s="466"/>
    </row>
    <row r="68" spans="1:29" s="458" customFormat="1" ht="12" x14ac:dyDescent="0.2">
      <c r="A68" s="459"/>
      <c r="B68" s="459"/>
      <c r="C68" s="459"/>
      <c r="D68" s="466"/>
      <c r="E68" s="481"/>
      <c r="F68" s="633"/>
      <c r="G68" s="459"/>
      <c r="H68" s="459"/>
      <c r="I68" s="459"/>
      <c r="J68" s="459"/>
      <c r="K68" s="468"/>
      <c r="L68" s="631" t="s">
        <v>20</v>
      </c>
      <c r="M68" s="632"/>
      <c r="N68" s="469"/>
      <c r="O68" s="469"/>
      <c r="P68" s="469"/>
      <c r="Q68" s="469"/>
      <c r="R68" s="634"/>
      <c r="S68" s="469"/>
      <c r="T68" s="459"/>
      <c r="U68" s="469"/>
      <c r="V68" s="459"/>
      <c r="W68" s="467"/>
      <c r="X68" s="459"/>
      <c r="Y68" s="469"/>
      <c r="Z68" s="467"/>
      <c r="AA68" s="466"/>
      <c r="AB68" s="466"/>
      <c r="AC68" s="466"/>
    </row>
    <row r="69" spans="1:29" s="458" customFormat="1" ht="12" x14ac:dyDescent="0.2">
      <c r="A69" s="459"/>
      <c r="B69" s="459"/>
      <c r="C69" s="459"/>
      <c r="D69" s="466"/>
      <c r="E69" s="481"/>
      <c r="F69" s="633"/>
      <c r="G69" s="459"/>
      <c r="H69" s="459"/>
      <c r="I69" s="459"/>
      <c r="J69" s="459"/>
      <c r="K69" s="468"/>
      <c r="L69" s="631" t="s">
        <v>20</v>
      </c>
      <c r="M69" s="632"/>
      <c r="N69" s="469"/>
      <c r="O69" s="469"/>
      <c r="P69" s="469"/>
      <c r="Q69" s="469"/>
      <c r="R69" s="634"/>
      <c r="S69" s="469"/>
      <c r="T69" s="459"/>
      <c r="U69" s="469"/>
      <c r="V69" s="459"/>
      <c r="W69" s="467"/>
      <c r="X69" s="459"/>
      <c r="Y69" s="469"/>
      <c r="Z69" s="467"/>
      <c r="AA69" s="466"/>
      <c r="AB69" s="466"/>
      <c r="AC69" s="466"/>
    </row>
    <row r="70" spans="1:29" s="458" customFormat="1" ht="12" x14ac:dyDescent="0.2">
      <c r="A70" s="459"/>
      <c r="B70" s="459"/>
      <c r="C70" s="459"/>
      <c r="D70" s="466"/>
      <c r="E70" s="481"/>
      <c r="F70" s="633"/>
      <c r="G70" s="459"/>
      <c r="H70" s="459"/>
      <c r="I70" s="459"/>
      <c r="J70" s="459"/>
      <c r="K70" s="468"/>
      <c r="L70" s="631" t="s">
        <v>20</v>
      </c>
      <c r="M70" s="632"/>
      <c r="N70" s="469"/>
      <c r="O70" s="469"/>
      <c r="P70" s="469"/>
      <c r="Q70" s="469"/>
      <c r="R70" s="634"/>
      <c r="S70" s="469"/>
      <c r="T70" s="459"/>
      <c r="U70" s="469"/>
      <c r="V70" s="459"/>
      <c r="W70" s="467"/>
      <c r="X70" s="459"/>
      <c r="Y70" s="469"/>
      <c r="Z70" s="467"/>
      <c r="AA70" s="466"/>
      <c r="AB70" s="466"/>
      <c r="AC70" s="466"/>
    </row>
    <row r="71" spans="1:29" s="458" customFormat="1" ht="12" x14ac:dyDescent="0.2">
      <c r="A71" s="459"/>
      <c r="B71" s="459"/>
      <c r="C71" s="459"/>
      <c r="D71" s="466"/>
      <c r="E71" s="481"/>
      <c r="F71" s="633"/>
      <c r="G71" s="459"/>
      <c r="H71" s="459"/>
      <c r="I71" s="459"/>
      <c r="J71" s="459"/>
      <c r="K71" s="468"/>
      <c r="L71" s="631" t="s">
        <v>20</v>
      </c>
      <c r="M71" s="632"/>
      <c r="N71" s="469"/>
      <c r="O71" s="469"/>
      <c r="P71" s="469"/>
      <c r="Q71" s="469"/>
      <c r="R71" s="634"/>
      <c r="S71" s="469"/>
      <c r="T71" s="459"/>
      <c r="U71" s="469"/>
      <c r="V71" s="459"/>
      <c r="W71" s="467"/>
      <c r="X71" s="459"/>
      <c r="Y71" s="469"/>
      <c r="Z71" s="467"/>
      <c r="AA71" s="466"/>
      <c r="AB71" s="466"/>
      <c r="AC71" s="466"/>
    </row>
    <row r="72" spans="1:29" s="458" customFormat="1" ht="12" x14ac:dyDescent="0.2">
      <c r="A72" s="459"/>
      <c r="B72" s="459"/>
      <c r="C72" s="459"/>
      <c r="D72" s="466"/>
      <c r="E72" s="481"/>
      <c r="F72" s="633"/>
      <c r="G72" s="459"/>
      <c r="H72" s="459"/>
      <c r="I72" s="459"/>
      <c r="J72" s="459"/>
      <c r="K72" s="468"/>
      <c r="L72" s="631" t="s">
        <v>20</v>
      </c>
      <c r="M72" s="632"/>
      <c r="N72" s="469"/>
      <c r="O72" s="469"/>
      <c r="P72" s="469"/>
      <c r="Q72" s="469"/>
      <c r="R72" s="634"/>
      <c r="S72" s="469"/>
      <c r="T72" s="459"/>
      <c r="U72" s="469"/>
      <c r="V72" s="459"/>
      <c r="W72" s="467"/>
      <c r="X72" s="459"/>
      <c r="Y72" s="469"/>
      <c r="Z72" s="467"/>
      <c r="AA72" s="466"/>
      <c r="AB72" s="466"/>
      <c r="AC72" s="466"/>
    </row>
    <row r="73" spans="1:29" s="458" customFormat="1" ht="12" x14ac:dyDescent="0.2">
      <c r="A73" s="459"/>
      <c r="B73" s="459"/>
      <c r="C73" s="459"/>
      <c r="D73" s="466"/>
      <c r="E73" s="481"/>
      <c r="F73" s="633"/>
      <c r="G73" s="459"/>
      <c r="H73" s="459"/>
      <c r="I73" s="459"/>
      <c r="J73" s="459"/>
      <c r="K73" s="468"/>
      <c r="L73" s="631" t="s">
        <v>20</v>
      </c>
      <c r="M73" s="632"/>
      <c r="N73" s="469"/>
      <c r="O73" s="469"/>
      <c r="P73" s="469"/>
      <c r="Q73" s="469"/>
      <c r="R73" s="634"/>
      <c r="S73" s="469"/>
      <c r="T73" s="459"/>
      <c r="U73" s="469"/>
      <c r="V73" s="459"/>
      <c r="W73" s="467"/>
      <c r="X73" s="459"/>
      <c r="Y73" s="469"/>
      <c r="Z73" s="467"/>
      <c r="AA73" s="466"/>
      <c r="AB73" s="466"/>
      <c r="AC73" s="466"/>
    </row>
    <row r="74" spans="1:29" s="458" customFormat="1" ht="12" x14ac:dyDescent="0.2">
      <c r="A74" s="459"/>
      <c r="B74" s="459"/>
      <c r="C74" s="459"/>
      <c r="D74" s="466"/>
      <c r="E74" s="481"/>
      <c r="F74" s="633"/>
      <c r="G74" s="459"/>
      <c r="H74" s="459"/>
      <c r="I74" s="459"/>
      <c r="J74" s="459"/>
      <c r="K74" s="468"/>
      <c r="L74" s="631" t="s">
        <v>20</v>
      </c>
      <c r="M74" s="632"/>
      <c r="N74" s="469"/>
      <c r="O74" s="469"/>
      <c r="P74" s="469"/>
      <c r="Q74" s="469"/>
      <c r="R74" s="634"/>
      <c r="S74" s="469"/>
      <c r="T74" s="459"/>
      <c r="U74" s="469"/>
      <c r="V74" s="459"/>
      <c r="W74" s="467"/>
      <c r="X74" s="459"/>
      <c r="Y74" s="469"/>
      <c r="Z74" s="467"/>
      <c r="AA74" s="466"/>
      <c r="AB74" s="466"/>
      <c r="AC74" s="466"/>
    </row>
    <row r="75" spans="1:29" s="458" customFormat="1" ht="12" x14ac:dyDescent="0.2">
      <c r="A75" s="459"/>
      <c r="B75" s="459"/>
      <c r="C75" s="459"/>
      <c r="D75" s="466"/>
      <c r="E75" s="481"/>
      <c r="F75" s="633"/>
      <c r="G75" s="459"/>
      <c r="H75" s="459"/>
      <c r="I75" s="459"/>
      <c r="J75" s="459"/>
      <c r="K75" s="468"/>
      <c r="L75" s="631" t="s">
        <v>20</v>
      </c>
      <c r="M75" s="632"/>
      <c r="N75" s="469"/>
      <c r="O75" s="469"/>
      <c r="P75" s="469"/>
      <c r="Q75" s="469"/>
      <c r="R75" s="634"/>
      <c r="S75" s="469"/>
      <c r="T75" s="459"/>
      <c r="U75" s="469"/>
      <c r="V75" s="459"/>
      <c r="W75" s="467"/>
      <c r="X75" s="459"/>
      <c r="Y75" s="469"/>
      <c r="Z75" s="467"/>
      <c r="AA75" s="466"/>
      <c r="AB75" s="466"/>
      <c r="AC75" s="466"/>
    </row>
    <row r="76" spans="1:29" s="458" customFormat="1" ht="12" x14ac:dyDescent="0.2">
      <c r="A76" s="459"/>
      <c r="B76" s="459"/>
      <c r="C76" s="459"/>
      <c r="D76" s="466"/>
      <c r="E76" s="481"/>
      <c r="F76" s="633"/>
      <c r="G76" s="459"/>
      <c r="H76" s="459"/>
      <c r="I76" s="459"/>
      <c r="J76" s="459"/>
      <c r="K76" s="468"/>
      <c r="L76" s="631" t="s">
        <v>20</v>
      </c>
      <c r="M76" s="632"/>
      <c r="N76" s="469"/>
      <c r="O76" s="469"/>
      <c r="P76" s="469"/>
      <c r="Q76" s="469"/>
      <c r="R76" s="634"/>
      <c r="S76" s="469"/>
      <c r="T76" s="459"/>
      <c r="U76" s="469"/>
      <c r="V76" s="459"/>
      <c r="W76" s="467"/>
      <c r="X76" s="459"/>
      <c r="Y76" s="469"/>
      <c r="Z76" s="467"/>
      <c r="AA76" s="466"/>
      <c r="AB76" s="466"/>
      <c r="AC76" s="466"/>
    </row>
    <row r="77" spans="1:29" s="458" customFormat="1" ht="12" x14ac:dyDescent="0.2">
      <c r="A77" s="459"/>
      <c r="B77" s="459"/>
      <c r="C77" s="459"/>
      <c r="D77" s="466"/>
      <c r="E77" s="481"/>
      <c r="F77" s="633"/>
      <c r="G77" s="459"/>
      <c r="H77" s="459"/>
      <c r="I77" s="459"/>
      <c r="J77" s="459"/>
      <c r="K77" s="468"/>
      <c r="L77" s="631" t="s">
        <v>20</v>
      </c>
      <c r="M77" s="632"/>
      <c r="N77" s="469"/>
      <c r="O77" s="469"/>
      <c r="P77" s="469"/>
      <c r="Q77" s="469"/>
      <c r="R77" s="634"/>
      <c r="S77" s="469"/>
      <c r="T77" s="459"/>
      <c r="U77" s="469"/>
      <c r="V77" s="459"/>
      <c r="W77" s="467"/>
      <c r="X77" s="459"/>
      <c r="Y77" s="469"/>
      <c r="Z77" s="467"/>
      <c r="AA77" s="466"/>
      <c r="AB77" s="466"/>
      <c r="AC77" s="466"/>
    </row>
    <row r="78" spans="1:29" s="458" customFormat="1" ht="12" x14ac:dyDescent="0.2">
      <c r="A78" s="459"/>
      <c r="B78" s="459"/>
      <c r="C78" s="459"/>
      <c r="D78" s="466"/>
      <c r="E78" s="481"/>
      <c r="F78" s="633"/>
      <c r="G78" s="459"/>
      <c r="H78" s="459"/>
      <c r="I78" s="459"/>
      <c r="J78" s="459"/>
      <c r="K78" s="468"/>
      <c r="L78" s="631" t="s">
        <v>20</v>
      </c>
      <c r="M78" s="632"/>
      <c r="N78" s="469"/>
      <c r="O78" s="469"/>
      <c r="P78" s="469"/>
      <c r="Q78" s="469"/>
      <c r="R78" s="634"/>
      <c r="S78" s="469"/>
      <c r="T78" s="459"/>
      <c r="U78" s="469"/>
      <c r="V78" s="459"/>
      <c r="W78" s="467"/>
      <c r="X78" s="459"/>
      <c r="Y78" s="469"/>
      <c r="Z78" s="467"/>
      <c r="AA78" s="466"/>
      <c r="AB78" s="466"/>
      <c r="AC78" s="466"/>
    </row>
    <row r="79" spans="1:29" s="458" customFormat="1" ht="12" x14ac:dyDescent="0.2">
      <c r="A79" s="459"/>
      <c r="B79" s="459"/>
      <c r="C79" s="459"/>
      <c r="D79" s="466"/>
      <c r="E79" s="481"/>
      <c r="F79" s="633"/>
      <c r="G79" s="459"/>
      <c r="H79" s="459"/>
      <c r="I79" s="459"/>
      <c r="J79" s="459"/>
      <c r="K79" s="468"/>
      <c r="L79" s="631" t="s">
        <v>20</v>
      </c>
      <c r="M79" s="632"/>
      <c r="N79" s="469"/>
      <c r="O79" s="469"/>
      <c r="P79" s="469"/>
      <c r="Q79" s="469"/>
      <c r="R79" s="634"/>
      <c r="S79" s="469"/>
      <c r="T79" s="459"/>
      <c r="U79" s="469"/>
      <c r="V79" s="459"/>
      <c r="W79" s="467"/>
      <c r="X79" s="459"/>
      <c r="Y79" s="469"/>
      <c r="Z79" s="467"/>
      <c r="AA79" s="466"/>
      <c r="AB79" s="466"/>
      <c r="AC79" s="466"/>
    </row>
    <row r="80" spans="1:29" s="458" customFormat="1" ht="12" x14ac:dyDescent="0.2">
      <c r="A80" s="459"/>
      <c r="B80" s="459"/>
      <c r="C80" s="459"/>
      <c r="D80" s="466"/>
      <c r="E80" s="481"/>
      <c r="F80" s="633"/>
      <c r="G80" s="459"/>
      <c r="H80" s="459"/>
      <c r="I80" s="459"/>
      <c r="J80" s="459"/>
      <c r="K80" s="468"/>
      <c r="L80" s="631" t="s">
        <v>20</v>
      </c>
      <c r="M80" s="632"/>
      <c r="N80" s="469"/>
      <c r="O80" s="469"/>
      <c r="P80" s="469"/>
      <c r="Q80" s="469"/>
      <c r="R80" s="634"/>
      <c r="S80" s="469"/>
      <c r="T80" s="459"/>
      <c r="U80" s="469"/>
      <c r="V80" s="459"/>
      <c r="W80" s="467"/>
      <c r="X80" s="459"/>
      <c r="Y80" s="469"/>
      <c r="Z80" s="467"/>
      <c r="AA80" s="466"/>
      <c r="AB80" s="466"/>
      <c r="AC80" s="466"/>
    </row>
    <row r="81" spans="1:29" s="458" customFormat="1" ht="12" x14ac:dyDescent="0.2">
      <c r="A81" s="459"/>
      <c r="B81" s="459"/>
      <c r="C81" s="459"/>
      <c r="D81" s="466"/>
      <c r="E81" s="481"/>
      <c r="F81" s="633"/>
      <c r="G81" s="459"/>
      <c r="H81" s="459"/>
      <c r="I81" s="459"/>
      <c r="J81" s="459"/>
      <c r="K81" s="468"/>
      <c r="L81" s="631" t="s">
        <v>20</v>
      </c>
      <c r="M81" s="632"/>
      <c r="N81" s="469"/>
      <c r="O81" s="469"/>
      <c r="P81" s="469"/>
      <c r="Q81" s="469"/>
      <c r="R81" s="634"/>
      <c r="S81" s="469"/>
      <c r="T81" s="459"/>
      <c r="U81" s="469"/>
      <c r="V81" s="459"/>
      <c r="W81" s="467"/>
      <c r="X81" s="459"/>
      <c r="Y81" s="469"/>
      <c r="Z81" s="467"/>
      <c r="AA81" s="466"/>
      <c r="AB81" s="466"/>
      <c r="AC81" s="466"/>
    </row>
    <row r="82" spans="1:29" s="458" customFormat="1" ht="12" x14ac:dyDescent="0.2">
      <c r="A82" s="459"/>
      <c r="B82" s="459"/>
      <c r="C82" s="459"/>
      <c r="D82" s="466"/>
      <c r="E82" s="481"/>
      <c r="F82" s="633"/>
      <c r="G82" s="459"/>
      <c r="H82" s="459"/>
      <c r="I82" s="459"/>
      <c r="J82" s="459"/>
      <c r="K82" s="468"/>
      <c r="L82" s="631" t="s">
        <v>20</v>
      </c>
      <c r="M82" s="632"/>
      <c r="N82" s="469"/>
      <c r="O82" s="469"/>
      <c r="P82" s="469"/>
      <c r="Q82" s="469"/>
      <c r="R82" s="634"/>
      <c r="S82" s="469"/>
      <c r="T82" s="459"/>
      <c r="U82" s="469"/>
      <c r="V82" s="459"/>
      <c r="W82" s="467"/>
      <c r="X82" s="459"/>
      <c r="Y82" s="469"/>
      <c r="Z82" s="467"/>
      <c r="AA82" s="466"/>
      <c r="AB82" s="466"/>
      <c r="AC82" s="466"/>
    </row>
    <row r="83" spans="1:29" s="458" customFormat="1" ht="12" x14ac:dyDescent="0.2">
      <c r="A83" s="459"/>
      <c r="B83" s="459"/>
      <c r="C83" s="459"/>
      <c r="D83" s="466"/>
      <c r="E83" s="481"/>
      <c r="F83" s="633"/>
      <c r="G83" s="459"/>
      <c r="H83" s="459"/>
      <c r="I83" s="459"/>
      <c r="J83" s="459"/>
      <c r="K83" s="468"/>
      <c r="L83" s="631" t="s">
        <v>20</v>
      </c>
      <c r="M83" s="632"/>
      <c r="N83" s="469"/>
      <c r="O83" s="469"/>
      <c r="P83" s="469"/>
      <c r="Q83" s="469"/>
      <c r="R83" s="634"/>
      <c r="S83" s="469"/>
      <c r="T83" s="459"/>
      <c r="U83" s="469"/>
      <c r="V83" s="459"/>
      <c r="W83" s="467"/>
      <c r="X83" s="459"/>
      <c r="Y83" s="469"/>
      <c r="Z83" s="467"/>
      <c r="AA83" s="466"/>
      <c r="AB83" s="466"/>
      <c r="AC83" s="466"/>
    </row>
    <row r="84" spans="1:29" s="458" customFormat="1" ht="12" x14ac:dyDescent="0.2">
      <c r="A84" s="459"/>
      <c r="B84" s="459"/>
      <c r="C84" s="459"/>
      <c r="D84" s="466"/>
      <c r="E84" s="481"/>
      <c r="F84" s="633"/>
      <c r="G84" s="459"/>
      <c r="H84" s="459"/>
      <c r="I84" s="459"/>
      <c r="J84" s="459"/>
      <c r="K84" s="468"/>
      <c r="L84" s="631" t="s">
        <v>20</v>
      </c>
      <c r="M84" s="632"/>
      <c r="N84" s="469"/>
      <c r="O84" s="469"/>
      <c r="P84" s="469"/>
      <c r="Q84" s="469"/>
      <c r="R84" s="634"/>
      <c r="S84" s="469"/>
      <c r="T84" s="459"/>
      <c r="U84" s="469"/>
      <c r="V84" s="459"/>
      <c r="W84" s="467"/>
      <c r="X84" s="459"/>
      <c r="Y84" s="469"/>
      <c r="Z84" s="467"/>
      <c r="AA84" s="466"/>
      <c r="AB84" s="466"/>
      <c r="AC84" s="466"/>
    </row>
    <row r="85" spans="1:29" s="458" customFormat="1" ht="12" x14ac:dyDescent="0.2">
      <c r="A85" s="459"/>
      <c r="B85" s="459"/>
      <c r="C85" s="459"/>
      <c r="D85" s="466"/>
      <c r="E85" s="481"/>
      <c r="F85" s="633"/>
      <c r="G85" s="459"/>
      <c r="H85" s="459"/>
      <c r="I85" s="459"/>
      <c r="J85" s="459"/>
      <c r="K85" s="468"/>
      <c r="L85" s="631" t="s">
        <v>20</v>
      </c>
      <c r="M85" s="632"/>
      <c r="N85" s="469"/>
      <c r="O85" s="469"/>
      <c r="P85" s="469"/>
      <c r="Q85" s="469"/>
      <c r="R85" s="634"/>
      <c r="S85" s="469"/>
      <c r="T85" s="459"/>
      <c r="U85" s="469"/>
      <c r="V85" s="459"/>
      <c r="W85" s="467"/>
      <c r="X85" s="459"/>
      <c r="Y85" s="469"/>
      <c r="Z85" s="467"/>
      <c r="AA85" s="466"/>
      <c r="AB85" s="466"/>
      <c r="AC85" s="466"/>
    </row>
    <row r="86" spans="1:29" s="458" customFormat="1" ht="12" x14ac:dyDescent="0.2">
      <c r="A86" s="459"/>
      <c r="B86" s="459"/>
      <c r="C86" s="459"/>
      <c r="D86" s="466"/>
      <c r="E86" s="481"/>
      <c r="F86" s="633"/>
      <c r="G86" s="459"/>
      <c r="H86" s="459"/>
      <c r="I86" s="459"/>
      <c r="J86" s="459"/>
      <c r="K86" s="468"/>
      <c r="L86" s="631" t="s">
        <v>20</v>
      </c>
      <c r="M86" s="632"/>
      <c r="N86" s="469"/>
      <c r="O86" s="469"/>
      <c r="P86" s="469"/>
      <c r="Q86" s="469"/>
      <c r="R86" s="634"/>
      <c r="S86" s="469"/>
      <c r="T86" s="459"/>
      <c r="U86" s="469"/>
      <c r="V86" s="459"/>
      <c r="W86" s="467"/>
      <c r="X86" s="459"/>
      <c r="Y86" s="469"/>
      <c r="Z86" s="467"/>
      <c r="AA86" s="466"/>
      <c r="AB86" s="466"/>
      <c r="AC86" s="466"/>
    </row>
    <row r="87" spans="1:29" s="458" customFormat="1" ht="12" x14ac:dyDescent="0.2">
      <c r="A87" s="459"/>
      <c r="B87" s="459"/>
      <c r="C87" s="459"/>
      <c r="D87" s="466"/>
      <c r="E87" s="481"/>
      <c r="F87" s="633"/>
      <c r="G87" s="459"/>
      <c r="H87" s="459"/>
      <c r="I87" s="459"/>
      <c r="J87" s="459"/>
      <c r="K87" s="468"/>
      <c r="L87" s="631" t="s">
        <v>20</v>
      </c>
      <c r="M87" s="632"/>
      <c r="N87" s="469"/>
      <c r="O87" s="469"/>
      <c r="P87" s="469"/>
      <c r="Q87" s="469"/>
      <c r="R87" s="634"/>
      <c r="S87" s="469"/>
      <c r="T87" s="459"/>
      <c r="U87" s="469"/>
      <c r="V87" s="459"/>
      <c r="W87" s="467"/>
      <c r="X87" s="459"/>
      <c r="Y87" s="469"/>
      <c r="Z87" s="467"/>
      <c r="AA87" s="466"/>
      <c r="AB87" s="466"/>
      <c r="AC87" s="466"/>
    </row>
    <row r="88" spans="1:29" s="458" customFormat="1" ht="12" x14ac:dyDescent="0.2">
      <c r="A88" s="459"/>
      <c r="B88" s="459"/>
      <c r="C88" s="459"/>
      <c r="D88" s="466"/>
      <c r="E88" s="481"/>
      <c r="F88" s="633"/>
      <c r="G88" s="459"/>
      <c r="H88" s="459"/>
      <c r="I88" s="459"/>
      <c r="J88" s="459"/>
      <c r="K88" s="468"/>
      <c r="L88" s="631" t="s">
        <v>20</v>
      </c>
      <c r="M88" s="632"/>
      <c r="N88" s="469"/>
      <c r="O88" s="469"/>
      <c r="P88" s="469"/>
      <c r="Q88" s="469"/>
      <c r="R88" s="634"/>
      <c r="S88" s="469"/>
      <c r="T88" s="459"/>
      <c r="U88" s="469"/>
      <c r="V88" s="459"/>
      <c r="W88" s="467"/>
      <c r="X88" s="459"/>
      <c r="Y88" s="469"/>
      <c r="Z88" s="467"/>
      <c r="AA88" s="466"/>
      <c r="AB88" s="466"/>
      <c r="AC88" s="466"/>
    </row>
    <row r="89" spans="1:29" s="458" customFormat="1" ht="12" x14ac:dyDescent="0.2">
      <c r="A89" s="459"/>
      <c r="B89" s="459"/>
      <c r="C89" s="459"/>
      <c r="D89" s="466"/>
      <c r="E89" s="481"/>
      <c r="F89" s="633"/>
      <c r="G89" s="459"/>
      <c r="H89" s="459"/>
      <c r="I89" s="459"/>
      <c r="J89" s="459"/>
      <c r="K89" s="468"/>
      <c r="L89" s="631" t="s">
        <v>20</v>
      </c>
      <c r="M89" s="632"/>
      <c r="N89" s="469"/>
      <c r="O89" s="469"/>
      <c r="P89" s="469"/>
      <c r="Q89" s="469"/>
      <c r="R89" s="634"/>
      <c r="S89" s="469"/>
      <c r="T89" s="459"/>
      <c r="U89" s="469"/>
      <c r="V89" s="459"/>
      <c r="W89" s="467"/>
      <c r="X89" s="459"/>
      <c r="Y89" s="469"/>
      <c r="Z89" s="467"/>
      <c r="AA89" s="466"/>
      <c r="AB89" s="466"/>
      <c r="AC89" s="466"/>
    </row>
    <row r="90" spans="1:29" s="458" customFormat="1" ht="12" x14ac:dyDescent="0.2">
      <c r="A90" s="459"/>
      <c r="B90" s="459"/>
      <c r="C90" s="459"/>
      <c r="D90" s="466"/>
      <c r="E90" s="481"/>
      <c r="F90" s="633"/>
      <c r="G90" s="459"/>
      <c r="H90" s="459"/>
      <c r="I90" s="459"/>
      <c r="J90" s="459"/>
      <c r="K90" s="468"/>
      <c r="L90" s="631" t="s">
        <v>20</v>
      </c>
      <c r="M90" s="632"/>
      <c r="N90" s="469"/>
      <c r="O90" s="469"/>
      <c r="P90" s="469"/>
      <c r="Q90" s="469"/>
      <c r="R90" s="634"/>
      <c r="S90" s="469"/>
      <c r="T90" s="459"/>
      <c r="U90" s="469"/>
      <c r="V90" s="459"/>
      <c r="W90" s="467"/>
      <c r="X90" s="459"/>
      <c r="Y90" s="469"/>
      <c r="Z90" s="467"/>
      <c r="AA90" s="466"/>
      <c r="AB90" s="466"/>
      <c r="AC90" s="466"/>
    </row>
    <row r="91" spans="1:29" s="458" customFormat="1" ht="12" x14ac:dyDescent="0.2">
      <c r="A91" s="459"/>
      <c r="B91" s="459"/>
      <c r="C91" s="459"/>
      <c r="D91" s="466"/>
      <c r="E91" s="481"/>
      <c r="F91" s="633"/>
      <c r="G91" s="459"/>
      <c r="H91" s="459"/>
      <c r="I91" s="459"/>
      <c r="J91" s="459"/>
      <c r="K91" s="468"/>
      <c r="L91" s="631" t="s">
        <v>20</v>
      </c>
      <c r="M91" s="632"/>
      <c r="N91" s="469"/>
      <c r="O91" s="469"/>
      <c r="P91" s="469"/>
      <c r="Q91" s="469"/>
      <c r="R91" s="634"/>
      <c r="S91" s="469"/>
      <c r="T91" s="459"/>
      <c r="U91" s="469"/>
      <c r="V91" s="459"/>
      <c r="W91" s="467"/>
      <c r="X91" s="459"/>
      <c r="Y91" s="469"/>
      <c r="Z91" s="467"/>
      <c r="AA91" s="466"/>
      <c r="AB91" s="466"/>
      <c r="AC91" s="466"/>
    </row>
    <row r="92" spans="1:29" s="458" customFormat="1" ht="12" x14ac:dyDescent="0.2">
      <c r="A92" s="459"/>
      <c r="B92" s="459"/>
      <c r="C92" s="459"/>
      <c r="D92" s="466"/>
      <c r="E92" s="481"/>
      <c r="F92" s="633"/>
      <c r="G92" s="459"/>
      <c r="H92" s="459"/>
      <c r="I92" s="459"/>
      <c r="J92" s="459"/>
      <c r="K92" s="468"/>
      <c r="L92" s="631" t="s">
        <v>20</v>
      </c>
      <c r="M92" s="632"/>
      <c r="N92" s="469"/>
      <c r="O92" s="469"/>
      <c r="P92" s="469"/>
      <c r="Q92" s="469"/>
      <c r="R92" s="634"/>
      <c r="S92" s="469"/>
      <c r="T92" s="459"/>
      <c r="U92" s="469"/>
      <c r="V92" s="459"/>
      <c r="W92" s="467"/>
      <c r="X92" s="459"/>
      <c r="Y92" s="469"/>
      <c r="Z92" s="467"/>
      <c r="AA92" s="466"/>
      <c r="AB92" s="466"/>
      <c r="AC92" s="466"/>
    </row>
    <row r="93" spans="1:29" s="458" customFormat="1" ht="12" x14ac:dyDescent="0.2">
      <c r="A93" s="459"/>
      <c r="B93" s="459"/>
      <c r="C93" s="459"/>
      <c r="D93" s="466"/>
      <c r="E93" s="481"/>
      <c r="F93" s="633"/>
      <c r="G93" s="459"/>
      <c r="H93" s="459"/>
      <c r="I93" s="459"/>
      <c r="J93" s="459"/>
      <c r="K93" s="468"/>
      <c r="L93" s="631" t="s">
        <v>20</v>
      </c>
      <c r="M93" s="632"/>
      <c r="N93" s="469"/>
      <c r="O93" s="469"/>
      <c r="P93" s="469"/>
      <c r="Q93" s="469"/>
      <c r="R93" s="634"/>
      <c r="S93" s="469"/>
      <c r="T93" s="459"/>
      <c r="U93" s="469"/>
      <c r="V93" s="459"/>
      <c r="W93" s="467"/>
      <c r="X93" s="459"/>
      <c r="Y93" s="469"/>
      <c r="Z93" s="467"/>
      <c r="AA93" s="466"/>
      <c r="AB93" s="466"/>
      <c r="AC93" s="466"/>
    </row>
    <row r="94" spans="1:29" s="458" customFormat="1" ht="12" x14ac:dyDescent="0.2">
      <c r="A94" s="459"/>
      <c r="B94" s="459"/>
      <c r="C94" s="459"/>
      <c r="D94" s="466"/>
      <c r="E94" s="481"/>
      <c r="F94" s="633"/>
      <c r="G94" s="459"/>
      <c r="H94" s="459"/>
      <c r="I94" s="459"/>
      <c r="J94" s="459"/>
      <c r="K94" s="468"/>
      <c r="L94" s="631" t="s">
        <v>20</v>
      </c>
      <c r="M94" s="632"/>
      <c r="N94" s="469"/>
      <c r="O94" s="469"/>
      <c r="P94" s="469"/>
      <c r="Q94" s="469"/>
      <c r="R94" s="634"/>
      <c r="S94" s="469"/>
      <c r="T94" s="459"/>
      <c r="U94" s="469"/>
      <c r="V94" s="459"/>
      <c r="W94" s="467"/>
      <c r="X94" s="459"/>
      <c r="Y94" s="469"/>
      <c r="Z94" s="467"/>
      <c r="AA94" s="466"/>
      <c r="AB94" s="466"/>
      <c r="AC94" s="466"/>
    </row>
    <row r="95" spans="1:29" s="458" customFormat="1" ht="12" x14ac:dyDescent="0.2">
      <c r="A95" s="459"/>
      <c r="B95" s="459"/>
      <c r="C95" s="459"/>
      <c r="D95" s="466"/>
      <c r="E95" s="481"/>
      <c r="F95" s="633"/>
      <c r="G95" s="459"/>
      <c r="H95" s="459"/>
      <c r="I95" s="459"/>
      <c r="J95" s="459"/>
      <c r="K95" s="468"/>
      <c r="L95" s="631" t="s">
        <v>20</v>
      </c>
      <c r="M95" s="632"/>
      <c r="N95" s="469"/>
      <c r="O95" s="469"/>
      <c r="P95" s="469"/>
      <c r="Q95" s="469"/>
      <c r="R95" s="634"/>
      <c r="S95" s="469"/>
      <c r="T95" s="459"/>
      <c r="U95" s="469"/>
      <c r="V95" s="459"/>
      <c r="W95" s="467"/>
      <c r="X95" s="459"/>
      <c r="Y95" s="469"/>
      <c r="Z95" s="467"/>
      <c r="AA95" s="466"/>
      <c r="AB95" s="466"/>
      <c r="AC95" s="466"/>
    </row>
    <row r="96" spans="1:29" s="458" customFormat="1" ht="12" x14ac:dyDescent="0.2">
      <c r="A96" s="459"/>
      <c r="B96" s="459"/>
      <c r="C96" s="459"/>
      <c r="D96" s="466"/>
      <c r="E96" s="481"/>
      <c r="F96" s="633"/>
      <c r="G96" s="459"/>
      <c r="H96" s="459"/>
      <c r="I96" s="459"/>
      <c r="J96" s="459"/>
      <c r="K96" s="468"/>
      <c r="L96" s="631" t="s">
        <v>20</v>
      </c>
      <c r="M96" s="632"/>
      <c r="N96" s="469"/>
      <c r="O96" s="469"/>
      <c r="P96" s="469"/>
      <c r="Q96" s="469"/>
      <c r="R96" s="634"/>
      <c r="S96" s="469"/>
      <c r="T96" s="459"/>
      <c r="U96" s="469"/>
      <c r="V96" s="459"/>
      <c r="W96" s="467"/>
      <c r="X96" s="459"/>
      <c r="Y96" s="469"/>
      <c r="Z96" s="467"/>
      <c r="AA96" s="466"/>
      <c r="AB96" s="466"/>
      <c r="AC96" s="466"/>
    </row>
    <row r="97" spans="1:253" s="458" customFormat="1" ht="12" x14ac:dyDescent="0.2">
      <c r="A97" s="459"/>
      <c r="B97" s="459"/>
      <c r="C97" s="459"/>
      <c r="D97" s="466"/>
      <c r="E97" s="481"/>
      <c r="F97" s="633"/>
      <c r="G97" s="459"/>
      <c r="H97" s="459"/>
      <c r="I97" s="459"/>
      <c r="J97" s="459"/>
      <c r="K97" s="468"/>
      <c r="L97" s="631" t="s">
        <v>20</v>
      </c>
      <c r="M97" s="632"/>
      <c r="N97" s="469"/>
      <c r="O97" s="469"/>
      <c r="P97" s="469"/>
      <c r="Q97" s="469"/>
      <c r="R97" s="634"/>
      <c r="S97" s="469"/>
      <c r="T97" s="459"/>
      <c r="U97" s="469"/>
      <c r="V97" s="459"/>
      <c r="W97" s="467"/>
      <c r="X97" s="459"/>
      <c r="Y97" s="469"/>
      <c r="Z97" s="467"/>
      <c r="AA97" s="466"/>
      <c r="AB97" s="466"/>
      <c r="AC97" s="466"/>
    </row>
    <row r="98" spans="1:253" s="458" customFormat="1" ht="12" x14ac:dyDescent="0.2">
      <c r="A98" s="459"/>
      <c r="B98" s="459"/>
      <c r="C98" s="459"/>
      <c r="D98" s="466"/>
      <c r="E98" s="481"/>
      <c r="F98" s="633"/>
      <c r="G98" s="459"/>
      <c r="H98" s="459"/>
      <c r="I98" s="459"/>
      <c r="J98" s="459"/>
      <c r="K98" s="468"/>
      <c r="L98" s="631" t="s">
        <v>20</v>
      </c>
      <c r="M98" s="632"/>
      <c r="N98" s="469"/>
      <c r="O98" s="469"/>
      <c r="P98" s="469"/>
      <c r="Q98" s="469"/>
      <c r="R98" s="634"/>
      <c r="S98" s="469"/>
      <c r="T98" s="459"/>
      <c r="U98" s="469"/>
      <c r="V98" s="459"/>
      <c r="W98" s="467"/>
      <c r="X98" s="459"/>
      <c r="Y98" s="469"/>
      <c r="Z98" s="467"/>
      <c r="AA98" s="466"/>
      <c r="AB98" s="466"/>
      <c r="AC98" s="466"/>
    </row>
    <row r="99" spans="1:253" s="458" customFormat="1" ht="12" x14ac:dyDescent="0.2">
      <c r="A99" s="459"/>
      <c r="B99" s="459"/>
      <c r="C99" s="459"/>
      <c r="D99" s="466"/>
      <c r="E99" s="481"/>
      <c r="F99" s="633"/>
      <c r="G99" s="459"/>
      <c r="H99" s="459"/>
      <c r="I99" s="459"/>
      <c r="J99" s="459"/>
      <c r="K99" s="468"/>
      <c r="L99" s="631" t="s">
        <v>20</v>
      </c>
      <c r="M99" s="632"/>
      <c r="N99" s="469"/>
      <c r="O99" s="469"/>
      <c r="P99" s="469"/>
      <c r="Q99" s="469"/>
      <c r="R99" s="634"/>
      <c r="S99" s="469"/>
      <c r="T99" s="459"/>
      <c r="U99" s="469"/>
      <c r="V99" s="459"/>
      <c r="W99" s="467"/>
      <c r="X99" s="459"/>
      <c r="Y99" s="469"/>
      <c r="Z99" s="467"/>
      <c r="AA99" s="466"/>
      <c r="AB99" s="466"/>
      <c r="AC99" s="466"/>
    </row>
    <row r="100" spans="1:253" s="458" customFormat="1" ht="12" x14ac:dyDescent="0.2">
      <c r="A100" s="459"/>
      <c r="B100" s="459"/>
      <c r="C100" s="459"/>
      <c r="D100" s="466"/>
      <c r="E100" s="481"/>
      <c r="F100" s="633"/>
      <c r="G100" s="459"/>
      <c r="H100" s="459"/>
      <c r="I100" s="459"/>
      <c r="J100" s="459"/>
      <c r="K100" s="468"/>
      <c r="L100" s="631" t="s">
        <v>20</v>
      </c>
      <c r="M100" s="632"/>
      <c r="N100" s="469"/>
      <c r="O100" s="469"/>
      <c r="P100" s="469"/>
      <c r="Q100" s="469"/>
      <c r="R100" s="634"/>
      <c r="S100" s="469"/>
      <c r="T100" s="459"/>
      <c r="U100" s="469"/>
      <c r="V100" s="459"/>
      <c r="W100" s="467"/>
      <c r="X100" s="459"/>
      <c r="Y100" s="469"/>
      <c r="Z100" s="467"/>
      <c r="AA100" s="466"/>
      <c r="AB100" s="466"/>
      <c r="AC100" s="466"/>
    </row>
    <row r="101" spans="1:253" s="458" customFormat="1" ht="12" x14ac:dyDescent="0.2">
      <c r="A101" s="459"/>
      <c r="B101" s="459"/>
      <c r="C101" s="459"/>
      <c r="D101" s="466"/>
      <c r="E101" s="481"/>
      <c r="F101" s="633"/>
      <c r="G101" s="459"/>
      <c r="H101" s="459"/>
      <c r="I101" s="459"/>
      <c r="J101" s="459"/>
      <c r="K101" s="468"/>
      <c r="L101" s="631" t="s">
        <v>20</v>
      </c>
      <c r="M101" s="632"/>
      <c r="N101" s="469"/>
      <c r="O101" s="469"/>
      <c r="P101" s="469"/>
      <c r="Q101" s="469"/>
      <c r="R101" s="634"/>
      <c r="S101" s="469"/>
      <c r="T101" s="459"/>
      <c r="U101" s="469"/>
      <c r="V101" s="459"/>
      <c r="W101" s="467"/>
      <c r="X101" s="459"/>
      <c r="Y101" s="469"/>
      <c r="Z101" s="467"/>
      <c r="AA101" s="466"/>
      <c r="AB101" s="466"/>
      <c r="AC101" s="466"/>
    </row>
    <row r="102" spans="1:253" s="458" customFormat="1" ht="12" x14ac:dyDescent="0.2">
      <c r="A102" s="459"/>
      <c r="B102" s="459"/>
      <c r="C102" s="459"/>
      <c r="D102" s="466"/>
      <c r="E102" s="481"/>
      <c r="F102" s="633"/>
      <c r="G102" s="459"/>
      <c r="H102" s="459"/>
      <c r="I102" s="459"/>
      <c r="J102" s="459"/>
      <c r="K102" s="468"/>
      <c r="L102" s="631" t="s">
        <v>20</v>
      </c>
      <c r="M102" s="632"/>
      <c r="N102" s="469"/>
      <c r="O102" s="469"/>
      <c r="P102" s="469"/>
      <c r="Q102" s="469"/>
      <c r="R102" s="634"/>
      <c r="S102" s="469"/>
      <c r="T102" s="459"/>
      <c r="U102" s="469"/>
      <c r="V102" s="459"/>
      <c r="W102" s="467"/>
      <c r="X102" s="459"/>
      <c r="Y102" s="469"/>
      <c r="Z102" s="467"/>
      <c r="AA102" s="466"/>
      <c r="AB102" s="466"/>
      <c r="AC102" s="466"/>
    </row>
    <row r="103" spans="1:253" s="458" customFormat="1" ht="12" x14ac:dyDescent="0.2">
      <c r="A103" s="459"/>
      <c r="B103" s="459"/>
      <c r="C103" s="459"/>
      <c r="D103" s="466"/>
      <c r="E103" s="481"/>
      <c r="F103" s="633"/>
      <c r="G103" s="459"/>
      <c r="H103" s="459"/>
      <c r="I103" s="459"/>
      <c r="J103" s="459"/>
      <c r="K103" s="468"/>
      <c r="L103" s="631" t="s">
        <v>20</v>
      </c>
      <c r="M103" s="632"/>
      <c r="N103" s="469"/>
      <c r="O103" s="469"/>
      <c r="P103" s="469"/>
      <c r="Q103" s="469"/>
      <c r="R103" s="634"/>
      <c r="S103" s="469"/>
      <c r="T103" s="459"/>
      <c r="U103" s="469"/>
      <c r="V103" s="459"/>
      <c r="W103" s="467"/>
      <c r="X103" s="459"/>
      <c r="Y103" s="469"/>
      <c r="Z103" s="467"/>
      <c r="AA103" s="466"/>
      <c r="AB103" s="466"/>
      <c r="AC103" s="466"/>
    </row>
    <row r="104" spans="1:253" s="458" customFormat="1" ht="12" x14ac:dyDescent="0.2">
      <c r="A104" s="459"/>
      <c r="B104" s="459"/>
      <c r="C104" s="459"/>
      <c r="D104" s="466"/>
      <c r="E104" s="481"/>
      <c r="F104" s="633"/>
      <c r="G104" s="459"/>
      <c r="H104" s="459"/>
      <c r="I104" s="459"/>
      <c r="J104" s="459"/>
      <c r="K104" s="468"/>
      <c r="L104" s="631" t="s">
        <v>20</v>
      </c>
      <c r="M104" s="632"/>
      <c r="N104" s="469"/>
      <c r="O104" s="469"/>
      <c r="P104" s="469"/>
      <c r="Q104" s="469"/>
      <c r="R104" s="634"/>
      <c r="S104" s="469"/>
      <c r="T104" s="459"/>
      <c r="U104" s="469"/>
      <c r="V104" s="459"/>
      <c r="W104" s="467"/>
      <c r="X104" s="459"/>
      <c r="Y104" s="469"/>
      <c r="Z104" s="467"/>
      <c r="AA104" s="466"/>
      <c r="AB104" s="466"/>
      <c r="AC104" s="466"/>
    </row>
    <row r="105" spans="1:253" s="458" customFormat="1" ht="12" x14ac:dyDescent="0.2">
      <c r="A105" s="459"/>
      <c r="B105" s="459"/>
      <c r="C105" s="459"/>
      <c r="D105" s="466"/>
      <c r="E105" s="481"/>
      <c r="F105" s="633"/>
      <c r="G105" s="459"/>
      <c r="H105" s="459"/>
      <c r="I105" s="459"/>
      <c r="J105" s="459"/>
      <c r="K105" s="468"/>
      <c r="L105" s="631" t="s">
        <v>20</v>
      </c>
      <c r="M105" s="632"/>
      <c r="N105" s="469"/>
      <c r="O105" s="469"/>
      <c r="P105" s="469"/>
      <c r="Q105" s="469"/>
      <c r="R105" s="634"/>
      <c r="S105" s="469"/>
      <c r="T105" s="459"/>
      <c r="U105" s="469"/>
      <c r="V105" s="459"/>
      <c r="W105" s="467"/>
      <c r="X105" s="459"/>
      <c r="Y105" s="469"/>
      <c r="Z105" s="467"/>
      <c r="AA105" s="466"/>
      <c r="AB105" s="466"/>
      <c r="AC105" s="466"/>
    </row>
    <row r="106" spans="1:253" ht="15" x14ac:dyDescent="0.25">
      <c r="A106" s="13"/>
      <c r="B106" s="13"/>
      <c r="C106" s="13"/>
      <c r="D106" s="450"/>
      <c r="E106" s="13"/>
      <c r="F106" s="451"/>
      <c r="G106" s="13"/>
      <c r="H106" s="437"/>
      <c r="I106" s="452"/>
      <c r="J106" s="13"/>
      <c r="K106" s="442"/>
      <c r="L106" s="416" t="s">
        <v>20</v>
      </c>
      <c r="M106" s="13"/>
      <c r="N106" s="453"/>
      <c r="O106" s="12"/>
      <c r="P106" s="13"/>
      <c r="Q106" s="453"/>
      <c r="R106" s="453"/>
      <c r="S106" s="453"/>
      <c r="T106" s="419"/>
      <c r="U106" s="13"/>
      <c r="V106" s="13"/>
      <c r="W106" s="13"/>
      <c r="X106" s="13"/>
      <c r="Y106" s="13"/>
      <c r="Z106" s="13"/>
      <c r="AA106" s="13"/>
      <c r="AB106" s="13"/>
      <c r="AC106" s="110"/>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row>
    <row r="107" spans="1:253" ht="15" x14ac:dyDescent="0.25">
      <c r="A107" s="13"/>
      <c r="B107" s="13"/>
      <c r="C107" s="13"/>
      <c r="D107" s="450"/>
      <c r="E107" s="13"/>
      <c r="F107" s="451"/>
      <c r="G107" s="13"/>
      <c r="H107" s="437"/>
      <c r="I107" s="452"/>
      <c r="J107" s="13"/>
      <c r="K107" s="442"/>
      <c r="L107" s="416" t="s">
        <v>20</v>
      </c>
      <c r="M107" s="13"/>
      <c r="N107" s="453"/>
      <c r="O107" s="12"/>
      <c r="P107" s="13"/>
      <c r="Q107" s="453"/>
      <c r="R107" s="453"/>
      <c r="S107" s="453"/>
      <c r="T107" s="419"/>
      <c r="U107" s="13"/>
      <c r="V107" s="13"/>
      <c r="W107" s="13"/>
      <c r="X107" s="13"/>
      <c r="Y107" s="13"/>
      <c r="Z107" s="13"/>
      <c r="AA107" s="13"/>
      <c r="AB107" s="13"/>
      <c r="AC107" s="110"/>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row>
  </sheetData>
  <protectedRanges>
    <protectedRange sqref="B12:B59" name="Диапазон1_2_2_4_1_1_1_1_1_1_1_1_1_2_1_1_1_1_2_1"/>
    <protectedRange sqref="C13:C14" name="Диапазон1_2_6_1_1_1_1_1_2_1_1_1_1_1_1_1_1_1_2_1_1"/>
  </protectedRanges>
  <autoFilter ref="A9:AD95"/>
  <mergeCells count="1">
    <mergeCell ref="O9:Q9"/>
  </mergeCells>
  <conditionalFormatting sqref="Q42:Q95">
    <cfRule type="cellIs" dxfId="21" priority="889" stopIfTrue="1" operator="notEqual">
      <formula>$O42-$P42</formula>
    </cfRule>
  </conditionalFormatting>
  <conditionalFormatting sqref="D42:D107 E34:E41">
    <cfRule type="cellIs" dxfId="20" priority="874" stopIfTrue="1" operator="lessThanOrEqual">
      <formula>$F$1</formula>
    </cfRule>
    <cfRule type="cellIs" dxfId="19" priority="875" stopIfTrue="1" operator="lessThanOrEqual">
      <formula>$G$1</formula>
    </cfRule>
    <cfRule type="cellIs" dxfId="18" priority="876" stopIfTrue="1" operator="notBetween">
      <formula>$F$1</formula>
      <formula>$G$1</formula>
    </cfRule>
  </conditionalFormatting>
  <conditionalFormatting sqref="Q94:Q107">
    <cfRule type="cellIs" dxfId="17" priority="57" stopIfTrue="1" operator="notEqual">
      <formula>$O94-$P94</formula>
    </cfRule>
  </conditionalFormatting>
  <conditionalFormatting sqref="Q42:Q85">
    <cfRule type="cellIs" dxfId="16" priority="51" stopIfTrue="1" operator="notEqual">
      <formula>O42-P42</formula>
    </cfRule>
  </conditionalFormatting>
  <conditionalFormatting sqref="R34:R41">
    <cfRule type="cellIs" dxfId="15" priority="891" stopIfTrue="1" operator="notEqual">
      <formula>$P34-$Q34</formula>
    </cfRule>
  </conditionalFormatting>
  <conditionalFormatting sqref="Q29:Q41">
    <cfRule type="cellIs" dxfId="14" priority="43" stopIfTrue="1" operator="notEqual">
      <formula>O29-P29</formula>
    </cfRule>
  </conditionalFormatting>
  <conditionalFormatting sqref="Q86:Q96">
    <cfRule type="cellIs" dxfId="13" priority="48" stopIfTrue="1" operator="notEqual">
      <formula>O86-P86</formula>
    </cfRule>
  </conditionalFormatting>
  <conditionalFormatting sqref="Q53:Q75">
    <cfRule type="cellIs" dxfId="12" priority="45" stopIfTrue="1" operator="notEqual">
      <formula>O53-P53</formula>
    </cfRule>
  </conditionalFormatting>
  <conditionalFormatting sqref="S23:S33">
    <cfRule type="cellIs" dxfId="11" priority="900" stopIfTrue="1" operator="notEqual">
      <formula>$Q23-$R23</formula>
    </cfRule>
  </conditionalFormatting>
  <conditionalFormatting sqref="T12">
    <cfRule type="cellIs" dxfId="10" priority="907" stopIfTrue="1" operator="notEqual">
      <formula>#REF!-S12</formula>
    </cfRule>
  </conditionalFormatting>
  <conditionalFormatting sqref="R20:R41 R14:R15 T11:T105 S11:S19 S23:S105">
    <cfRule type="cellIs" dxfId="9" priority="908" stopIfTrue="1" operator="notEqual">
      <formula>Q11-#REF!</formula>
    </cfRule>
  </conditionalFormatting>
  <conditionalFormatting sqref="T16:T19">
    <cfRule type="cellIs" dxfId="8" priority="922" stopIfTrue="1" operator="notEqual">
      <formula>$R16-$S16</formula>
    </cfRule>
  </conditionalFormatting>
  <conditionalFormatting sqref="T13:T15">
    <cfRule type="cellIs" dxfId="7" priority="931" stopIfTrue="1" operator="notEqual">
      <formula>#REF!-$S13</formula>
    </cfRule>
  </conditionalFormatting>
  <conditionalFormatting sqref="Q27">
    <cfRule type="cellIs" dxfId="6" priority="23" stopIfTrue="1" operator="notEqual">
      <formula>O27-P27</formula>
    </cfRule>
  </conditionalFormatting>
  <conditionalFormatting sqref="R14:R105">
    <cfRule type="cellIs" dxfId="5" priority="13" stopIfTrue="1" operator="notEqual">
      <formula>#REF!-Q14</formula>
    </cfRule>
  </conditionalFormatting>
  <conditionalFormatting sqref="O37:O105">
    <cfRule type="cellIs" dxfId="4" priority="9" stopIfTrue="1" operator="notEqual">
      <formula>M37-N37</formula>
    </cfRule>
  </conditionalFormatting>
  <conditionalFormatting sqref="R14:R101">
    <cfRule type="cellIs" dxfId="3" priority="7" stopIfTrue="1" operator="notEqual">
      <formula>#REF!-Q14</formula>
    </cfRule>
  </conditionalFormatting>
  <conditionalFormatting sqref="O37:O101">
    <cfRule type="cellIs" dxfId="2" priority="3" stopIfTrue="1" operator="notEqual">
      <formula>M37-N37</formula>
    </cfRule>
  </conditionalFormatting>
  <conditionalFormatting sqref="Q26:Q105">
    <cfRule type="cellIs" dxfId="1" priority="945" stopIfTrue="1" operator="notEqual">
      <formula>#REF!-O26</formula>
    </cfRule>
  </conditionalFormatting>
  <conditionalFormatting sqref="R14:R105">
    <cfRule type="cellIs" dxfId="0" priority="946" stopIfTrue="1" operator="notEqual">
      <formula>O14-Q14</formula>
    </cfRule>
  </conditionalFormatting>
  <dataValidations count="2">
    <dataValidation type="list" allowBlank="1" sqref="ANC11:ANC12 AWY11:AWY12 WWA11:WWA12 BGU11:BGU12 JO11:JO12 BQQ11:BQQ12 CAM11:CAM12 CKI11:CKI12 CUE11:CUE12 DEA11:DEA12 DNW11:DNW12 DXS11:DXS12 EHO11:EHO12 ERK11:ERK12 FBG11:FBG12 FLC11:FLC12 FUY11:FUY12 GEU11:GEU12 GOQ11:GOQ12 GYM11:GYM12 HII11:HII12 HSE11:HSE12 ICA11:ICA12 ILW11:ILW12 IVS11:IVS12 JFO11:JFO12 JPK11:JPK12 JZG11:JZG12 KJC11:KJC12 KSY11:KSY12 LCU11:LCU12 LMQ11:LMQ12 LWM11:LWM12 MGI11:MGI12 MQE11:MQE12 NAA11:NAA12 NJW11:NJW12 NTS11:NTS12 ODO11:ODO12 ONK11:ONK12 OXG11:OXG12 PHC11:PHC12 PQY11:PQY12 QAU11:QAU12 QKQ11:QKQ12 QUM11:QUM12 REI11:REI12 ROE11:ROE12 RYA11:RYA12 SHW11:SHW12 SRS11:SRS12 TBO11:TBO12 TLK11:TLK12 TVG11:TVG12 UFC11:UFC12 UOY11:UOY12 UYU11:UYU12 VIQ11:VIQ12 VSM11:VSM12 WCI11:WCI12 WME11:WME12 ADG11:ADG12 TK11:TK12 T11:T96">
      <formula1>Элеватор</formula1>
    </dataValidation>
    <dataValidation type="list" allowBlank="1" showInputMessage="1" showErrorMessage="1" sqref="WWB33:WWB37 T97:T107 WMF19 WCJ19 VSN19 VIR19 UYV19 UOZ19 UFD19 TVH19 TLL19 TBP19 SRT19 SHX19 RYB19 ROF19 REJ19 QUN19 QKR19 QAV19 PQZ19 PHD19 OXH19 ONL19 ODP19 NTT19 NJX19 NAB19 MQF19 MGJ19 LWN19 LMR19 LCV19 KSZ19 KJD19 JZH19 JPL19 JFP19 IVT19 ILX19 ICB19 HSF19 HIJ19 GYN19 GOR19 GEV19 FUZ19 FLD19 FBH19 ERL19 EHP19 DXT19 DNX19 DEB19 CUF19 CKJ19 CAN19 BQR19 BGV19 AWZ19 AND19 ADH19 TL19 JP19 JP33:JP37 WMF33:WMF37 WCJ33:WCJ37 VSN33:VSN37 VIR33:VIR37 UYV33:UYV37 UOZ33:UOZ37 UFD33:UFD37 TVH33:TVH37 TLL33:TLL37 TBP33:TBP37 SRT33:SRT37 SHX33:SHX37 RYB33:RYB37 ROF33:ROF37 REJ33:REJ37 QUN33:QUN37 QKR33:QKR37 QAV33:QAV37 PQZ33:PQZ37 PHD33:PHD37 OXH33:OXH37 ONL33:ONL37 ODP33:ODP37 NTT33:NTT37 NJX33:NJX37 NAB33:NAB37 MQF33:MQF37 MGJ33:MGJ37 LWN33:LWN37 LMR33:LMR37 LCV33:LCV37 KSZ33:KSZ37 KJD33:KJD37 JZH33:JZH37 JPL33:JPL37 JFP33:JFP37 IVT33:IVT37 ILX33:ILX37 ICB33:ICB37 HSF33:HSF37 HIJ33:HIJ37 GYN33:GYN37 GOR33:GOR37 GEV33:GEV37 FUZ33:FUZ37 FLD33:FLD37 FBH33:FBH37 ERL33:ERL37 EHP33:EHP37 DXT33:DXT37 DNX33:DNX37 DEB33:DEB37 CUF33:CUF37 CKJ33:CKJ37 CAN33:CAN37 BQR33:BQR37 BGV33:BGV37 AWZ33:AWZ37 AND33:AND37 ADH33:ADH37 TL33:TL37 WWB19">
      <formula1>$AF$2:$AF$9</formula1>
    </dataValidation>
  </dataValidations>
  <printOptions horizontalCentered="1"/>
  <pageMargins left="0.15748031496062992" right="0" top="0.15748031496062992" bottom="0" header="0" footer="0"/>
  <pageSetup scale="65" pageOrder="overThenDown" orientation="landscape" r:id="rId1"/>
  <headerFooter alignWithMargins="0"/>
  <drawing r:id="rId2"/>
  <legacyDrawing r:id="rId3"/>
  <controls>
    <mc:AlternateContent xmlns:mc="http://schemas.openxmlformats.org/markup-compatibility/2006">
      <mc:Choice Requires="x14">
        <control shapeId="135169" r:id="rId4" name="CommandButton2101">
          <controlPr defaultSize="0" autoLine="0" autoPict="0" r:id="rId5">
            <anchor moveWithCells="1">
              <from>
                <xdr:col>0</xdr:col>
                <xdr:colOff>0</xdr:colOff>
                <xdr:row>1</xdr:row>
                <xdr:rowOff>19050</xdr:rowOff>
              </from>
              <to>
                <xdr:col>6</xdr:col>
                <xdr:colOff>628650</xdr:colOff>
                <xdr:row>3</xdr:row>
                <xdr:rowOff>161925</xdr:rowOff>
              </to>
            </anchor>
          </controlPr>
        </control>
      </mc:Choice>
      <mc:Fallback>
        <control shapeId="135169" r:id="rId4" name="CommandButton2101"/>
      </mc:Fallback>
    </mc:AlternateContent>
    <mc:AlternateContent xmlns:mc="http://schemas.openxmlformats.org/markup-compatibility/2006">
      <mc:Choice Requires="x14">
        <control shapeId="135170" r:id="rId6" name="CommandButton2103">
          <controlPr defaultSize="0" autoLine="0" r:id="rId7">
            <anchor moveWithCells="1">
              <from>
                <xdr:col>11</xdr:col>
                <xdr:colOff>695325</xdr:colOff>
                <xdr:row>1</xdr:row>
                <xdr:rowOff>9525</xdr:rowOff>
              </from>
              <to>
                <xdr:col>12</xdr:col>
                <xdr:colOff>1447800</xdr:colOff>
                <xdr:row>3</xdr:row>
                <xdr:rowOff>161925</xdr:rowOff>
              </to>
            </anchor>
          </controlPr>
        </control>
      </mc:Choice>
      <mc:Fallback>
        <control shapeId="135170" r:id="rId6" name="CommandButton2103"/>
      </mc:Fallback>
    </mc:AlternateContent>
    <mc:AlternateContent xmlns:mc="http://schemas.openxmlformats.org/markup-compatibility/2006">
      <mc:Choice Requires="x14">
        <control shapeId="135171" r:id="rId8" name="CommandButton2102">
          <controlPr defaultSize="0" autoLine="0" autoPict="0" r:id="rId9">
            <anchor moveWithCells="1">
              <from>
                <xdr:col>7</xdr:col>
                <xdr:colOff>19050</xdr:colOff>
                <xdr:row>1</xdr:row>
                <xdr:rowOff>19050</xdr:rowOff>
              </from>
              <to>
                <xdr:col>11</xdr:col>
                <xdr:colOff>171450</xdr:colOff>
                <xdr:row>3</xdr:row>
                <xdr:rowOff>161925</xdr:rowOff>
              </to>
            </anchor>
          </controlPr>
        </control>
      </mc:Choice>
      <mc:Fallback>
        <control shapeId="135171" r:id="rId8" name="CommandButton210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filterMode="1"/>
  <dimension ref="A1:AI25"/>
  <sheetViews>
    <sheetView workbookViewId="0">
      <pane ySplit="10" topLeftCell="A11" activePane="bottomLeft" state="frozen"/>
      <selection pane="bottomLeft" activeCell="T36" sqref="T36"/>
    </sheetView>
  </sheetViews>
  <sheetFormatPr defaultColWidth="15.28515625" defaultRowHeight="12.75" x14ac:dyDescent="0.2"/>
  <cols>
    <col min="1" max="1" width="6.140625" customWidth="1"/>
    <col min="2" max="2" width="7.28515625" customWidth="1"/>
    <col min="3" max="3" width="14.5703125" customWidth="1"/>
    <col min="4" max="4" width="23.28515625" customWidth="1"/>
    <col min="5" max="5" width="6.28515625" customWidth="1"/>
    <col min="6" max="6" width="10.5703125" customWidth="1"/>
    <col min="7" max="7" width="10.7109375" customWidth="1"/>
    <col min="8" max="8" width="10.42578125" customWidth="1"/>
    <col min="9" max="10" width="7.7109375" customWidth="1"/>
    <col min="11" max="11" width="21.140625" customWidth="1"/>
    <col min="12" max="12" width="10.7109375" customWidth="1"/>
    <col min="13" max="13" width="6.85546875" customWidth="1"/>
    <col min="14" max="14" width="8" customWidth="1"/>
    <col min="15" max="15" width="8.7109375" customWidth="1"/>
    <col min="16" max="16" width="8" customWidth="1"/>
    <col min="17" max="17" width="6.28515625" customWidth="1"/>
    <col min="18" max="18" width="10.28515625" customWidth="1"/>
    <col min="19" max="19" width="39.85546875" customWidth="1"/>
    <col min="20" max="20" width="38.140625" customWidth="1"/>
    <col min="21" max="21" width="31" customWidth="1"/>
    <col min="22" max="22" width="10.140625" customWidth="1"/>
    <col min="23" max="23" width="7.7109375" customWidth="1"/>
    <col min="24" max="24" width="7.42578125" customWidth="1"/>
    <col min="25" max="25" width="6.5703125" customWidth="1"/>
    <col min="26" max="26" width="9" customWidth="1"/>
    <col min="27" max="27" width="6.7109375" customWidth="1"/>
    <col min="28" max="28" width="7.7109375" customWidth="1"/>
    <col min="29" max="29" width="9" customWidth="1"/>
    <col min="30" max="31" width="9.7109375" customWidth="1"/>
    <col min="32" max="33" width="9.140625"/>
  </cols>
  <sheetData>
    <row r="1" spans="1:35" x14ac:dyDescent="0.2">
      <c r="A1" s="1">
        <v>1</v>
      </c>
      <c r="B1" s="1">
        <v>2</v>
      </c>
      <c r="C1" s="1">
        <v>3</v>
      </c>
      <c r="D1" s="1">
        <v>4</v>
      </c>
      <c r="E1" s="1">
        <v>5</v>
      </c>
      <c r="F1" s="1">
        <v>6</v>
      </c>
      <c r="G1" s="1">
        <v>7</v>
      </c>
      <c r="H1" s="1">
        <v>8</v>
      </c>
      <c r="I1" s="1">
        <v>9</v>
      </c>
      <c r="J1" s="1">
        <v>10</v>
      </c>
      <c r="K1" s="1">
        <v>11</v>
      </c>
      <c r="L1" s="1">
        <v>12</v>
      </c>
      <c r="M1" s="1">
        <v>13</v>
      </c>
      <c r="N1" s="1">
        <v>14</v>
      </c>
      <c r="O1" s="1">
        <v>15</v>
      </c>
      <c r="P1" s="1">
        <v>16</v>
      </c>
      <c r="Q1" s="1">
        <v>17</v>
      </c>
      <c r="R1" s="1">
        <v>18</v>
      </c>
      <c r="S1" s="1">
        <v>19</v>
      </c>
      <c r="T1" s="1">
        <v>20</v>
      </c>
      <c r="U1" s="1">
        <v>21</v>
      </c>
      <c r="V1" s="1">
        <v>22</v>
      </c>
      <c r="W1" s="1">
        <v>23</v>
      </c>
      <c r="X1" s="1">
        <v>24</v>
      </c>
      <c r="Y1" s="1">
        <v>25</v>
      </c>
      <c r="Z1" s="1">
        <v>26</v>
      </c>
      <c r="AA1" s="1">
        <v>27</v>
      </c>
      <c r="AB1" s="1">
        <v>28</v>
      </c>
      <c r="AC1" s="1">
        <v>29</v>
      </c>
      <c r="AD1" s="1">
        <v>30</v>
      </c>
      <c r="AE1" s="1">
        <v>31</v>
      </c>
      <c r="AF1" s="1">
        <v>32</v>
      </c>
      <c r="AG1" s="1">
        <v>33</v>
      </c>
    </row>
    <row r="2" spans="1:35" ht="12.75" customHeight="1" x14ac:dyDescent="0.2">
      <c r="K2" s="3" t="s">
        <v>67</v>
      </c>
      <c r="L2" s="3" t="s">
        <v>154</v>
      </c>
    </row>
    <row r="3" spans="1:35" ht="12.75" customHeight="1" x14ac:dyDescent="0.2">
      <c r="K3" s="341" t="s">
        <v>204</v>
      </c>
      <c r="L3" s="3"/>
    </row>
    <row r="4" spans="1:35" ht="13.5" customHeight="1" thickBot="1" x14ac:dyDescent="0.25">
      <c r="K4" s="118" t="s">
        <v>142</v>
      </c>
      <c r="L4" s="12"/>
    </row>
    <row r="5" spans="1:35" ht="13.5" customHeight="1" thickBot="1" x14ac:dyDescent="0.25">
      <c r="C5" s="539" t="s">
        <v>261</v>
      </c>
      <c r="D5" s="540"/>
      <c r="I5" s="109" t="s">
        <v>264</v>
      </c>
      <c r="K5" s="118" t="s">
        <v>145</v>
      </c>
      <c r="L5" s="12" t="s">
        <v>147</v>
      </c>
    </row>
    <row r="6" spans="1:35" ht="12.75" customHeight="1" x14ac:dyDescent="0.2">
      <c r="D6" s="46"/>
      <c r="E6" s="46"/>
      <c r="K6" s="118" t="s">
        <v>145</v>
      </c>
      <c r="L6" s="12" t="s">
        <v>148</v>
      </c>
    </row>
    <row r="7" spans="1:35" ht="12.75" customHeight="1" x14ac:dyDescent="0.2">
      <c r="I7" s="198"/>
      <c r="K7" s="118" t="s">
        <v>145</v>
      </c>
      <c r="L7" s="12" t="s">
        <v>149</v>
      </c>
    </row>
    <row r="8" spans="1:35" ht="12.75" customHeight="1" x14ac:dyDescent="0.2">
      <c r="J8" s="5"/>
      <c r="K8" s="118" t="s">
        <v>143</v>
      </c>
      <c r="L8" s="12"/>
    </row>
    <row r="9" spans="1:35" ht="15" customHeight="1" x14ac:dyDescent="0.2">
      <c r="A9" s="541" t="s">
        <v>237</v>
      </c>
      <c r="B9" s="542"/>
      <c r="C9" s="542"/>
      <c r="D9" s="542"/>
      <c r="E9" s="542"/>
      <c r="F9" s="542"/>
      <c r="G9" s="542"/>
      <c r="H9" s="542"/>
      <c r="I9" s="542"/>
      <c r="J9" s="543"/>
      <c r="K9" s="544" t="s">
        <v>269</v>
      </c>
      <c r="L9" s="545"/>
      <c r="M9" s="546"/>
      <c r="N9" s="541" t="s">
        <v>270</v>
      </c>
      <c r="O9" s="542"/>
      <c r="P9" s="543"/>
      <c r="Q9" s="400" t="s">
        <v>273</v>
      </c>
      <c r="R9" s="400" t="s">
        <v>238</v>
      </c>
      <c r="S9" s="400" t="s">
        <v>274</v>
      </c>
      <c r="T9" s="402" t="s">
        <v>275</v>
      </c>
      <c r="U9" s="400" t="s">
        <v>276</v>
      </c>
      <c r="V9" s="400" t="s">
        <v>277</v>
      </c>
      <c r="W9" s="541" t="s">
        <v>278</v>
      </c>
      <c r="X9" s="542"/>
      <c r="Y9" s="542"/>
      <c r="Z9" s="542"/>
      <c r="AA9" s="542"/>
      <c r="AB9" s="542"/>
      <c r="AC9" s="542"/>
      <c r="AD9" s="542"/>
      <c r="AE9" s="543"/>
      <c r="AF9" s="541" t="s">
        <v>289</v>
      </c>
      <c r="AG9" s="543"/>
    </row>
    <row r="10" spans="1:35" ht="38.25" customHeight="1" x14ac:dyDescent="0.2">
      <c r="A10" s="398" t="s">
        <v>262</v>
      </c>
      <c r="B10" s="418"/>
      <c r="C10" s="399"/>
      <c r="D10" s="547" t="s">
        <v>66</v>
      </c>
      <c r="E10" s="548"/>
      <c r="F10" s="401" t="s">
        <v>265</v>
      </c>
      <c r="G10" s="401" t="s">
        <v>266</v>
      </c>
      <c r="H10" s="400" t="s">
        <v>267</v>
      </c>
      <c r="I10" s="398" t="s">
        <v>182</v>
      </c>
      <c r="J10" s="400" t="s">
        <v>268</v>
      </c>
      <c r="K10" s="402" t="s">
        <v>271</v>
      </c>
      <c r="L10" s="401" t="s">
        <v>36</v>
      </c>
      <c r="M10" s="400" t="s">
        <v>272</v>
      </c>
      <c r="N10" s="400" t="s">
        <v>271</v>
      </c>
      <c r="O10" s="400" t="s">
        <v>36</v>
      </c>
      <c r="P10" s="401" t="s">
        <v>272</v>
      </c>
      <c r="Q10" s="549"/>
      <c r="R10" s="549"/>
      <c r="S10" s="549"/>
      <c r="T10" s="550"/>
      <c r="U10" s="549"/>
      <c r="V10" s="549"/>
      <c r="W10" s="403" t="s">
        <v>279</v>
      </c>
      <c r="X10" s="403" t="s">
        <v>280</v>
      </c>
      <c r="Y10" s="531" t="s">
        <v>281</v>
      </c>
      <c r="Z10" s="531" t="s">
        <v>282</v>
      </c>
      <c r="AA10" s="531" t="s">
        <v>283</v>
      </c>
      <c r="AB10" s="531" t="s">
        <v>284</v>
      </c>
      <c r="AC10" s="531" t="s">
        <v>285</v>
      </c>
      <c r="AD10" s="531" t="s">
        <v>286</v>
      </c>
      <c r="AE10" s="531" t="s">
        <v>288</v>
      </c>
      <c r="AF10" s="531" t="s">
        <v>287</v>
      </c>
      <c r="AG10" s="531" t="s">
        <v>133</v>
      </c>
    </row>
    <row r="11" spans="1:35" s="137" customFormat="1" ht="12.75" hidden="1" customHeight="1" x14ac:dyDescent="0.2">
      <c r="A11" s="110" t="s">
        <v>17</v>
      </c>
      <c r="B11" s="4"/>
      <c r="C11" s="534"/>
      <c r="D11" s="559">
        <v>42446.64135416667</v>
      </c>
      <c r="E11" s="4"/>
      <c r="F11" s="560">
        <v>143989</v>
      </c>
      <c r="G11" s="561" t="s">
        <v>310</v>
      </c>
      <c r="H11" s="465"/>
      <c r="I11" s="535"/>
      <c r="J11" s="448" t="s">
        <v>17</v>
      </c>
      <c r="K11" s="341" t="s">
        <v>204</v>
      </c>
      <c r="L11" s="3"/>
      <c r="M11" s="464"/>
      <c r="N11" s="464"/>
      <c r="O11" s="464"/>
      <c r="P11" s="562">
        <v>40660</v>
      </c>
      <c r="Q11" s="536"/>
      <c r="R11" s="465"/>
      <c r="S11" s="465"/>
      <c r="T11" s="561" t="s">
        <v>304</v>
      </c>
      <c r="U11" s="465"/>
      <c r="V11" s="465"/>
      <c r="W11" s="563">
        <v>14.4</v>
      </c>
      <c r="X11" s="563">
        <v>1.72</v>
      </c>
      <c r="Y11" s="538"/>
      <c r="Z11" s="537"/>
      <c r="AA11" s="538"/>
      <c r="AB11" s="538"/>
      <c r="AC11" s="538"/>
      <c r="AD11" s="538"/>
      <c r="AE11" s="538"/>
      <c r="AF11" s="538"/>
      <c r="AG11" s="522"/>
      <c r="AH11" s="521"/>
    </row>
    <row r="12" spans="1:35" s="586" customFormat="1" ht="12.75" customHeight="1" x14ac:dyDescent="0.2">
      <c r="A12" s="564" t="s">
        <v>17</v>
      </c>
      <c r="B12" s="565"/>
      <c r="C12" s="566"/>
      <c r="D12" s="567">
        <v>42446.7028587963</v>
      </c>
      <c r="E12" s="568"/>
      <c r="F12" s="569">
        <v>108619</v>
      </c>
      <c r="G12" s="570" t="s">
        <v>311</v>
      </c>
      <c r="H12" s="571"/>
      <c r="I12" s="572"/>
      <c r="J12" s="573" t="s">
        <v>17</v>
      </c>
      <c r="K12" s="574" t="s">
        <v>204</v>
      </c>
      <c r="L12" s="575"/>
      <c r="M12" s="576"/>
      <c r="N12" s="576"/>
      <c r="O12" s="576"/>
      <c r="P12" s="577">
        <v>46460</v>
      </c>
      <c r="Q12" s="578"/>
      <c r="R12" s="571"/>
      <c r="S12" s="571"/>
      <c r="T12" s="570" t="s">
        <v>316</v>
      </c>
      <c r="U12" s="571"/>
      <c r="V12" s="571"/>
      <c r="W12" s="579">
        <v>15.3</v>
      </c>
      <c r="X12" s="579">
        <v>1.76</v>
      </c>
      <c r="Y12" s="580"/>
      <c r="Z12" s="581"/>
      <c r="AA12" s="582"/>
      <c r="AB12" s="580"/>
      <c r="AC12" s="580"/>
      <c r="AD12" s="580"/>
      <c r="AE12" s="580"/>
      <c r="AF12" s="580"/>
      <c r="AG12" s="583"/>
      <c r="AH12" s="584"/>
      <c r="AI12" s="585"/>
    </row>
    <row r="13" spans="1:35" s="586" customFormat="1" ht="12.75" customHeight="1" x14ac:dyDescent="0.2">
      <c r="A13" s="587" t="s">
        <v>17</v>
      </c>
      <c r="B13" s="588"/>
      <c r="C13" s="589"/>
      <c r="D13" s="567">
        <v>42446.708414351851</v>
      </c>
      <c r="E13" s="590"/>
      <c r="F13" s="569">
        <v>108620</v>
      </c>
      <c r="G13" s="570" t="s">
        <v>312</v>
      </c>
      <c r="H13" s="571"/>
      <c r="I13" s="572"/>
      <c r="J13" s="573" t="s">
        <v>17</v>
      </c>
      <c r="K13" s="574" t="s">
        <v>204</v>
      </c>
      <c r="L13" s="575"/>
      <c r="M13" s="576"/>
      <c r="N13" s="576"/>
      <c r="O13" s="576"/>
      <c r="P13" s="577">
        <v>45540</v>
      </c>
      <c r="Q13" s="578"/>
      <c r="R13" s="571"/>
      <c r="S13" s="571"/>
      <c r="T13" s="570" t="s">
        <v>316</v>
      </c>
      <c r="U13" s="571"/>
      <c r="V13" s="571"/>
      <c r="W13" s="579">
        <v>15</v>
      </c>
      <c r="X13" s="579">
        <v>1.82</v>
      </c>
      <c r="Y13" s="580"/>
      <c r="Z13" s="581"/>
      <c r="AA13" s="582"/>
      <c r="AB13" s="580"/>
      <c r="AC13" s="580"/>
      <c r="AD13" s="580"/>
      <c r="AE13" s="580"/>
      <c r="AF13" s="580"/>
      <c r="AG13" s="583"/>
      <c r="AH13" s="584"/>
      <c r="AI13" s="585"/>
    </row>
    <row r="14" spans="1:35" s="594" customFormat="1" ht="12.75" customHeight="1" x14ac:dyDescent="0.2">
      <c r="A14" s="587" t="s">
        <v>17</v>
      </c>
      <c r="B14" s="588"/>
      <c r="C14" s="589"/>
      <c r="D14" s="567">
        <v>42446.770636574074</v>
      </c>
      <c r="E14" s="590"/>
      <c r="F14" s="569">
        <v>108617</v>
      </c>
      <c r="G14" s="570" t="s">
        <v>313</v>
      </c>
      <c r="H14" s="571"/>
      <c r="I14" s="572"/>
      <c r="J14" s="573" t="s">
        <v>17</v>
      </c>
      <c r="K14" s="574" t="s">
        <v>204</v>
      </c>
      <c r="L14" s="575"/>
      <c r="M14" s="576"/>
      <c r="N14" s="576"/>
      <c r="O14" s="576"/>
      <c r="P14" s="577">
        <v>44400</v>
      </c>
      <c r="Q14" s="578"/>
      <c r="R14" s="571"/>
      <c r="S14" s="571"/>
      <c r="T14" s="570" t="s">
        <v>316</v>
      </c>
      <c r="U14" s="571"/>
      <c r="V14" s="571"/>
      <c r="W14" s="579">
        <v>15.1</v>
      </c>
      <c r="X14" s="579">
        <v>1.75</v>
      </c>
      <c r="Y14" s="580"/>
      <c r="Z14" s="581"/>
      <c r="AA14" s="582"/>
      <c r="AB14" s="580"/>
      <c r="AC14" s="580"/>
      <c r="AD14" s="580"/>
      <c r="AE14" s="580"/>
      <c r="AF14" s="580"/>
      <c r="AG14" s="591"/>
      <c r="AH14" s="592"/>
      <c r="AI14" s="593"/>
    </row>
    <row r="15" spans="1:35" ht="12.75" hidden="1" customHeight="1" x14ac:dyDescent="0.2">
      <c r="A15" s="529" t="s">
        <v>17</v>
      </c>
      <c r="B15" s="551"/>
      <c r="C15" s="552"/>
      <c r="D15" s="559">
        <v>42446.92287037037</v>
      </c>
      <c r="E15" s="553"/>
      <c r="F15" s="560">
        <v>128472</v>
      </c>
      <c r="G15" s="561" t="s">
        <v>314</v>
      </c>
      <c r="H15" s="530"/>
      <c r="I15" s="447"/>
      <c r="J15" s="519" t="s">
        <v>17</v>
      </c>
      <c r="K15" s="341" t="s">
        <v>204</v>
      </c>
      <c r="L15" s="3"/>
      <c r="M15" s="444"/>
      <c r="N15" s="444"/>
      <c r="O15" s="444"/>
      <c r="P15" s="562">
        <v>52620</v>
      </c>
      <c r="Q15" s="520"/>
      <c r="R15" s="530"/>
      <c r="S15" s="530"/>
      <c r="T15" s="561" t="s">
        <v>317</v>
      </c>
      <c r="U15" s="530"/>
      <c r="V15" s="530"/>
      <c r="W15" s="563">
        <v>14.3</v>
      </c>
      <c r="X15" s="563">
        <v>1.79</v>
      </c>
      <c r="Y15" s="528"/>
      <c r="Z15" s="446"/>
      <c r="AA15" s="4"/>
      <c r="AB15" s="4"/>
      <c r="AC15" s="4"/>
      <c r="AD15" s="4"/>
      <c r="AE15" s="4"/>
      <c r="AF15" s="4"/>
    </row>
    <row r="16" spans="1:35" ht="12.75" hidden="1" customHeight="1" x14ac:dyDescent="0.2">
      <c r="A16" s="527" t="s">
        <v>17</v>
      </c>
      <c r="B16" s="555"/>
      <c r="C16" s="556"/>
      <c r="D16" s="559">
        <v>42446.932129629633</v>
      </c>
      <c r="E16" s="518"/>
      <c r="F16" s="560">
        <v>128471</v>
      </c>
      <c r="G16" s="561" t="s">
        <v>315</v>
      </c>
      <c r="H16" s="528"/>
      <c r="I16" s="447"/>
      <c r="J16" s="443" t="s">
        <v>17</v>
      </c>
      <c r="K16" s="341" t="s">
        <v>204</v>
      </c>
      <c r="L16" s="3"/>
      <c r="M16" s="444"/>
      <c r="N16" s="444"/>
      <c r="O16" s="444"/>
      <c r="P16" s="562">
        <v>50160</v>
      </c>
      <c r="Q16" s="445"/>
      <c r="R16" s="528"/>
      <c r="S16" s="528"/>
      <c r="T16" s="561" t="s">
        <v>317</v>
      </c>
      <c r="U16" s="528"/>
      <c r="V16" s="528"/>
      <c r="W16" s="563">
        <v>14.3</v>
      </c>
      <c r="X16" s="563">
        <v>1.85</v>
      </c>
      <c r="Y16" s="528"/>
      <c r="Z16" s="446"/>
      <c r="AA16" s="4"/>
      <c r="AB16" s="4"/>
      <c r="AC16" s="4"/>
      <c r="AD16" s="4"/>
      <c r="AE16" s="4"/>
      <c r="AF16" s="4"/>
    </row>
    <row r="17" spans="1:32" ht="12.75" hidden="1" customHeight="1" x14ac:dyDescent="0.2">
      <c r="A17" s="527" t="s">
        <v>17</v>
      </c>
      <c r="B17" s="555"/>
      <c r="C17" s="556"/>
      <c r="D17" s="559">
        <v>42446.975694444445</v>
      </c>
      <c r="E17" s="558"/>
      <c r="F17" s="560">
        <v>4</v>
      </c>
      <c r="G17" s="561" t="s">
        <v>308</v>
      </c>
      <c r="H17" s="528"/>
      <c r="I17" s="447"/>
      <c r="J17" s="443" t="s">
        <v>17</v>
      </c>
      <c r="K17" s="341" t="s">
        <v>204</v>
      </c>
      <c r="L17" s="3"/>
      <c r="M17" s="444"/>
      <c r="N17" s="444"/>
      <c r="O17" s="444"/>
      <c r="P17" s="562">
        <v>36200</v>
      </c>
      <c r="Q17" s="445"/>
      <c r="R17" s="528"/>
      <c r="S17" s="528"/>
      <c r="T17" s="561" t="s">
        <v>306</v>
      </c>
      <c r="U17" s="528"/>
      <c r="V17" s="528"/>
      <c r="W17" s="563">
        <v>14.2</v>
      </c>
      <c r="X17" s="563">
        <v>1.94</v>
      </c>
      <c r="Y17" s="528"/>
      <c r="Z17" s="446"/>
      <c r="AA17" s="4"/>
      <c r="AB17" s="4"/>
      <c r="AC17" s="4"/>
      <c r="AD17" s="4"/>
      <c r="AE17" s="4"/>
      <c r="AF17" s="4"/>
    </row>
    <row r="18" spans="1:32" ht="12.75" hidden="1" customHeight="1" x14ac:dyDescent="0.2">
      <c r="A18" s="527" t="s">
        <v>17</v>
      </c>
      <c r="B18" s="555"/>
      <c r="C18" s="556"/>
      <c r="D18" s="559">
        <v>42446.981203703705</v>
      </c>
      <c r="E18" s="558"/>
      <c r="F18" s="560">
        <v>3</v>
      </c>
      <c r="G18" s="561" t="s">
        <v>307</v>
      </c>
      <c r="H18" s="528"/>
      <c r="I18" s="447"/>
      <c r="J18" s="443" t="s">
        <v>17</v>
      </c>
      <c r="K18" s="341" t="s">
        <v>204</v>
      </c>
      <c r="L18" s="3"/>
      <c r="M18" s="444"/>
      <c r="N18" s="444"/>
      <c r="O18" s="444"/>
      <c r="P18" s="562">
        <v>34820</v>
      </c>
      <c r="Q18" s="445"/>
      <c r="R18" s="528"/>
      <c r="S18" s="528"/>
      <c r="T18" s="561" t="s">
        <v>306</v>
      </c>
      <c r="U18" s="528"/>
      <c r="V18" s="528"/>
      <c r="W18" s="563">
        <v>14.2</v>
      </c>
      <c r="X18" s="563">
        <v>1.9</v>
      </c>
      <c r="Y18" s="528"/>
      <c r="Z18" s="446"/>
      <c r="AA18" s="4"/>
      <c r="AB18" s="4"/>
      <c r="AC18" s="4"/>
      <c r="AD18" s="4"/>
      <c r="AE18" s="4"/>
      <c r="AF18" s="4"/>
    </row>
    <row r="19" spans="1:32" s="438" customFormat="1" ht="12.75" hidden="1" customHeight="1" x14ac:dyDescent="0.2">
      <c r="A19" s="595" t="s">
        <v>17</v>
      </c>
      <c r="B19" s="596"/>
      <c r="C19" s="597"/>
      <c r="D19" s="598">
        <v>42446</v>
      </c>
      <c r="E19" s="599"/>
      <c r="F19" s="600">
        <v>294003</v>
      </c>
      <c r="G19" s="601" t="s">
        <v>309</v>
      </c>
      <c r="H19" s="602"/>
      <c r="I19" s="572"/>
      <c r="J19" s="603" t="s">
        <v>17</v>
      </c>
      <c r="K19" s="574" t="s">
        <v>204</v>
      </c>
      <c r="L19" s="575"/>
      <c r="M19" s="604"/>
      <c r="N19" s="604"/>
      <c r="O19" s="604"/>
      <c r="P19" s="605">
        <v>32540</v>
      </c>
      <c r="Q19" s="606"/>
      <c r="R19" s="602"/>
      <c r="S19" s="602"/>
      <c r="T19" s="601" t="s">
        <v>318</v>
      </c>
      <c r="U19" s="602"/>
      <c r="V19" s="602"/>
      <c r="W19" s="607">
        <v>14.9</v>
      </c>
      <c r="X19" s="607">
        <v>1.73</v>
      </c>
      <c r="Y19" s="602"/>
      <c r="Z19" s="608"/>
      <c r="AA19" s="439"/>
      <c r="AB19" s="439"/>
      <c r="AC19" s="439"/>
      <c r="AD19" s="439"/>
      <c r="AE19" s="439"/>
      <c r="AF19" s="439"/>
    </row>
    <row r="20" spans="1:32" s="438" customFormat="1" ht="12.75" hidden="1" customHeight="1" x14ac:dyDescent="0.2">
      <c r="A20" s="595" t="s">
        <v>17</v>
      </c>
      <c r="B20" s="596"/>
      <c r="C20" s="597"/>
      <c r="D20" s="598">
        <v>42446</v>
      </c>
      <c r="E20" s="599"/>
      <c r="F20" s="609">
        <v>71203</v>
      </c>
      <c r="G20" s="601" t="s">
        <v>303</v>
      </c>
      <c r="H20" s="602"/>
      <c r="I20" s="572"/>
      <c r="J20" s="603" t="s">
        <v>17</v>
      </c>
      <c r="K20" s="574" t="s">
        <v>204</v>
      </c>
      <c r="L20" s="575"/>
      <c r="M20" s="604"/>
      <c r="N20" s="604"/>
      <c r="O20" s="604"/>
      <c r="P20" s="605">
        <v>37920</v>
      </c>
      <c r="Q20" s="606"/>
      <c r="R20" s="602"/>
      <c r="S20" s="602"/>
      <c r="T20" s="601" t="s">
        <v>319</v>
      </c>
      <c r="U20" s="602"/>
      <c r="V20" s="602"/>
      <c r="W20" s="607">
        <v>14.7</v>
      </c>
      <c r="X20" s="607">
        <v>1.87</v>
      </c>
      <c r="Y20" s="602"/>
      <c r="Z20" s="608"/>
      <c r="AA20" s="439"/>
      <c r="AB20" s="439"/>
      <c r="AC20" s="439"/>
      <c r="AD20" s="439"/>
      <c r="AE20" s="439"/>
      <c r="AF20" s="439"/>
    </row>
    <row r="21" spans="1:32" x14ac:dyDescent="0.2">
      <c r="A21" s="554"/>
      <c r="B21" s="555"/>
      <c r="C21" s="556"/>
      <c r="D21" s="557"/>
      <c r="E21" s="558"/>
      <c r="F21" s="443"/>
      <c r="G21" s="443"/>
      <c r="H21" s="528"/>
      <c r="I21" s="447"/>
      <c r="J21" s="443"/>
      <c r="K21" s="12"/>
      <c r="L21" s="13"/>
      <c r="M21" s="444"/>
      <c r="N21" s="444"/>
      <c r="O21" s="444"/>
      <c r="P21" s="444"/>
      <c r="Q21" s="445"/>
      <c r="R21" s="528"/>
      <c r="S21" s="528"/>
      <c r="T21" s="528"/>
      <c r="U21" s="528"/>
      <c r="V21" s="528"/>
      <c r="W21" s="446"/>
      <c r="X21" s="446"/>
      <c r="Y21" s="528"/>
      <c r="Z21" s="446"/>
      <c r="AA21" s="4"/>
      <c r="AB21" s="4"/>
      <c r="AC21" s="4"/>
      <c r="AD21" s="4"/>
      <c r="AE21" s="4"/>
      <c r="AF21" s="4"/>
    </row>
    <row r="22" spans="1:32" x14ac:dyDescent="0.2">
      <c r="A22" s="554"/>
      <c r="B22" s="555"/>
      <c r="C22" s="556"/>
      <c r="D22" s="557"/>
      <c r="E22" s="558"/>
      <c r="F22" s="443"/>
      <c r="G22" s="443"/>
      <c r="H22" s="528"/>
      <c r="I22" s="447"/>
      <c r="J22" s="443"/>
      <c r="K22" s="12"/>
      <c r="L22" s="13"/>
      <c r="M22" s="444"/>
      <c r="N22" s="444"/>
      <c r="O22" s="444"/>
      <c r="P22" s="444"/>
      <c r="Q22" s="445"/>
      <c r="R22" s="528"/>
      <c r="S22" s="528"/>
      <c r="T22" s="292"/>
      <c r="U22" s="528"/>
      <c r="V22" s="528"/>
      <c r="W22" s="446"/>
      <c r="X22" s="446"/>
      <c r="Y22" s="528"/>
      <c r="Z22" s="446"/>
      <c r="AA22" s="4"/>
      <c r="AB22" s="4"/>
      <c r="AC22" s="4"/>
      <c r="AD22" s="4"/>
      <c r="AE22" s="4"/>
      <c r="AF22" s="4"/>
    </row>
    <row r="23" spans="1:32" x14ac:dyDescent="0.2">
      <c r="A23" s="554"/>
      <c r="B23" s="555"/>
      <c r="C23" s="556"/>
      <c r="D23" s="557"/>
      <c r="E23" s="558"/>
      <c r="F23" s="443"/>
      <c r="G23" s="443"/>
      <c r="H23" s="528"/>
      <c r="I23" s="447"/>
      <c r="J23" s="443"/>
      <c r="K23" s="12"/>
      <c r="L23" s="13"/>
      <c r="M23" s="444"/>
      <c r="N23" s="444"/>
      <c r="O23" s="444"/>
      <c r="P23" s="444"/>
      <c r="Q23" s="445"/>
      <c r="R23" s="528"/>
      <c r="S23" s="528"/>
      <c r="T23" s="528"/>
      <c r="U23" s="528"/>
      <c r="V23" s="528"/>
      <c r="W23" s="446"/>
      <c r="X23" s="446"/>
      <c r="Y23" s="528"/>
      <c r="Z23" s="446"/>
      <c r="AA23" s="4"/>
      <c r="AB23" s="4"/>
      <c r="AC23" s="4"/>
      <c r="AD23" s="4"/>
      <c r="AE23" s="4"/>
      <c r="AF23" s="4"/>
    </row>
    <row r="24" spans="1:32" x14ac:dyDescent="0.2">
      <c r="A24" s="554"/>
      <c r="B24" s="555"/>
      <c r="C24" s="556"/>
      <c r="D24" s="557"/>
      <c r="E24" s="558"/>
      <c r="F24" s="443"/>
      <c r="G24" s="443"/>
      <c r="H24" s="528"/>
      <c r="I24" s="447"/>
      <c r="J24" s="443"/>
      <c r="K24" s="12"/>
      <c r="L24" s="13"/>
      <c r="M24" s="444"/>
      <c r="N24" s="444"/>
      <c r="O24" s="444"/>
      <c r="P24" s="444"/>
      <c r="Q24" s="445"/>
      <c r="R24" s="528"/>
      <c r="S24" s="528"/>
      <c r="T24" s="528"/>
      <c r="U24" s="528"/>
      <c r="V24" s="528"/>
      <c r="W24" s="446"/>
      <c r="X24" s="446"/>
      <c r="Y24" s="528"/>
      <c r="Z24" s="446"/>
      <c r="AA24" s="4"/>
      <c r="AB24" s="4"/>
      <c r="AC24" s="4"/>
      <c r="AD24" s="4"/>
      <c r="AE24" s="4"/>
      <c r="AF24" s="4"/>
    </row>
    <row r="25" spans="1:32" x14ac:dyDescent="0.2">
      <c r="A25" s="554"/>
      <c r="B25" s="555"/>
      <c r="C25" s="556"/>
      <c r="D25" s="557"/>
      <c r="E25" s="558"/>
      <c r="F25" s="443"/>
      <c r="G25" s="443"/>
      <c r="H25" s="528"/>
      <c r="I25" s="447"/>
      <c r="J25" s="443"/>
      <c r="K25" s="12"/>
      <c r="L25" s="13"/>
      <c r="M25" s="444"/>
      <c r="N25" s="444"/>
      <c r="O25" s="444"/>
      <c r="P25" s="444"/>
      <c r="Q25" s="445"/>
      <c r="R25" s="528"/>
      <c r="S25" s="528"/>
      <c r="T25" s="528"/>
      <c r="U25" s="528"/>
      <c r="V25" s="528"/>
      <c r="W25" s="446"/>
      <c r="X25" s="446"/>
      <c r="Y25" s="528"/>
      <c r="Z25" s="446"/>
      <c r="AA25" s="4"/>
      <c r="AB25" s="4"/>
      <c r="AC25" s="4"/>
      <c r="AD25" s="4"/>
      <c r="AE25" s="4"/>
      <c r="AF25" s="4"/>
    </row>
  </sheetData>
  <autoFilter ref="A10:AI20">
    <filterColumn colId="19">
      <filters>
        <filter val="ПП Компанія &quot;Ніка Паллант&quot;"/>
      </filters>
    </filterColumn>
  </autoFilter>
  <printOptions horizontalCentered="1"/>
  <pageMargins left="0.15748031496062992" right="0" top="0.15748031496062992" bottom="0" header="0" footer="0"/>
  <pageSetup scale="65" pageOrder="overThenDown" orientation="landscape" r:id="rId1"/>
  <headerFooter alignWithMargins="0"/>
  <drawing r:id="rId2"/>
  <legacyDrawing r:id="rId3"/>
  <controls>
    <mc:AlternateContent xmlns:mc="http://schemas.openxmlformats.org/markup-compatibility/2006">
      <mc:Choice Requires="x14">
        <control shapeId="140291" r:id="rId4" name="CommandButton2202">
          <controlPr defaultSize="0" autoLine="0" r:id="rId5">
            <anchor moveWithCells="1">
              <from>
                <xdr:col>6</xdr:col>
                <xdr:colOff>638175</xdr:colOff>
                <xdr:row>1</xdr:row>
                <xdr:rowOff>19050</xdr:rowOff>
              </from>
              <to>
                <xdr:col>9</xdr:col>
                <xdr:colOff>219075</xdr:colOff>
                <xdr:row>3</xdr:row>
                <xdr:rowOff>161925</xdr:rowOff>
              </to>
            </anchor>
          </controlPr>
        </control>
      </mc:Choice>
      <mc:Fallback>
        <control shapeId="140291" r:id="rId4" name="CommandButton2202"/>
      </mc:Fallback>
    </mc:AlternateContent>
    <mc:AlternateContent xmlns:mc="http://schemas.openxmlformats.org/markup-compatibility/2006">
      <mc:Choice Requires="x14">
        <control shapeId="140290" r:id="rId6" name="CommandButton2203">
          <controlPr defaultSize="0" autoLine="0" r:id="rId7">
            <anchor moveWithCells="1">
              <from>
                <xdr:col>13</xdr:col>
                <xdr:colOff>390525</xdr:colOff>
                <xdr:row>1</xdr:row>
                <xdr:rowOff>38100</xdr:rowOff>
              </from>
              <to>
                <xdr:col>16</xdr:col>
                <xdr:colOff>352425</xdr:colOff>
                <xdr:row>4</xdr:row>
                <xdr:rowOff>19050</xdr:rowOff>
              </to>
            </anchor>
          </controlPr>
        </control>
      </mc:Choice>
      <mc:Fallback>
        <control shapeId="140290" r:id="rId6" name="CommandButton2203"/>
      </mc:Fallback>
    </mc:AlternateContent>
    <mc:AlternateContent xmlns:mc="http://schemas.openxmlformats.org/markup-compatibility/2006">
      <mc:Choice Requires="x14">
        <control shapeId="140289" r:id="rId8" name="CommandButton2201">
          <controlPr defaultSize="0" autoLine="0" autoPict="0" r:id="rId9">
            <anchor moveWithCells="1">
              <from>
                <xdr:col>0</xdr:col>
                <xdr:colOff>0</xdr:colOff>
                <xdr:row>1</xdr:row>
                <xdr:rowOff>19050</xdr:rowOff>
              </from>
              <to>
                <xdr:col>3</xdr:col>
                <xdr:colOff>9525</xdr:colOff>
                <xdr:row>3</xdr:row>
                <xdr:rowOff>161925</xdr:rowOff>
              </to>
            </anchor>
          </controlPr>
        </control>
      </mc:Choice>
      <mc:Fallback>
        <control shapeId="140289" r:id="rId8" name="CommandButton2201"/>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12"/>
  <sheetViews>
    <sheetView workbookViewId="0">
      <selection activeCell="A6" sqref="A6:O6"/>
    </sheetView>
  </sheetViews>
  <sheetFormatPr defaultRowHeight="12.75" x14ac:dyDescent="0.2"/>
  <cols>
    <col min="1" max="1" width="21.5703125" customWidth="1"/>
    <col min="2" max="2" width="22.140625" customWidth="1"/>
    <col min="3" max="3" width="14.42578125" customWidth="1"/>
    <col min="4" max="4" width="27.85546875" customWidth="1"/>
    <col min="5" max="15" width="14.42578125" customWidth="1"/>
  </cols>
  <sheetData>
    <row r="1" spans="1:21" ht="13.5" thickBot="1" x14ac:dyDescent="0.25"/>
    <row r="2" spans="1:21" s="137" customFormat="1" ht="25.5" customHeight="1" x14ac:dyDescent="0.25">
      <c r="A2" s="321" t="s">
        <v>61</v>
      </c>
      <c r="B2" s="322" t="s">
        <v>18</v>
      </c>
      <c r="C2" s="322" t="s">
        <v>137</v>
      </c>
      <c r="D2" s="322" t="s">
        <v>62</v>
      </c>
      <c r="E2" s="322" t="s">
        <v>63</v>
      </c>
      <c r="F2" s="322" t="s">
        <v>151</v>
      </c>
      <c r="G2" s="322" t="s">
        <v>150</v>
      </c>
      <c r="H2" s="322" t="s">
        <v>71</v>
      </c>
      <c r="I2" s="322" t="s">
        <v>69</v>
      </c>
      <c r="J2" s="322" t="s">
        <v>68</v>
      </c>
      <c r="K2" s="322" t="s">
        <v>191</v>
      </c>
      <c r="L2" s="322" t="s">
        <v>190</v>
      </c>
      <c r="M2" s="320"/>
      <c r="N2" s="320"/>
      <c r="O2" s="320"/>
      <c r="U2" s="319"/>
    </row>
    <row r="3" spans="1:21" s="292" customFormat="1" ht="14.25" customHeight="1" x14ac:dyDescent="0.2">
      <c r="A3" s="825" t="s">
        <v>872</v>
      </c>
      <c r="B3" s="277" t="s">
        <v>143</v>
      </c>
      <c r="D3" s="610" t="s">
        <v>871</v>
      </c>
      <c r="E3" s="449">
        <v>614.86999999999989</v>
      </c>
      <c r="F3" s="821">
        <v>144</v>
      </c>
      <c r="G3" s="277"/>
      <c r="H3" s="324">
        <f>IF(G3="Y",F3/1.2,F3)</f>
        <v>144</v>
      </c>
      <c r="I3" s="325">
        <v>42619</v>
      </c>
      <c r="J3" s="325">
        <v>42619</v>
      </c>
      <c r="K3" s="824">
        <v>552825</v>
      </c>
      <c r="L3" s="277"/>
      <c r="M3" s="292" t="s">
        <v>466</v>
      </c>
    </row>
    <row r="4" spans="1:21" s="292" customFormat="1" ht="14.25" customHeight="1" x14ac:dyDescent="0.2">
      <c r="A4" s="825" t="s">
        <v>872</v>
      </c>
      <c r="B4" s="277" t="s">
        <v>143</v>
      </c>
      <c r="D4" s="610" t="s">
        <v>770</v>
      </c>
      <c r="E4" s="449">
        <v>1141.9000000000001</v>
      </c>
      <c r="F4" s="823">
        <v>152</v>
      </c>
      <c r="G4" s="277"/>
      <c r="H4" s="324">
        <f t="shared" ref="H4" si="0">IF(G4="Y",F4/1.2,F4)</f>
        <v>152</v>
      </c>
      <c r="I4" s="325">
        <v>42619</v>
      </c>
      <c r="J4" s="325">
        <v>42619</v>
      </c>
      <c r="K4" s="822">
        <v>553630</v>
      </c>
      <c r="L4" s="277"/>
      <c r="M4" s="292" t="s">
        <v>466</v>
      </c>
    </row>
    <row r="5" spans="1:21" s="292" customFormat="1" ht="14.25" customHeight="1" x14ac:dyDescent="0.2">
      <c r="A5" s="292" t="s">
        <v>305</v>
      </c>
      <c r="B5" s="277" t="s">
        <v>143</v>
      </c>
      <c r="D5" s="610" t="s">
        <v>408</v>
      </c>
      <c r="E5" s="449">
        <v>23.68</v>
      </c>
      <c r="F5" s="827">
        <v>145</v>
      </c>
      <c r="G5" s="277"/>
      <c r="H5" s="324">
        <f>IF(G5="Y",F5/1.2,F5)</f>
        <v>145</v>
      </c>
      <c r="I5" s="325">
        <v>42619.720567129632</v>
      </c>
      <c r="J5" s="325">
        <v>42619.720567129632</v>
      </c>
      <c r="K5" s="826">
        <v>553931</v>
      </c>
      <c r="L5" s="277"/>
      <c r="M5" s="292" t="s">
        <v>466</v>
      </c>
      <c r="N5" s="292" t="s">
        <v>466</v>
      </c>
      <c r="O5" s="292" t="s">
        <v>466</v>
      </c>
    </row>
    <row r="6" spans="1:21" s="292" customFormat="1" ht="14.25" customHeight="1" x14ac:dyDescent="0.2">
      <c r="A6" s="292" t="s">
        <v>305</v>
      </c>
      <c r="B6" s="277" t="s">
        <v>143</v>
      </c>
      <c r="D6" s="610" t="s">
        <v>495</v>
      </c>
      <c r="E6" s="449">
        <v>412.4</v>
      </c>
      <c r="F6" s="817">
        <v>149</v>
      </c>
      <c r="G6" s="277"/>
      <c r="H6" s="790">
        <f t="shared" ref="H6" si="1">IF(G6="Y",F6/1.2,F6)</f>
        <v>149</v>
      </c>
      <c r="I6" s="325">
        <v>42619.918715277781</v>
      </c>
      <c r="J6" s="325">
        <v>42619.921226851853</v>
      </c>
      <c r="K6" s="816">
        <v>553615</v>
      </c>
      <c r="L6" s="277"/>
      <c r="M6" s="292" t="s">
        <v>466</v>
      </c>
    </row>
    <row r="7" spans="1:21" s="292" customFormat="1" ht="14.25" customHeight="1" x14ac:dyDescent="0.2">
      <c r="A7" s="292" t="s">
        <v>305</v>
      </c>
      <c r="B7" s="277" t="s">
        <v>143</v>
      </c>
      <c r="D7" s="610" t="s">
        <v>619</v>
      </c>
      <c r="E7" s="449">
        <v>531.94999999999993</v>
      </c>
      <c r="F7" s="829">
        <v>152</v>
      </c>
      <c r="G7" s="277"/>
      <c r="H7" s="324">
        <f t="shared" ref="H7:H12" si="2">IF(G7="Y",F7/1.2,F7)</f>
        <v>152</v>
      </c>
      <c r="I7" s="325">
        <v>42620.229733796295</v>
      </c>
      <c r="J7" s="325">
        <v>42620.234085648146</v>
      </c>
      <c r="K7" s="828">
        <v>551128</v>
      </c>
      <c r="L7" s="277"/>
      <c r="M7" s="292" t="s">
        <v>466</v>
      </c>
      <c r="N7" s="292" t="s">
        <v>466</v>
      </c>
      <c r="O7" s="292" t="s">
        <v>466</v>
      </c>
    </row>
    <row r="8" spans="1:21" s="292" customFormat="1" ht="14.25" customHeight="1" x14ac:dyDescent="0.2">
      <c r="A8" s="292" t="s">
        <v>305</v>
      </c>
      <c r="B8" s="277" t="s">
        <v>145</v>
      </c>
      <c r="D8" s="610" t="s">
        <v>886</v>
      </c>
      <c r="E8" s="449">
        <v>278.75</v>
      </c>
      <c r="F8" s="827">
        <v>143</v>
      </c>
      <c r="G8" s="277"/>
      <c r="H8" s="324">
        <f t="shared" si="2"/>
        <v>143</v>
      </c>
      <c r="I8" s="325">
        <v>42619.464537037034</v>
      </c>
      <c r="J8" s="325">
        <v>42619.46634259259</v>
      </c>
      <c r="K8" s="826">
        <v>553593</v>
      </c>
      <c r="L8" s="277"/>
      <c r="M8" s="292" t="s">
        <v>466</v>
      </c>
      <c r="N8" s="292" t="s">
        <v>466</v>
      </c>
      <c r="O8" s="292" t="s">
        <v>466</v>
      </c>
    </row>
    <row r="9" spans="1:21" s="292" customFormat="1" ht="14.25" customHeight="1" x14ac:dyDescent="0.2">
      <c r="A9" s="292" t="s">
        <v>305</v>
      </c>
      <c r="B9" s="277" t="s">
        <v>145</v>
      </c>
      <c r="D9" s="610" t="s">
        <v>818</v>
      </c>
      <c r="E9" s="449">
        <v>138.9</v>
      </c>
      <c r="F9" s="821">
        <v>139</v>
      </c>
      <c r="G9" s="277"/>
      <c r="H9" s="324">
        <f t="shared" si="2"/>
        <v>139</v>
      </c>
      <c r="I9" s="325">
        <v>42620.054363425923</v>
      </c>
      <c r="J9" s="325">
        <v>42620.054930555554</v>
      </c>
      <c r="K9" s="824">
        <v>553036</v>
      </c>
      <c r="L9" s="277"/>
      <c r="M9" s="292" t="s">
        <v>466</v>
      </c>
      <c r="N9" s="292" t="s">
        <v>466</v>
      </c>
      <c r="O9" s="292" t="s">
        <v>466</v>
      </c>
    </row>
    <row r="10" spans="1:21" s="292" customFormat="1" ht="14.25" customHeight="1" x14ac:dyDescent="0.2">
      <c r="A10" s="292" t="s">
        <v>305</v>
      </c>
      <c r="B10" s="277" t="s">
        <v>145</v>
      </c>
      <c r="D10" s="610" t="s">
        <v>820</v>
      </c>
      <c r="E10" s="449">
        <v>279.89999999999998</v>
      </c>
      <c r="F10" s="827">
        <v>144</v>
      </c>
      <c r="G10" s="277"/>
      <c r="H10" s="324">
        <f t="shared" si="2"/>
        <v>144</v>
      </c>
      <c r="I10" s="325">
        <v>42620.265520833331</v>
      </c>
      <c r="J10" s="325">
        <v>42620.266944444447</v>
      </c>
      <c r="K10" s="826">
        <v>553619</v>
      </c>
      <c r="L10" s="277"/>
      <c r="M10" s="292" t="s">
        <v>466</v>
      </c>
      <c r="N10" s="292" t="s">
        <v>466</v>
      </c>
      <c r="O10" s="292" t="s">
        <v>466</v>
      </c>
    </row>
    <row r="11" spans="1:21" s="292" customFormat="1" ht="14.25" customHeight="1" x14ac:dyDescent="0.2">
      <c r="A11" s="292" t="s">
        <v>305</v>
      </c>
      <c r="B11" s="277" t="s">
        <v>850</v>
      </c>
      <c r="D11" s="610" t="s">
        <v>868</v>
      </c>
      <c r="E11" s="449">
        <v>185.48</v>
      </c>
      <c r="F11" s="827">
        <v>145.5</v>
      </c>
      <c r="G11" s="277"/>
      <c r="H11" s="790">
        <f t="shared" si="2"/>
        <v>145.5</v>
      </c>
      <c r="I11" s="325" t="s">
        <v>873</v>
      </c>
      <c r="J11" s="325" t="s">
        <v>880</v>
      </c>
      <c r="K11" s="826">
        <v>553970</v>
      </c>
      <c r="L11" s="277"/>
      <c r="M11" s="292" t="s">
        <v>466</v>
      </c>
      <c r="N11" s="292" t="s">
        <v>466</v>
      </c>
      <c r="O11" s="292" t="s">
        <v>466</v>
      </c>
    </row>
    <row r="12" spans="1:21" s="292" customFormat="1" ht="14.25" customHeight="1" x14ac:dyDescent="0.2">
      <c r="A12" s="292" t="s">
        <v>305</v>
      </c>
      <c r="B12" s="277" t="s">
        <v>760</v>
      </c>
      <c r="D12" s="610" t="s">
        <v>704</v>
      </c>
      <c r="E12" s="449">
        <v>412.05</v>
      </c>
      <c r="F12" s="830">
        <v>419</v>
      </c>
      <c r="G12" s="277"/>
      <c r="H12" s="790">
        <f t="shared" si="2"/>
        <v>419</v>
      </c>
      <c r="I12" s="325">
        <v>42619.527118055557</v>
      </c>
      <c r="J12" s="325">
        <v>42619.532708333332</v>
      </c>
      <c r="K12" s="826">
        <v>553610</v>
      </c>
      <c r="L12" s="277"/>
      <c r="M12" s="292" t="s">
        <v>466</v>
      </c>
      <c r="N12" s="292" t="s">
        <v>466</v>
      </c>
      <c r="O12" s="292" t="s">
        <v>466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U16"/>
  <sheetViews>
    <sheetView workbookViewId="0">
      <selection activeCell="G28" sqref="G28"/>
    </sheetView>
  </sheetViews>
  <sheetFormatPr defaultRowHeight="12.75" x14ac:dyDescent="0.2"/>
  <cols>
    <col min="2" max="2" width="19.5703125" customWidth="1"/>
    <col min="4" max="4" width="25.28515625" customWidth="1"/>
  </cols>
  <sheetData>
    <row r="1" spans="1:21" ht="23.25" customHeight="1" x14ac:dyDescent="0.25">
      <c r="C1" s="407" t="s">
        <v>66</v>
      </c>
      <c r="D1" s="408" t="s">
        <v>869</v>
      </c>
      <c r="T1" s="81" t="s">
        <v>405</v>
      </c>
    </row>
    <row r="2" spans="1:21" ht="42" customHeight="1" x14ac:dyDescent="0.25">
      <c r="C2" s="409" t="s">
        <v>263</v>
      </c>
      <c r="D2" s="410">
        <v>26.632975999999999</v>
      </c>
      <c r="L2" s="12" t="s">
        <v>201</v>
      </c>
      <c r="T2" s="436" t="s">
        <v>406</v>
      </c>
    </row>
    <row r="3" spans="1:21" ht="21" customHeight="1" thickBot="1" x14ac:dyDescent="0.25"/>
    <row r="4" spans="1:21" s="137" customFormat="1" ht="25.5" customHeight="1" x14ac:dyDescent="0.25">
      <c r="A4" s="321" t="s">
        <v>61</v>
      </c>
      <c r="B4" s="322" t="s">
        <v>18</v>
      </c>
      <c r="C4" s="322" t="s">
        <v>137</v>
      </c>
      <c r="D4" s="322" t="s">
        <v>62</v>
      </c>
      <c r="E4" s="322" t="s">
        <v>63</v>
      </c>
      <c r="F4" s="322" t="s">
        <v>151</v>
      </c>
      <c r="G4" s="322" t="s">
        <v>150</v>
      </c>
      <c r="H4" s="322" t="s">
        <v>71</v>
      </c>
      <c r="I4" s="322" t="s">
        <v>69</v>
      </c>
      <c r="J4" s="322" t="s">
        <v>68</v>
      </c>
      <c r="K4" s="322" t="s">
        <v>191</v>
      </c>
      <c r="L4" s="322" t="s">
        <v>190</v>
      </c>
      <c r="M4" s="320"/>
      <c r="N4" s="320"/>
      <c r="O4" s="320"/>
      <c r="U4" s="319"/>
    </row>
    <row r="5" spans="1:21" s="292" customFormat="1" ht="14.25" customHeight="1" x14ac:dyDescent="0.2">
      <c r="A5" s="292" t="s">
        <v>305</v>
      </c>
      <c r="B5" s="277" t="s">
        <v>143</v>
      </c>
      <c r="D5" s="610" t="s">
        <v>639</v>
      </c>
      <c r="E5" s="449">
        <v>404.29999999999995</v>
      </c>
      <c r="F5" s="817">
        <v>143.5</v>
      </c>
      <c r="G5" s="277"/>
      <c r="H5" s="324">
        <f>IF(G5="Y",F5/1.2,F5)</f>
        <v>143.5</v>
      </c>
      <c r="I5" s="325">
        <v>42618.654687499999</v>
      </c>
      <c r="J5" s="325">
        <v>42618.657256944447</v>
      </c>
      <c r="K5" s="816">
        <v>552862</v>
      </c>
      <c r="L5" s="277"/>
      <c r="M5" s="292" t="s">
        <v>466</v>
      </c>
      <c r="N5" s="292" t="s">
        <v>466</v>
      </c>
    </row>
    <row r="6" spans="1:21" s="292" customFormat="1" ht="14.25" customHeight="1" x14ac:dyDescent="0.2">
      <c r="A6" s="292" t="s">
        <v>305</v>
      </c>
      <c r="B6" s="277" t="s">
        <v>143</v>
      </c>
      <c r="D6" s="610" t="s">
        <v>845</v>
      </c>
      <c r="E6" s="449">
        <v>67.400000000000006</v>
      </c>
      <c r="F6" s="817">
        <v>152</v>
      </c>
      <c r="G6" s="277"/>
      <c r="H6" s="324">
        <f t="shared" ref="H6:H14" si="0">IF(G6="Y",F6/1.2,F6)</f>
        <v>152</v>
      </c>
      <c r="I6" s="325">
        <v>42619.100277777776</v>
      </c>
      <c r="J6" s="325">
        <v>42619.100277777776</v>
      </c>
      <c r="K6" s="816">
        <v>551772</v>
      </c>
      <c r="L6" s="277"/>
      <c r="M6" s="292" t="s">
        <v>466</v>
      </c>
      <c r="N6" s="292" t="s">
        <v>466</v>
      </c>
    </row>
    <row r="7" spans="1:21" s="292" customFormat="1" ht="14.25" customHeight="1" x14ac:dyDescent="0.2">
      <c r="A7" s="292" t="s">
        <v>305</v>
      </c>
      <c r="B7" s="277" t="s">
        <v>143</v>
      </c>
      <c r="D7" s="610" t="s">
        <v>495</v>
      </c>
      <c r="E7" s="449">
        <v>137.66</v>
      </c>
      <c r="F7" s="817">
        <v>142</v>
      </c>
      <c r="G7" s="277"/>
      <c r="H7" s="324">
        <f t="shared" si="0"/>
        <v>142</v>
      </c>
      <c r="I7" s="325">
        <v>42619.107858796298</v>
      </c>
      <c r="J7" s="325">
        <v>42619.25472222222</v>
      </c>
      <c r="K7" s="809">
        <v>552936</v>
      </c>
      <c r="L7" s="277"/>
      <c r="M7" s="292" t="s">
        <v>466</v>
      </c>
      <c r="N7" s="292" t="s">
        <v>466</v>
      </c>
    </row>
    <row r="8" spans="1:21" s="292" customFormat="1" ht="14.25" customHeight="1" x14ac:dyDescent="0.2">
      <c r="A8" s="292" t="s">
        <v>305</v>
      </c>
      <c r="B8" s="277" t="s">
        <v>145</v>
      </c>
      <c r="D8" s="610" t="s">
        <v>641</v>
      </c>
      <c r="E8" s="449">
        <v>1240.0999999999999</v>
      </c>
      <c r="F8" s="819">
        <v>153.5</v>
      </c>
      <c r="G8" s="277"/>
      <c r="H8" s="324">
        <f t="shared" si="0"/>
        <v>153.5</v>
      </c>
      <c r="I8" s="325">
        <v>42618.419212962966</v>
      </c>
      <c r="J8" s="325">
        <v>42619.195879629631</v>
      </c>
      <c r="K8" s="818">
        <v>551438</v>
      </c>
      <c r="L8" s="277"/>
      <c r="M8" s="292" t="s">
        <v>466</v>
      </c>
      <c r="N8" s="292" t="s">
        <v>466</v>
      </c>
    </row>
    <row r="9" spans="1:21" s="292" customFormat="1" ht="14.25" customHeight="1" x14ac:dyDescent="0.2">
      <c r="A9" s="292" t="s">
        <v>305</v>
      </c>
      <c r="B9" s="277" t="s">
        <v>145</v>
      </c>
      <c r="D9" s="610" t="s">
        <v>762</v>
      </c>
      <c r="E9" s="449">
        <v>208</v>
      </c>
      <c r="F9" s="819">
        <v>144</v>
      </c>
      <c r="G9" s="277"/>
      <c r="H9" s="324">
        <f t="shared" si="0"/>
        <v>144</v>
      </c>
      <c r="I9" s="325">
        <v>42618.774375000001</v>
      </c>
      <c r="J9" s="325">
        <v>42618.776041666664</v>
      </c>
      <c r="K9" s="818">
        <v>553666</v>
      </c>
      <c r="L9" s="277"/>
      <c r="M9" s="292" t="s">
        <v>466</v>
      </c>
      <c r="N9" s="292" t="s">
        <v>466</v>
      </c>
    </row>
    <row r="10" spans="1:21" s="292" customFormat="1" ht="14.25" customHeight="1" x14ac:dyDescent="0.2">
      <c r="A10" s="292" t="s">
        <v>305</v>
      </c>
      <c r="B10" s="277" t="s">
        <v>145</v>
      </c>
      <c r="D10" s="610" t="s">
        <v>849</v>
      </c>
      <c r="E10" s="449">
        <v>68.5</v>
      </c>
      <c r="F10" s="819">
        <v>138</v>
      </c>
      <c r="G10" s="277"/>
      <c r="H10" s="324">
        <f t="shared" si="0"/>
        <v>138</v>
      </c>
      <c r="I10" s="325">
        <v>42618.774988425925</v>
      </c>
      <c r="J10" s="325">
        <v>42618.774988425925</v>
      </c>
      <c r="K10" s="818">
        <v>553017</v>
      </c>
      <c r="L10" s="277"/>
      <c r="M10" s="292" t="s">
        <v>466</v>
      </c>
      <c r="N10" s="292" t="s">
        <v>466</v>
      </c>
    </row>
    <row r="11" spans="1:21" s="292" customFormat="1" ht="14.25" customHeight="1" x14ac:dyDescent="0.2">
      <c r="A11" s="292" t="s">
        <v>305</v>
      </c>
      <c r="B11" s="277" t="s">
        <v>145</v>
      </c>
      <c r="D11" s="610" t="s">
        <v>820</v>
      </c>
      <c r="E11" s="449">
        <v>209.35</v>
      </c>
      <c r="F11" s="819">
        <v>144</v>
      </c>
      <c r="G11" s="277"/>
      <c r="H11" s="324">
        <f t="shared" si="0"/>
        <v>144</v>
      </c>
      <c r="I11" s="325">
        <v>42618.776631944442</v>
      </c>
      <c r="J11" s="325">
        <v>42618.777638888889</v>
      </c>
      <c r="K11" s="818">
        <v>553619</v>
      </c>
      <c r="L11" s="277"/>
      <c r="M11" s="292" t="s">
        <v>466</v>
      </c>
      <c r="N11" s="292" t="s">
        <v>466</v>
      </c>
    </row>
    <row r="12" spans="1:21" s="292" customFormat="1" ht="14.25" customHeight="1" x14ac:dyDescent="0.2">
      <c r="A12" s="292" t="s">
        <v>305</v>
      </c>
      <c r="B12" s="277" t="s">
        <v>145</v>
      </c>
      <c r="D12" s="610" t="s">
        <v>818</v>
      </c>
      <c r="E12" s="449">
        <v>802.1</v>
      </c>
      <c r="F12" s="817">
        <v>139</v>
      </c>
      <c r="G12" s="277"/>
      <c r="H12" s="790">
        <f t="shared" si="0"/>
        <v>139</v>
      </c>
      <c r="I12" s="325">
        <v>42619.097337962965</v>
      </c>
      <c r="J12" s="325">
        <v>42619.202094907407</v>
      </c>
      <c r="K12" s="816">
        <v>553036</v>
      </c>
      <c r="L12" s="277"/>
      <c r="M12" s="292" t="s">
        <v>466</v>
      </c>
      <c r="N12" s="292" t="s">
        <v>466</v>
      </c>
    </row>
    <row r="13" spans="1:21" s="292" customFormat="1" ht="14.25" customHeight="1" x14ac:dyDescent="0.2">
      <c r="A13" s="292" t="s">
        <v>305</v>
      </c>
      <c r="B13" s="277" t="s">
        <v>145</v>
      </c>
      <c r="D13" s="610" t="s">
        <v>408</v>
      </c>
      <c r="E13" s="449">
        <v>52.58</v>
      </c>
      <c r="F13" s="819">
        <v>142</v>
      </c>
      <c r="G13" s="277"/>
      <c r="H13" s="790">
        <f t="shared" si="0"/>
        <v>142</v>
      </c>
      <c r="I13" s="325">
        <v>42619.26363425926</v>
      </c>
      <c r="J13" s="325">
        <v>42619.270856481482</v>
      </c>
      <c r="K13" s="818">
        <v>553894</v>
      </c>
      <c r="L13" s="277"/>
      <c r="M13" s="292" t="s">
        <v>466</v>
      </c>
      <c r="N13" s="292" t="s">
        <v>466</v>
      </c>
    </row>
    <row r="14" spans="1:21" s="292" customFormat="1" ht="14.25" customHeight="1" x14ac:dyDescent="0.2">
      <c r="A14" s="292" t="s">
        <v>305</v>
      </c>
      <c r="B14" s="277" t="s">
        <v>850</v>
      </c>
      <c r="D14" s="610" t="s">
        <v>868</v>
      </c>
      <c r="E14" s="449">
        <v>200.88000000000002</v>
      </c>
      <c r="F14" s="819">
        <v>145.5</v>
      </c>
      <c r="G14" s="277"/>
      <c r="H14" s="790">
        <f t="shared" si="0"/>
        <v>145.5</v>
      </c>
      <c r="I14" s="325" t="s">
        <v>851</v>
      </c>
      <c r="J14" s="325" t="s">
        <v>859</v>
      </c>
      <c r="K14" s="818">
        <v>553970</v>
      </c>
      <c r="L14" s="277"/>
      <c r="M14" s="292" t="s">
        <v>466</v>
      </c>
      <c r="N14" s="292" t="s">
        <v>466</v>
      </c>
    </row>
    <row r="16" spans="1:21" x14ac:dyDescent="0.2">
      <c r="E16" s="807">
        <f>SUM(E5:E15)</f>
        <v>3390.87</v>
      </c>
      <c r="F16" s="815"/>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29"/>
  <sheetViews>
    <sheetView workbookViewId="0">
      <selection activeCell="F30" sqref="F30"/>
    </sheetView>
  </sheetViews>
  <sheetFormatPr defaultRowHeight="12.75" x14ac:dyDescent="0.2"/>
  <cols>
    <col min="1" max="1" width="18.140625" customWidth="1"/>
    <col min="2" max="2" width="18.42578125" customWidth="1"/>
    <col min="3" max="3" width="11.7109375" customWidth="1"/>
    <col min="4" max="4" width="32" customWidth="1"/>
    <col min="5" max="8" width="12.5703125" customWidth="1"/>
    <col min="9" max="9" width="13.7109375" customWidth="1"/>
    <col min="10" max="15" width="12.5703125" customWidth="1"/>
  </cols>
  <sheetData>
    <row r="1" spans="1:21" ht="23.25" customHeight="1" x14ac:dyDescent="0.25">
      <c r="C1" s="407" t="s">
        <v>66</v>
      </c>
      <c r="D1" s="408" t="s">
        <v>819</v>
      </c>
      <c r="T1" s="81" t="s">
        <v>405</v>
      </c>
    </row>
    <row r="2" spans="1:21" ht="42" customHeight="1" x14ac:dyDescent="0.25">
      <c r="C2" s="409" t="s">
        <v>263</v>
      </c>
      <c r="D2" s="410">
        <v>26.632975999999999</v>
      </c>
      <c r="L2" s="12" t="s">
        <v>201</v>
      </c>
      <c r="T2" s="436" t="s">
        <v>406</v>
      </c>
    </row>
    <row r="3" spans="1:21" ht="21" customHeight="1" thickBot="1" x14ac:dyDescent="0.25"/>
    <row r="4" spans="1:21" s="137" customFormat="1" ht="25.5" customHeight="1" x14ac:dyDescent="0.25">
      <c r="A4" s="321" t="s">
        <v>61</v>
      </c>
      <c r="B4" s="322" t="s">
        <v>18</v>
      </c>
      <c r="C4" s="322" t="s">
        <v>137</v>
      </c>
      <c r="D4" s="322" t="s">
        <v>62</v>
      </c>
      <c r="E4" s="322" t="s">
        <v>63</v>
      </c>
      <c r="F4" s="322" t="s">
        <v>151</v>
      </c>
      <c r="G4" s="322" t="s">
        <v>150</v>
      </c>
      <c r="H4" s="322" t="s">
        <v>71</v>
      </c>
      <c r="I4" s="322" t="s">
        <v>69</v>
      </c>
      <c r="J4" s="322" t="s">
        <v>68</v>
      </c>
      <c r="K4" s="322" t="s">
        <v>191</v>
      </c>
      <c r="L4" s="322" t="s">
        <v>190</v>
      </c>
      <c r="M4" s="320"/>
      <c r="N4" s="320"/>
      <c r="O4" s="320"/>
      <c r="U4" s="319"/>
    </row>
    <row r="5" spans="1:21" s="292" customFormat="1" ht="14.25" customHeight="1" x14ac:dyDescent="0.2">
      <c r="A5" s="292" t="s">
        <v>305</v>
      </c>
      <c r="B5" s="277" t="s">
        <v>760</v>
      </c>
      <c r="D5" s="610" t="s">
        <v>704</v>
      </c>
      <c r="E5" s="449">
        <v>598.30000000000007</v>
      </c>
      <c r="F5" s="814">
        <v>419</v>
      </c>
      <c r="G5" s="277"/>
      <c r="H5" s="324">
        <f>IF(G5="Y",F5/1.2,F5)</f>
        <v>419</v>
      </c>
      <c r="I5" s="325">
        <v>42616.637997685182</v>
      </c>
      <c r="J5" s="325">
        <v>42616.642905092594</v>
      </c>
      <c r="K5" s="812">
        <v>553610</v>
      </c>
      <c r="L5" s="277"/>
      <c r="M5" s="292" t="s">
        <v>466</v>
      </c>
    </row>
    <row r="6" spans="1:21" s="292" customFormat="1" ht="14.25" customHeight="1" x14ac:dyDescent="0.2">
      <c r="A6" s="292" t="s">
        <v>305</v>
      </c>
      <c r="B6" s="277" t="s">
        <v>760</v>
      </c>
      <c r="D6" s="610" t="s">
        <v>709</v>
      </c>
      <c r="E6" s="449">
        <v>364.7</v>
      </c>
      <c r="F6" s="811">
        <v>397</v>
      </c>
      <c r="G6" s="277"/>
      <c r="H6" s="324">
        <f t="shared" ref="H6:H23" si="0">IF(G6="Y",F6/1.2,F6)</f>
        <v>397</v>
      </c>
      <c r="I6" s="325">
        <v>42617.435208333336</v>
      </c>
      <c r="J6" s="325">
        <v>42617.73332175926</v>
      </c>
      <c r="K6" s="809">
        <v>552974</v>
      </c>
      <c r="L6" s="277"/>
      <c r="M6" s="292" t="s">
        <v>466</v>
      </c>
    </row>
    <row r="7" spans="1:21" s="292" customFormat="1" ht="14.25" customHeight="1" x14ac:dyDescent="0.2">
      <c r="A7" s="292" t="s">
        <v>305</v>
      </c>
      <c r="B7" s="277" t="s">
        <v>145</v>
      </c>
      <c r="D7" s="610" t="s">
        <v>408</v>
      </c>
      <c r="E7" s="449">
        <v>522.12</v>
      </c>
      <c r="F7" s="813">
        <v>142</v>
      </c>
      <c r="G7" s="277"/>
      <c r="H7" s="324">
        <f t="shared" si="0"/>
        <v>142</v>
      </c>
      <c r="I7" s="325">
        <v>42615.399178240739</v>
      </c>
      <c r="J7" s="325">
        <v>42617.619351851848</v>
      </c>
      <c r="K7" s="812">
        <v>553894</v>
      </c>
      <c r="L7" s="277"/>
      <c r="M7" s="292" t="s">
        <v>466</v>
      </c>
    </row>
    <row r="8" spans="1:21" s="292" customFormat="1" ht="14.25" customHeight="1" x14ac:dyDescent="0.2">
      <c r="A8" s="292" t="s">
        <v>305</v>
      </c>
      <c r="B8" s="277" t="s">
        <v>145</v>
      </c>
      <c r="D8" s="610" t="s">
        <v>849</v>
      </c>
      <c r="E8" s="449">
        <v>168.82</v>
      </c>
      <c r="F8" s="810">
        <v>143</v>
      </c>
      <c r="G8" s="277"/>
      <c r="H8" s="324">
        <f t="shared" si="0"/>
        <v>143</v>
      </c>
      <c r="I8" s="325">
        <v>42615.413611111115</v>
      </c>
      <c r="J8" s="325">
        <v>42618.098414351851</v>
      </c>
      <c r="K8" s="808">
        <v>553487</v>
      </c>
      <c r="L8" s="277"/>
      <c r="M8" s="292" t="s">
        <v>466</v>
      </c>
    </row>
    <row r="9" spans="1:21" s="292" customFormat="1" ht="14.25" customHeight="1" x14ac:dyDescent="0.2">
      <c r="A9" s="292" t="s">
        <v>305</v>
      </c>
      <c r="B9" s="277" t="s">
        <v>145</v>
      </c>
      <c r="D9" s="610" t="s">
        <v>762</v>
      </c>
      <c r="E9" s="449">
        <v>69.849999999999994</v>
      </c>
      <c r="F9" s="813">
        <v>144</v>
      </c>
      <c r="G9" s="277"/>
      <c r="H9" s="324">
        <f t="shared" si="0"/>
        <v>144</v>
      </c>
      <c r="I9" s="325">
        <v>42615.436840277776</v>
      </c>
      <c r="J9" s="325">
        <v>42615.436840277776</v>
      </c>
      <c r="K9" s="812">
        <v>553666</v>
      </c>
      <c r="L9" s="277"/>
      <c r="M9" s="292" t="s">
        <v>466</v>
      </c>
    </row>
    <row r="10" spans="1:21" s="292" customFormat="1" ht="14.25" customHeight="1" x14ac:dyDescent="0.2">
      <c r="A10" s="292" t="s">
        <v>305</v>
      </c>
      <c r="B10" s="277" t="s">
        <v>145</v>
      </c>
      <c r="D10" s="610" t="s">
        <v>846</v>
      </c>
      <c r="E10" s="449">
        <v>185.15</v>
      </c>
      <c r="F10" s="811">
        <v>136</v>
      </c>
      <c r="G10" s="277"/>
      <c r="H10" s="324">
        <f t="shared" si="0"/>
        <v>136</v>
      </c>
      <c r="I10" s="325">
        <v>42615.571527777778</v>
      </c>
      <c r="J10" s="325">
        <v>42615.572650462964</v>
      </c>
      <c r="K10" s="809">
        <v>552636</v>
      </c>
      <c r="L10" s="277"/>
      <c r="M10" s="292" t="s">
        <v>466</v>
      </c>
    </row>
    <row r="11" spans="1:21" s="292" customFormat="1" ht="14.25" customHeight="1" x14ac:dyDescent="0.2">
      <c r="A11" s="292" t="s">
        <v>305</v>
      </c>
      <c r="B11" s="277" t="s">
        <v>145</v>
      </c>
      <c r="D11" s="610" t="s">
        <v>820</v>
      </c>
      <c r="E11" s="449">
        <v>482.29999999999995</v>
      </c>
      <c r="F11" s="813">
        <v>144</v>
      </c>
      <c r="G11" s="277"/>
      <c r="H11" s="324">
        <f t="shared" si="0"/>
        <v>144</v>
      </c>
      <c r="I11" s="325">
        <v>42615.573229166665</v>
      </c>
      <c r="J11" s="325">
        <v>42616.90483796296</v>
      </c>
      <c r="K11" s="812">
        <v>553619</v>
      </c>
      <c r="L11" s="277"/>
      <c r="M11" s="292" t="s">
        <v>466</v>
      </c>
    </row>
    <row r="12" spans="1:21" s="292" customFormat="1" ht="14.25" customHeight="1" x14ac:dyDescent="0.2">
      <c r="A12" s="292" t="s">
        <v>305</v>
      </c>
      <c r="B12" s="277" t="s">
        <v>145</v>
      </c>
      <c r="D12" s="610" t="s">
        <v>818</v>
      </c>
      <c r="E12" s="449">
        <v>1708.7</v>
      </c>
      <c r="F12" s="811">
        <v>139</v>
      </c>
      <c r="G12" s="277"/>
      <c r="H12" s="324">
        <f t="shared" si="0"/>
        <v>139</v>
      </c>
      <c r="I12" s="325">
        <v>42616.274039351854</v>
      </c>
      <c r="J12" s="325">
        <v>42617.72760416667</v>
      </c>
      <c r="K12" s="809">
        <v>553036</v>
      </c>
      <c r="L12" s="277"/>
      <c r="M12" s="292" t="s">
        <v>466</v>
      </c>
    </row>
    <row r="13" spans="1:21" s="292" customFormat="1" ht="14.25" customHeight="1" x14ac:dyDescent="0.2">
      <c r="A13" s="292" t="s">
        <v>305</v>
      </c>
      <c r="B13" s="277" t="s">
        <v>145</v>
      </c>
      <c r="D13" s="610" t="s">
        <v>644</v>
      </c>
      <c r="E13" s="449">
        <v>279.39999999999998</v>
      </c>
      <c r="F13" s="813">
        <v>137</v>
      </c>
      <c r="G13" s="277"/>
      <c r="H13" s="790">
        <f t="shared" si="0"/>
        <v>137</v>
      </c>
      <c r="I13" s="325">
        <v>42617.06040509259</v>
      </c>
      <c r="J13" s="325">
        <v>42617.062696759262</v>
      </c>
      <c r="K13" s="812">
        <v>552518</v>
      </c>
      <c r="L13" s="277"/>
      <c r="M13" s="292" t="s">
        <v>466</v>
      </c>
    </row>
    <row r="14" spans="1:21" s="292" customFormat="1" ht="14.25" customHeight="1" x14ac:dyDescent="0.2">
      <c r="A14" s="292" t="s">
        <v>305</v>
      </c>
      <c r="B14" s="277" t="s">
        <v>145</v>
      </c>
      <c r="D14" s="610" t="s">
        <v>641</v>
      </c>
      <c r="E14" s="449">
        <v>845.1</v>
      </c>
      <c r="F14" s="813">
        <v>153.5</v>
      </c>
      <c r="G14" s="277"/>
      <c r="H14" s="790">
        <f t="shared" si="0"/>
        <v>153.5</v>
      </c>
      <c r="I14" s="325">
        <v>42617.063402777778</v>
      </c>
      <c r="J14" s="325">
        <v>42618.287685185183</v>
      </c>
      <c r="K14" s="812">
        <v>551438</v>
      </c>
      <c r="L14" s="277"/>
      <c r="M14" s="292" t="s">
        <v>466</v>
      </c>
    </row>
    <row r="15" spans="1:21" s="292" customFormat="1" ht="14.25" customHeight="1" x14ac:dyDescent="0.2">
      <c r="A15" s="292" t="s">
        <v>305</v>
      </c>
      <c r="B15" s="277" t="s">
        <v>145</v>
      </c>
      <c r="D15" s="610" t="s">
        <v>495</v>
      </c>
      <c r="E15" s="449">
        <v>268.45</v>
      </c>
      <c r="F15" s="813">
        <v>138</v>
      </c>
      <c r="G15" s="277"/>
      <c r="H15" s="790">
        <f t="shared" si="0"/>
        <v>138</v>
      </c>
      <c r="I15" s="325">
        <v>42618.035115740742</v>
      </c>
      <c r="J15" s="325">
        <v>42618.036689814813</v>
      </c>
      <c r="K15" s="812">
        <v>553017</v>
      </c>
      <c r="L15" s="277"/>
      <c r="M15" s="292" t="s">
        <v>466</v>
      </c>
    </row>
    <row r="16" spans="1:21" s="292" customFormat="1" ht="14.25" customHeight="1" x14ac:dyDescent="0.2">
      <c r="A16" s="292" t="s">
        <v>305</v>
      </c>
      <c r="B16" s="277" t="s">
        <v>143</v>
      </c>
      <c r="D16" s="610" t="s">
        <v>712</v>
      </c>
      <c r="E16" s="449">
        <v>1495.65</v>
      </c>
      <c r="F16" s="813">
        <v>149</v>
      </c>
      <c r="G16" s="277"/>
      <c r="H16" s="790">
        <f t="shared" si="0"/>
        <v>149</v>
      </c>
      <c r="I16" s="325">
        <v>42615.430648148147</v>
      </c>
      <c r="J16" s="325">
        <v>42618.160081018519</v>
      </c>
      <c r="K16" s="812">
        <v>553450</v>
      </c>
      <c r="L16" s="277"/>
      <c r="M16" s="292" t="s">
        <v>466</v>
      </c>
    </row>
    <row r="17" spans="1:15" s="292" customFormat="1" ht="14.25" customHeight="1" x14ac:dyDescent="0.2">
      <c r="A17" s="292" t="s">
        <v>305</v>
      </c>
      <c r="B17" s="277" t="s">
        <v>143</v>
      </c>
      <c r="D17" s="610" t="s">
        <v>848</v>
      </c>
      <c r="E17" s="449">
        <v>93.16</v>
      </c>
      <c r="F17" s="813">
        <v>146</v>
      </c>
      <c r="G17" s="277"/>
      <c r="H17" s="790">
        <f t="shared" si="0"/>
        <v>146</v>
      </c>
      <c r="I17" s="325">
        <v>42615.444594907407</v>
      </c>
      <c r="J17" s="325">
        <v>42615.913576388892</v>
      </c>
      <c r="K17" s="812">
        <v>553893</v>
      </c>
      <c r="L17" s="277"/>
      <c r="M17" s="292" t="s">
        <v>466</v>
      </c>
    </row>
    <row r="18" spans="1:15" ht="14.25" x14ac:dyDescent="0.2">
      <c r="A18" s="292" t="s">
        <v>305</v>
      </c>
      <c r="B18" s="277" t="s">
        <v>143</v>
      </c>
      <c r="C18" s="292"/>
      <c r="D18" s="610" t="s">
        <v>847</v>
      </c>
      <c r="E18" s="449">
        <v>201</v>
      </c>
      <c r="F18" s="813">
        <v>146</v>
      </c>
      <c r="G18" s="277"/>
      <c r="H18" s="790">
        <f t="shared" si="0"/>
        <v>146</v>
      </c>
      <c r="I18" s="325">
        <v>42615.569872685184</v>
      </c>
      <c r="J18" s="325">
        <v>42615.570937500001</v>
      </c>
      <c r="K18" s="812">
        <v>553448</v>
      </c>
      <c r="L18" s="277"/>
      <c r="M18" s="292" t="s">
        <v>466</v>
      </c>
      <c r="N18" s="292"/>
      <c r="O18" s="292"/>
    </row>
    <row r="19" spans="1:15" ht="14.25" x14ac:dyDescent="0.2">
      <c r="A19" s="292" t="s">
        <v>305</v>
      </c>
      <c r="B19" s="277" t="s">
        <v>143</v>
      </c>
      <c r="C19" s="292"/>
      <c r="D19" s="610" t="s">
        <v>762</v>
      </c>
      <c r="E19" s="449">
        <v>276</v>
      </c>
      <c r="F19" s="813">
        <v>149</v>
      </c>
      <c r="G19" s="277"/>
      <c r="H19" s="790">
        <f t="shared" si="0"/>
        <v>149</v>
      </c>
      <c r="I19" s="325">
        <v>42615.885335648149</v>
      </c>
      <c r="J19" s="325">
        <v>42615.886759259258</v>
      </c>
      <c r="K19" s="812">
        <v>553667</v>
      </c>
      <c r="L19" s="277"/>
      <c r="M19" s="292" t="s">
        <v>466</v>
      </c>
      <c r="N19" s="292"/>
      <c r="O19" s="292"/>
    </row>
    <row r="20" spans="1:15" ht="14.25" x14ac:dyDescent="0.2">
      <c r="A20" s="292" t="s">
        <v>305</v>
      </c>
      <c r="B20" s="277" t="s">
        <v>143</v>
      </c>
      <c r="C20" s="292"/>
      <c r="D20" s="610" t="s">
        <v>408</v>
      </c>
      <c r="E20" s="449">
        <v>501.64</v>
      </c>
      <c r="F20" s="813">
        <v>145</v>
      </c>
      <c r="G20" s="277"/>
      <c r="H20" s="790">
        <f t="shared" si="0"/>
        <v>145</v>
      </c>
      <c r="I20" s="325">
        <v>42615.921018518522</v>
      </c>
      <c r="J20" s="325">
        <v>42617.247037037036</v>
      </c>
      <c r="K20" s="812">
        <v>553931</v>
      </c>
      <c r="L20" s="277"/>
      <c r="M20" s="292" t="s">
        <v>466</v>
      </c>
      <c r="N20" s="292"/>
      <c r="O20" s="292"/>
    </row>
    <row r="21" spans="1:15" ht="14.25" x14ac:dyDescent="0.2">
      <c r="A21" s="292" t="s">
        <v>305</v>
      </c>
      <c r="B21" s="277" t="s">
        <v>143</v>
      </c>
      <c r="C21" s="292"/>
      <c r="D21" s="610" t="s">
        <v>730</v>
      </c>
      <c r="E21" s="449">
        <v>896.19999999999993</v>
      </c>
      <c r="F21" s="811">
        <v>147</v>
      </c>
      <c r="G21" s="277"/>
      <c r="H21" s="790">
        <f t="shared" si="0"/>
        <v>147</v>
      </c>
      <c r="I21" s="325">
        <v>42616.143391203703</v>
      </c>
      <c r="J21" s="325">
        <v>42616.418171296296</v>
      </c>
      <c r="K21" s="809">
        <v>552825</v>
      </c>
      <c r="L21" s="277"/>
      <c r="M21" s="292" t="s">
        <v>466</v>
      </c>
      <c r="N21" s="292"/>
      <c r="O21" s="292"/>
    </row>
    <row r="22" spans="1:15" ht="14.25" x14ac:dyDescent="0.2">
      <c r="A22" s="292" t="s">
        <v>305</v>
      </c>
      <c r="B22" s="277" t="s">
        <v>143</v>
      </c>
      <c r="C22" s="292"/>
      <c r="D22" s="610" t="s">
        <v>845</v>
      </c>
      <c r="E22" s="449">
        <v>263.05</v>
      </c>
      <c r="F22" s="811">
        <v>152</v>
      </c>
      <c r="G22" s="277"/>
      <c r="H22" s="790">
        <f t="shared" si="0"/>
        <v>152</v>
      </c>
      <c r="I22" s="325">
        <v>42616.157592592594</v>
      </c>
      <c r="J22" s="325">
        <v>42616.159918981481</v>
      </c>
      <c r="K22" s="809">
        <v>551772</v>
      </c>
      <c r="L22" s="277"/>
      <c r="M22" s="292" t="s">
        <v>466</v>
      </c>
      <c r="N22" s="292"/>
      <c r="O22" s="292"/>
    </row>
    <row r="23" spans="1:15" ht="14.25" x14ac:dyDescent="0.2">
      <c r="A23" s="292" t="s">
        <v>305</v>
      </c>
      <c r="B23" s="277" t="s">
        <v>143</v>
      </c>
      <c r="C23" s="292"/>
      <c r="D23" s="610" t="s">
        <v>495</v>
      </c>
      <c r="E23" s="449">
        <v>25.16</v>
      </c>
      <c r="F23" s="811">
        <v>142</v>
      </c>
      <c r="G23" s="277"/>
      <c r="H23" s="790">
        <f t="shared" si="0"/>
        <v>142</v>
      </c>
      <c r="I23" s="325">
        <v>42616.62222222222</v>
      </c>
      <c r="J23" s="325">
        <v>42616.62222222222</v>
      </c>
      <c r="K23" s="809">
        <v>552936</v>
      </c>
      <c r="L23" s="277"/>
      <c r="M23" s="292" t="s">
        <v>466</v>
      </c>
      <c r="N23" s="292"/>
      <c r="O23" s="292"/>
    </row>
    <row r="25" spans="1:15" x14ac:dyDescent="0.2">
      <c r="E25" s="807">
        <f>SUM(E5:E24)</f>
        <v>9244.7499999999982</v>
      </c>
    </row>
    <row r="28" spans="1:15" ht="14.25" x14ac:dyDescent="0.2">
      <c r="A28" s="825" t="s">
        <v>872</v>
      </c>
      <c r="B28" s="277" t="s">
        <v>143</v>
      </c>
      <c r="C28" s="292"/>
      <c r="D28" s="610" t="s">
        <v>871</v>
      </c>
      <c r="E28" s="449">
        <v>4038.7200000000007</v>
      </c>
      <c r="F28" s="823">
        <v>147</v>
      </c>
      <c r="G28" s="277"/>
      <c r="H28" s="324">
        <f>IF(G28="Y",F28/1.2,F28)</f>
        <v>147</v>
      </c>
      <c r="I28" s="325">
        <v>42615</v>
      </c>
      <c r="J28" s="325">
        <v>42617</v>
      </c>
      <c r="K28" s="822">
        <v>552825</v>
      </c>
    </row>
    <row r="29" spans="1:15" ht="14.25" x14ac:dyDescent="0.2">
      <c r="A29" s="825" t="s">
        <v>872</v>
      </c>
      <c r="B29" s="277" t="s">
        <v>143</v>
      </c>
      <c r="C29" s="292"/>
      <c r="D29" s="610" t="s">
        <v>770</v>
      </c>
      <c r="E29" s="449">
        <v>688.81</v>
      </c>
      <c r="F29" s="821">
        <v>152</v>
      </c>
      <c r="G29" s="277"/>
      <c r="H29" s="324">
        <f t="shared" ref="H29" si="1">IF(G29="Y",F29/1.2,F29)</f>
        <v>152</v>
      </c>
      <c r="I29" s="325">
        <v>42615</v>
      </c>
      <c r="J29" s="325">
        <v>42617</v>
      </c>
      <c r="K29" s="822">
        <v>553630</v>
      </c>
    </row>
  </sheetData>
  <autoFilter ref="A4:M2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3"/>
  <sheetViews>
    <sheetView workbookViewId="0">
      <selection activeCell="D20" sqref="D20"/>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785</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292" t="s">
        <v>305</v>
      </c>
      <c r="B6" s="277" t="s">
        <v>143</v>
      </c>
      <c r="C6" s="292" t="s">
        <v>144</v>
      </c>
      <c r="D6" s="610" t="s">
        <v>495</v>
      </c>
      <c r="E6" s="449">
        <v>84.26</v>
      </c>
      <c r="F6" s="793">
        <v>145</v>
      </c>
      <c r="G6" s="277"/>
      <c r="H6" s="324">
        <f>IF(G6="Y",F6/1.2,F6)</f>
        <v>145</v>
      </c>
      <c r="I6" s="325">
        <v>42613.362523148149</v>
      </c>
      <c r="J6" s="325">
        <v>42613.725949074076</v>
      </c>
      <c r="K6" s="311">
        <v>553336</v>
      </c>
      <c r="L6" s="277"/>
      <c r="M6" s="292" t="s">
        <v>466</v>
      </c>
      <c r="N6" s="292" t="s">
        <v>466</v>
      </c>
      <c r="O6" s="292" t="s">
        <v>466</v>
      </c>
    </row>
    <row r="7" spans="1:21" s="292" customFormat="1" ht="14.25" customHeight="1" x14ac:dyDescent="0.2">
      <c r="A7" s="292" t="s">
        <v>305</v>
      </c>
      <c r="B7" s="277" t="s">
        <v>143</v>
      </c>
      <c r="C7" s="292" t="s">
        <v>144</v>
      </c>
      <c r="D7" s="610" t="s">
        <v>408</v>
      </c>
      <c r="E7" s="449">
        <v>163.12</v>
      </c>
      <c r="F7" s="793">
        <v>146</v>
      </c>
      <c r="G7" s="277"/>
      <c r="H7" s="324">
        <f t="shared" ref="H7:H23" si="0">IF(G7="Y",F7/1.2,F7)</f>
        <v>146</v>
      </c>
      <c r="I7" s="325">
        <v>42613.671990740739</v>
      </c>
      <c r="J7" s="325">
        <v>42614.251168981478</v>
      </c>
      <c r="K7" s="311">
        <v>553893</v>
      </c>
      <c r="L7" s="277"/>
      <c r="M7" s="292" t="s">
        <v>466</v>
      </c>
      <c r="N7" s="292" t="s">
        <v>466</v>
      </c>
      <c r="O7" s="292" t="s">
        <v>466</v>
      </c>
    </row>
    <row r="8" spans="1:21" s="292" customFormat="1" ht="14.25" customHeight="1" x14ac:dyDescent="0.2">
      <c r="A8" s="292" t="s">
        <v>305</v>
      </c>
      <c r="B8" s="277" t="s">
        <v>143</v>
      </c>
      <c r="C8" s="292" t="s">
        <v>144</v>
      </c>
      <c r="D8" s="610" t="s">
        <v>802</v>
      </c>
      <c r="E8" s="449">
        <v>205.8</v>
      </c>
      <c r="F8" s="793">
        <v>148</v>
      </c>
      <c r="G8" s="277"/>
      <c r="H8" s="324">
        <f t="shared" si="0"/>
        <v>148</v>
      </c>
      <c r="I8" s="325">
        <v>42614.313680555555</v>
      </c>
      <c r="J8" s="325">
        <v>42614.314641203702</v>
      </c>
      <c r="K8" s="311">
        <v>553496</v>
      </c>
      <c r="L8" s="277"/>
      <c r="M8" s="292" t="s">
        <v>466</v>
      </c>
      <c r="N8" s="292" t="s">
        <v>466</v>
      </c>
      <c r="O8" s="292" t="s">
        <v>466</v>
      </c>
    </row>
    <row r="9" spans="1:21" s="794" customFormat="1" ht="14.25" customHeight="1" x14ac:dyDescent="0.2">
      <c r="A9" s="794" t="s">
        <v>305</v>
      </c>
      <c r="B9" s="795" t="s">
        <v>145</v>
      </c>
      <c r="C9" s="794" t="s">
        <v>144</v>
      </c>
      <c r="D9" s="796" t="s">
        <v>495</v>
      </c>
      <c r="E9" s="797">
        <v>42.54</v>
      </c>
      <c r="F9" s="798">
        <v>138</v>
      </c>
      <c r="G9" s="795"/>
      <c r="H9" s="799">
        <f t="shared" si="0"/>
        <v>138</v>
      </c>
      <c r="I9" s="800">
        <v>42613.41034722222</v>
      </c>
      <c r="J9" s="800">
        <v>42613.689930555556</v>
      </c>
      <c r="K9" s="122">
        <v>553017</v>
      </c>
      <c r="L9" s="795"/>
      <c r="M9" s="794" t="s">
        <v>466</v>
      </c>
      <c r="N9" s="794" t="s">
        <v>466</v>
      </c>
      <c r="O9" s="794" t="s">
        <v>466</v>
      </c>
    </row>
    <row r="10" spans="1:21" s="292" customFormat="1" ht="14.25" customHeight="1" x14ac:dyDescent="0.2">
      <c r="A10" s="292" t="s">
        <v>305</v>
      </c>
      <c r="B10" s="277" t="s">
        <v>145</v>
      </c>
      <c r="C10" s="292" t="s">
        <v>144</v>
      </c>
      <c r="D10" s="610" t="s">
        <v>408</v>
      </c>
      <c r="E10" s="449">
        <v>241.64</v>
      </c>
      <c r="F10" s="793">
        <v>142</v>
      </c>
      <c r="G10" s="277"/>
      <c r="H10" s="324">
        <f t="shared" si="0"/>
        <v>142</v>
      </c>
      <c r="I10" s="325">
        <v>42613.698425925926</v>
      </c>
      <c r="J10" s="325">
        <v>42614.179988425924</v>
      </c>
      <c r="K10" s="311">
        <v>553894</v>
      </c>
      <c r="L10" s="277"/>
      <c r="M10" s="292" t="s">
        <v>466</v>
      </c>
      <c r="N10" s="292" t="s">
        <v>466</v>
      </c>
      <c r="O10" s="292" t="s">
        <v>466</v>
      </c>
    </row>
    <row r="11" spans="1:21" s="292" customFormat="1" ht="14.25" customHeight="1" x14ac:dyDescent="0.2">
      <c r="A11" s="292" t="s">
        <v>305</v>
      </c>
      <c r="B11" s="277" t="s">
        <v>145</v>
      </c>
      <c r="C11" s="292" t="s">
        <v>144</v>
      </c>
      <c r="D11" s="610" t="s">
        <v>462</v>
      </c>
      <c r="E11" s="449">
        <v>93.26</v>
      </c>
      <c r="F11" s="793">
        <v>145</v>
      </c>
      <c r="G11" s="277"/>
      <c r="H11" s="324">
        <f t="shared" si="0"/>
        <v>145</v>
      </c>
      <c r="I11" s="325">
        <v>42614.071736111109</v>
      </c>
      <c r="J11" s="325">
        <v>42614.139791666668</v>
      </c>
      <c r="K11" s="311">
        <v>553729</v>
      </c>
      <c r="L11" s="277"/>
      <c r="M11" s="292" t="s">
        <v>466</v>
      </c>
      <c r="N11" s="292" t="s">
        <v>466</v>
      </c>
      <c r="O11" s="292" t="s">
        <v>466</v>
      </c>
    </row>
    <row r="12" spans="1:21" s="292" customFormat="1" ht="14.25" customHeight="1" x14ac:dyDescent="0.2">
      <c r="A12" s="292" t="s">
        <v>305</v>
      </c>
      <c r="B12" s="277" t="s">
        <v>459</v>
      </c>
      <c r="C12" s="292" t="s">
        <v>144</v>
      </c>
      <c r="D12" s="610" t="s">
        <v>495</v>
      </c>
      <c r="E12" s="449">
        <v>48.92</v>
      </c>
      <c r="F12" s="793">
        <v>410</v>
      </c>
      <c r="G12" s="277"/>
      <c r="H12" s="324">
        <f t="shared" si="0"/>
        <v>410</v>
      </c>
      <c r="I12" s="325">
        <v>42614.187013888892</v>
      </c>
      <c r="J12" s="325">
        <v>42614.200775462959</v>
      </c>
      <c r="K12" s="311">
        <v>553796</v>
      </c>
      <c r="L12" s="277"/>
      <c r="M12" s="292" t="s">
        <v>466</v>
      </c>
      <c r="N12" s="292" t="s">
        <v>466</v>
      </c>
      <c r="O12" s="292" t="s">
        <v>466</v>
      </c>
    </row>
    <row r="13" spans="1:21" s="292" customFormat="1" ht="14.25" customHeight="1" x14ac:dyDescent="0.2">
      <c r="A13" s="292" t="s">
        <v>305</v>
      </c>
      <c r="B13" s="277" t="s">
        <v>145</v>
      </c>
      <c r="C13" s="292" t="s">
        <v>144</v>
      </c>
      <c r="D13" s="610" t="s">
        <v>644</v>
      </c>
      <c r="E13" s="449">
        <v>386</v>
      </c>
      <c r="F13" s="793">
        <v>137</v>
      </c>
      <c r="G13" s="277"/>
      <c r="H13" s="790">
        <f t="shared" si="0"/>
        <v>137</v>
      </c>
      <c r="I13" s="325">
        <v>42613</v>
      </c>
      <c r="J13" s="325">
        <v>42613</v>
      </c>
      <c r="K13" s="311">
        <v>552518</v>
      </c>
      <c r="L13" s="277"/>
      <c r="M13" s="292" t="s">
        <v>466</v>
      </c>
      <c r="N13" s="292" t="s">
        <v>466</v>
      </c>
      <c r="O13" s="292" t="s">
        <v>466</v>
      </c>
    </row>
    <row r="14" spans="1:21" s="292" customFormat="1" ht="14.25" customHeight="1" x14ac:dyDescent="0.2">
      <c r="A14" s="292" t="s">
        <v>305</v>
      </c>
      <c r="B14" s="277" t="s">
        <v>143</v>
      </c>
      <c r="C14" s="292" t="s">
        <v>144</v>
      </c>
      <c r="D14" s="610" t="s">
        <v>770</v>
      </c>
      <c r="E14" s="449">
        <v>69.260000000000005</v>
      </c>
      <c r="F14" s="793">
        <v>147</v>
      </c>
      <c r="G14" s="277"/>
      <c r="H14" s="790">
        <f t="shared" si="0"/>
        <v>147</v>
      </c>
      <c r="I14" s="325">
        <v>42613</v>
      </c>
      <c r="J14" s="325">
        <v>42613</v>
      </c>
      <c r="K14" s="311">
        <v>552825</v>
      </c>
      <c r="L14" s="277"/>
      <c r="M14" s="292" t="s">
        <v>466</v>
      </c>
      <c r="N14" s="292" t="s">
        <v>466</v>
      </c>
      <c r="O14" s="292" t="s">
        <v>466</v>
      </c>
    </row>
    <row r="15" spans="1:21" s="292" customFormat="1" ht="14.25" customHeight="1" x14ac:dyDescent="0.2">
      <c r="B15" s="277"/>
      <c r="D15" s="610"/>
      <c r="E15" s="449"/>
      <c r="G15" s="277"/>
      <c r="H15" s="324">
        <f t="shared" si="0"/>
        <v>0</v>
      </c>
      <c r="I15" s="325"/>
      <c r="J15" s="325"/>
      <c r="K15" s="311"/>
      <c r="L15" s="277"/>
    </row>
    <row r="16" spans="1:21" s="292" customFormat="1" ht="14.25" customHeight="1" x14ac:dyDescent="0.2">
      <c r="B16" s="277"/>
      <c r="D16" s="610"/>
      <c r="E16" s="449"/>
      <c r="G16" s="277"/>
      <c r="H16" s="324">
        <f t="shared" si="0"/>
        <v>0</v>
      </c>
      <c r="I16" s="325"/>
      <c r="J16" s="325"/>
      <c r="K16" s="311"/>
      <c r="L16" s="277"/>
    </row>
    <row r="17" spans="2:12" s="292" customFormat="1" ht="14.25" customHeight="1" x14ac:dyDescent="0.2">
      <c r="B17" s="277"/>
      <c r="D17" s="610"/>
      <c r="E17" s="449"/>
      <c r="G17" s="277"/>
      <c r="H17" s="324">
        <f t="shared" si="0"/>
        <v>0</v>
      </c>
      <c r="I17" s="325"/>
      <c r="J17" s="325"/>
      <c r="K17" s="311"/>
      <c r="L17" s="277"/>
    </row>
    <row r="18" spans="2:12" s="292" customFormat="1" ht="14.25" customHeight="1" x14ac:dyDescent="0.2">
      <c r="B18" s="277"/>
      <c r="D18" s="610"/>
      <c r="E18" s="449"/>
      <c r="G18" s="277"/>
      <c r="H18" s="324">
        <f t="shared" si="0"/>
        <v>0</v>
      </c>
      <c r="I18" s="325"/>
      <c r="J18" s="325"/>
      <c r="K18" s="629"/>
      <c r="L18" s="277"/>
    </row>
    <row r="19" spans="2:12" s="292" customFormat="1" ht="14.25" customHeight="1" x14ac:dyDescent="0.2">
      <c r="B19" s="277"/>
      <c r="D19" s="610"/>
      <c r="E19" s="449"/>
      <c r="G19" s="277"/>
      <c r="H19" s="324">
        <f t="shared" si="0"/>
        <v>0</v>
      </c>
      <c r="I19" s="325"/>
      <c r="J19" s="325"/>
      <c r="K19" s="629"/>
      <c r="L19" s="277"/>
    </row>
    <row r="20" spans="2:12" s="292" customFormat="1" ht="14.25" customHeight="1" x14ac:dyDescent="0.2">
      <c r="B20" s="277"/>
      <c r="D20" s="610"/>
      <c r="E20" s="449"/>
      <c r="G20" s="277"/>
      <c r="H20" s="324">
        <f t="shared" si="0"/>
        <v>0</v>
      </c>
      <c r="I20" s="325"/>
      <c r="J20" s="325"/>
      <c r="K20" s="629"/>
      <c r="L20" s="277"/>
    </row>
    <row r="21" spans="2:12" s="292" customFormat="1" ht="14.25" customHeight="1" x14ac:dyDescent="0.2">
      <c r="B21" s="277"/>
      <c r="D21" s="610"/>
      <c r="E21" s="449"/>
      <c r="G21" s="277"/>
      <c r="H21" s="324">
        <f t="shared" si="0"/>
        <v>0</v>
      </c>
      <c r="I21" s="325"/>
      <c r="J21" s="325"/>
      <c r="K21" s="629"/>
      <c r="L21" s="277"/>
    </row>
    <row r="22" spans="2:12" s="292" customFormat="1" ht="14.25" customHeight="1" x14ac:dyDescent="0.2">
      <c r="B22" s="277"/>
      <c r="D22" s="610"/>
      <c r="E22" s="449"/>
      <c r="G22" s="277"/>
      <c r="H22" s="324">
        <f t="shared" si="0"/>
        <v>0</v>
      </c>
      <c r="I22" s="325"/>
      <c r="J22" s="325"/>
      <c r="K22" s="629"/>
      <c r="L22" s="277"/>
    </row>
    <row r="23" spans="2:12" s="292" customFormat="1" ht="14.25" customHeight="1" x14ac:dyDescent="0.2">
      <c r="B23" s="277"/>
      <c r="D23" s="610"/>
      <c r="E23" s="449"/>
      <c r="G23" s="277"/>
      <c r="H23" s="324">
        <f t="shared" si="0"/>
        <v>0</v>
      </c>
      <c r="I23" s="325"/>
      <c r="J23" s="325"/>
      <c r="K23" s="629"/>
      <c r="L23" s="27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
  <sheetViews>
    <sheetView workbookViewId="0">
      <selection activeCell="D15" sqref="D15"/>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769</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785" t="s">
        <v>305</v>
      </c>
      <c r="B6" s="786" t="s">
        <v>143</v>
      </c>
      <c r="C6" s="785" t="s">
        <v>144</v>
      </c>
      <c r="D6" s="787" t="s">
        <v>770</v>
      </c>
      <c r="E6" s="788">
        <v>823.94999999999993</v>
      </c>
      <c r="F6" s="789">
        <v>147</v>
      </c>
      <c r="G6" s="786"/>
      <c r="H6" s="790">
        <f>IF(G6="Y",F6/1.2,F6)</f>
        <v>147</v>
      </c>
      <c r="I6" s="791">
        <v>42612</v>
      </c>
      <c r="J6" s="791">
        <v>42612</v>
      </c>
      <c r="K6" s="792">
        <v>552858</v>
      </c>
      <c r="L6" s="786"/>
      <c r="M6" s="785" t="s">
        <v>466</v>
      </c>
      <c r="N6" s="785" t="s">
        <v>466</v>
      </c>
      <c r="O6" s="785" t="s">
        <v>466</v>
      </c>
    </row>
    <row r="7" spans="1:21" s="292" customFormat="1" ht="14.25" customHeight="1" x14ac:dyDescent="0.2">
      <c r="A7" s="785" t="s">
        <v>305</v>
      </c>
      <c r="B7" s="786" t="s">
        <v>145</v>
      </c>
      <c r="C7" s="785" t="s">
        <v>144</v>
      </c>
      <c r="D7" s="787" t="s">
        <v>641</v>
      </c>
      <c r="E7" s="788">
        <v>425.95000000000005</v>
      </c>
      <c r="F7" s="789">
        <v>153.5</v>
      </c>
      <c r="G7" s="786"/>
      <c r="H7" s="790">
        <f t="shared" ref="H7:H23" si="0">IF(G7="Y",F7/1.2,F7)</f>
        <v>153.5</v>
      </c>
      <c r="I7" s="791">
        <v>42612</v>
      </c>
      <c r="J7" s="791">
        <v>42612</v>
      </c>
      <c r="K7" s="792">
        <v>551438</v>
      </c>
      <c r="L7" s="786"/>
      <c r="M7" s="785" t="s">
        <v>466</v>
      </c>
      <c r="N7" s="785" t="s">
        <v>466</v>
      </c>
      <c r="O7" s="785" t="s">
        <v>466</v>
      </c>
    </row>
    <row r="8" spans="1:21" s="292" customFormat="1" ht="14.25" customHeight="1" x14ac:dyDescent="0.2">
      <c r="A8" s="292" t="s">
        <v>305</v>
      </c>
      <c r="B8" s="277" t="s">
        <v>143</v>
      </c>
      <c r="C8" s="292" t="s">
        <v>144</v>
      </c>
      <c r="D8" s="610" t="s">
        <v>495</v>
      </c>
      <c r="E8" s="449">
        <v>124.73999999999998</v>
      </c>
      <c r="F8" s="292">
        <v>145</v>
      </c>
      <c r="G8" s="277"/>
      <c r="H8" s="324">
        <f t="shared" si="0"/>
        <v>145</v>
      </c>
      <c r="I8" s="325">
        <v>42612.686921296299</v>
      </c>
      <c r="J8" s="325">
        <v>42613.156481481485</v>
      </c>
      <c r="K8" s="311">
        <v>553336</v>
      </c>
      <c r="L8" s="277"/>
      <c r="M8" s="292" t="s">
        <v>466</v>
      </c>
      <c r="N8" s="292" t="s">
        <v>466</v>
      </c>
      <c r="O8" s="292" t="s">
        <v>466</v>
      </c>
    </row>
    <row r="9" spans="1:21" s="292" customFormat="1" ht="14.25" customHeight="1" x14ac:dyDescent="0.2">
      <c r="A9" s="292" t="s">
        <v>305</v>
      </c>
      <c r="B9" s="277" t="s">
        <v>143</v>
      </c>
      <c r="C9" s="292" t="s">
        <v>144</v>
      </c>
      <c r="D9" s="610" t="s">
        <v>408</v>
      </c>
      <c r="E9" s="449">
        <v>50.56</v>
      </c>
      <c r="F9" s="292">
        <v>149</v>
      </c>
      <c r="G9" s="277"/>
      <c r="H9" s="324">
        <f t="shared" si="0"/>
        <v>149</v>
      </c>
      <c r="I9" s="325">
        <v>42613.006006944444</v>
      </c>
      <c r="J9" s="325">
        <v>42613.161435185182</v>
      </c>
      <c r="K9" s="311">
        <v>553759</v>
      </c>
      <c r="L9" s="277"/>
      <c r="M9" s="292" t="s">
        <v>466</v>
      </c>
      <c r="N9" s="292" t="s">
        <v>466</v>
      </c>
      <c r="O9" s="292" t="s">
        <v>466</v>
      </c>
    </row>
    <row r="10" spans="1:21" s="292" customFormat="1" ht="14.25" customHeight="1" x14ac:dyDescent="0.2">
      <c r="A10" s="292" t="s">
        <v>305</v>
      </c>
      <c r="B10" s="277" t="s">
        <v>143</v>
      </c>
      <c r="C10" s="292" t="s">
        <v>144</v>
      </c>
      <c r="D10" s="610" t="s">
        <v>464</v>
      </c>
      <c r="E10" s="449">
        <v>48.94</v>
      </c>
      <c r="F10" s="292">
        <v>148</v>
      </c>
      <c r="G10" s="277"/>
      <c r="H10" s="324">
        <f t="shared" si="0"/>
        <v>148</v>
      </c>
      <c r="I10" s="325">
        <v>42613.165289351855</v>
      </c>
      <c r="J10" s="325">
        <v>42613.171481481484</v>
      </c>
      <c r="K10" s="311">
        <v>553409</v>
      </c>
      <c r="L10" s="277"/>
      <c r="M10" s="292" t="s">
        <v>466</v>
      </c>
      <c r="N10" s="292" t="s">
        <v>466</v>
      </c>
      <c r="O10" s="292" t="s">
        <v>466</v>
      </c>
    </row>
    <row r="11" spans="1:21" s="292" customFormat="1" ht="14.25" customHeight="1" x14ac:dyDescent="0.2">
      <c r="A11" s="292" t="s">
        <v>305</v>
      </c>
      <c r="B11" s="277" t="s">
        <v>145</v>
      </c>
      <c r="C11" s="292" t="s">
        <v>144</v>
      </c>
      <c r="D11" s="610" t="s">
        <v>495</v>
      </c>
      <c r="E11" s="449">
        <v>72.760000000000005</v>
      </c>
      <c r="F11" s="292">
        <v>138</v>
      </c>
      <c r="G11" s="277"/>
      <c r="H11" s="324">
        <f t="shared" si="0"/>
        <v>138</v>
      </c>
      <c r="I11" s="325">
        <v>42612.580567129633</v>
      </c>
      <c r="J11" s="325">
        <v>42613.017256944448</v>
      </c>
      <c r="K11" s="311">
        <v>553017</v>
      </c>
      <c r="L11" s="277"/>
      <c r="M11" s="292" t="s">
        <v>466</v>
      </c>
      <c r="N11" s="292" t="s">
        <v>466</v>
      </c>
      <c r="O11" s="292" t="s">
        <v>466</v>
      </c>
    </row>
    <row r="12" spans="1:21" s="292" customFormat="1" ht="14.25" customHeight="1" x14ac:dyDescent="0.2">
      <c r="A12" s="292" t="s">
        <v>305</v>
      </c>
      <c r="B12" s="277" t="s">
        <v>145</v>
      </c>
      <c r="C12" s="292" t="s">
        <v>144</v>
      </c>
      <c r="D12" s="610" t="s">
        <v>464</v>
      </c>
      <c r="E12" s="449">
        <v>74.44</v>
      </c>
      <c r="F12" s="292">
        <v>145</v>
      </c>
      <c r="G12" s="277"/>
      <c r="H12" s="324">
        <f t="shared" si="0"/>
        <v>145</v>
      </c>
      <c r="I12" s="325">
        <v>42612.623043981483</v>
      </c>
      <c r="J12" s="325">
        <v>42613.242986111109</v>
      </c>
      <c r="K12" s="311">
        <v>553731</v>
      </c>
      <c r="L12" s="277"/>
      <c r="M12" s="292" t="s">
        <v>466</v>
      </c>
      <c r="N12" s="292" t="s">
        <v>466</v>
      </c>
      <c r="O12" s="292" t="s">
        <v>466</v>
      </c>
    </row>
    <row r="13" spans="1:21" s="292" customFormat="1" ht="14.25" customHeight="1" x14ac:dyDescent="0.2">
      <c r="A13" s="292" t="s">
        <v>305</v>
      </c>
      <c r="B13" s="277" t="s">
        <v>145</v>
      </c>
      <c r="C13" s="292" t="s">
        <v>144</v>
      </c>
      <c r="D13" s="610" t="s">
        <v>702</v>
      </c>
      <c r="E13" s="449">
        <v>116.55000000000001</v>
      </c>
      <c r="F13" s="292">
        <v>141</v>
      </c>
      <c r="G13" s="277"/>
      <c r="H13" s="324">
        <f t="shared" si="0"/>
        <v>141</v>
      </c>
      <c r="I13" s="325">
        <v>42612.655763888892</v>
      </c>
      <c r="J13" s="325">
        <v>42612.656215277777</v>
      </c>
      <c r="K13" s="311">
        <v>553244</v>
      </c>
      <c r="L13" s="277"/>
      <c r="M13" s="292" t="s">
        <v>466</v>
      </c>
      <c r="N13" s="292" t="s">
        <v>466</v>
      </c>
      <c r="O13" s="292" t="s">
        <v>466</v>
      </c>
    </row>
    <row r="14" spans="1:21" s="292" customFormat="1" ht="14.25" customHeight="1" x14ac:dyDescent="0.2">
      <c r="A14" s="292" t="s">
        <v>305</v>
      </c>
      <c r="B14" s="277" t="s">
        <v>145</v>
      </c>
      <c r="C14" s="292" t="s">
        <v>144</v>
      </c>
      <c r="D14" s="610" t="s">
        <v>408</v>
      </c>
      <c r="E14" s="449">
        <v>95.8</v>
      </c>
      <c r="F14" s="292">
        <v>142</v>
      </c>
      <c r="G14" s="277"/>
      <c r="H14" s="324">
        <f t="shared" si="0"/>
        <v>142</v>
      </c>
      <c r="I14" s="325">
        <v>42613.024641203701</v>
      </c>
      <c r="J14" s="325">
        <v>42613.2265162037</v>
      </c>
      <c r="K14" s="311">
        <v>553894</v>
      </c>
      <c r="L14" s="277"/>
      <c r="M14" s="292" t="s">
        <v>466</v>
      </c>
      <c r="N14" s="292" t="s">
        <v>466</v>
      </c>
      <c r="O14" s="292" t="s">
        <v>466</v>
      </c>
    </row>
    <row r="15" spans="1:21" s="292" customFormat="1" ht="14.25" customHeight="1" x14ac:dyDescent="0.2">
      <c r="A15" s="292" t="s">
        <v>305</v>
      </c>
      <c r="B15" s="277" t="s">
        <v>459</v>
      </c>
      <c r="C15" s="292" t="s">
        <v>144</v>
      </c>
      <c r="D15" s="610" t="s">
        <v>495</v>
      </c>
      <c r="E15" s="449">
        <v>75.06</v>
      </c>
      <c r="F15" s="292">
        <v>410</v>
      </c>
      <c r="G15" s="277"/>
      <c r="H15" s="324">
        <f t="shared" si="0"/>
        <v>410</v>
      </c>
      <c r="I15" s="325">
        <v>42612.628194444442</v>
      </c>
      <c r="J15" s="325">
        <v>42613.213460648149</v>
      </c>
      <c r="K15" s="311">
        <v>553796</v>
      </c>
      <c r="L15" s="277"/>
      <c r="M15" s="292" t="s">
        <v>466</v>
      </c>
      <c r="N15" s="292" t="s">
        <v>466</v>
      </c>
      <c r="O15" s="292" t="s">
        <v>466</v>
      </c>
    </row>
    <row r="16" spans="1:21" s="292" customFormat="1" ht="14.25" customHeight="1" x14ac:dyDescent="0.2">
      <c r="B16" s="277"/>
      <c r="D16" s="610"/>
      <c r="E16" s="449"/>
      <c r="G16" s="277"/>
      <c r="H16" s="324">
        <f t="shared" si="0"/>
        <v>0</v>
      </c>
      <c r="I16" s="325"/>
      <c r="J16" s="325"/>
      <c r="K16" s="311"/>
      <c r="L16" s="277"/>
    </row>
    <row r="17" spans="2:12" s="292" customFormat="1" ht="14.25" customHeight="1" x14ac:dyDescent="0.2">
      <c r="B17" s="277"/>
      <c r="D17" s="610"/>
      <c r="E17" s="449"/>
      <c r="G17" s="277"/>
      <c r="H17" s="324">
        <f t="shared" si="0"/>
        <v>0</v>
      </c>
      <c r="I17" s="325"/>
      <c r="J17" s="325"/>
      <c r="K17" s="311"/>
      <c r="L17" s="277"/>
    </row>
    <row r="18" spans="2:12" s="292" customFormat="1" ht="14.25" customHeight="1" x14ac:dyDescent="0.2">
      <c r="B18" s="277"/>
      <c r="D18" s="610"/>
      <c r="E18" s="449"/>
      <c r="G18" s="277"/>
      <c r="H18" s="324">
        <f t="shared" si="0"/>
        <v>0</v>
      </c>
      <c r="I18" s="325"/>
      <c r="J18" s="325"/>
      <c r="K18" s="629"/>
      <c r="L18" s="277"/>
    </row>
    <row r="19" spans="2:12" s="292" customFormat="1" ht="14.25" customHeight="1" x14ac:dyDescent="0.2">
      <c r="B19" s="277"/>
      <c r="D19" s="610"/>
      <c r="E19" s="449"/>
      <c r="G19" s="277"/>
      <c r="H19" s="324">
        <f t="shared" si="0"/>
        <v>0</v>
      </c>
      <c r="I19" s="325"/>
      <c r="J19" s="325"/>
      <c r="K19" s="629"/>
      <c r="L19" s="277"/>
    </row>
    <row r="20" spans="2:12" s="292" customFormat="1" ht="14.25" customHeight="1" x14ac:dyDescent="0.2">
      <c r="B20" s="277"/>
      <c r="D20" s="610"/>
      <c r="E20" s="449"/>
      <c r="G20" s="277"/>
      <c r="H20" s="324">
        <f t="shared" si="0"/>
        <v>0</v>
      </c>
      <c r="I20" s="325"/>
      <c r="J20" s="325"/>
      <c r="K20" s="629"/>
      <c r="L20" s="277"/>
    </row>
    <row r="21" spans="2:12" s="292" customFormat="1" ht="14.25" customHeight="1" x14ac:dyDescent="0.2">
      <c r="B21" s="277"/>
      <c r="D21" s="610"/>
      <c r="E21" s="449"/>
      <c r="G21" s="277"/>
      <c r="H21" s="324">
        <f t="shared" si="0"/>
        <v>0</v>
      </c>
      <c r="I21" s="325"/>
      <c r="J21" s="325"/>
      <c r="K21" s="629"/>
      <c r="L21" s="277"/>
    </row>
    <row r="22" spans="2:12" s="292" customFormat="1" ht="14.25" customHeight="1" x14ac:dyDescent="0.2">
      <c r="B22" s="277"/>
      <c r="D22" s="610"/>
      <c r="E22" s="449"/>
      <c r="G22" s="277"/>
      <c r="H22" s="324">
        <f t="shared" si="0"/>
        <v>0</v>
      </c>
      <c r="I22" s="325"/>
      <c r="J22" s="325"/>
      <c r="K22" s="629"/>
      <c r="L22" s="277"/>
    </row>
    <row r="23" spans="2:12" s="292" customFormat="1" ht="14.25" customHeight="1" x14ac:dyDescent="0.2">
      <c r="B23" s="277"/>
      <c r="D23" s="610"/>
      <c r="E23" s="449"/>
      <c r="G23" s="277"/>
      <c r="H23" s="324">
        <f t="shared" si="0"/>
        <v>0</v>
      </c>
      <c r="I23" s="325"/>
      <c r="J23" s="325"/>
      <c r="K23" s="629"/>
      <c r="L23" s="27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0"/>
  <sheetViews>
    <sheetView workbookViewId="0">
      <selection activeCell="D14" sqref="D14"/>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764</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785" t="s">
        <v>305</v>
      </c>
      <c r="B6" s="786" t="s">
        <v>145</v>
      </c>
      <c r="C6" s="785"/>
      <c r="D6" s="787" t="s">
        <v>641</v>
      </c>
      <c r="E6" s="788">
        <v>309</v>
      </c>
      <c r="F6" s="789">
        <v>153.5</v>
      </c>
      <c r="G6" s="786"/>
      <c r="H6" s="790">
        <f t="shared" ref="H6:H30" si="0">IF(G6="Y",F6/1.2,F6)</f>
        <v>153.5</v>
      </c>
      <c r="I6" s="791">
        <v>42611</v>
      </c>
      <c r="J6" s="791">
        <v>42611</v>
      </c>
      <c r="K6" s="792">
        <v>551438</v>
      </c>
      <c r="L6" s="786"/>
      <c r="M6" s="785" t="s">
        <v>466</v>
      </c>
      <c r="N6" s="785" t="s">
        <v>466</v>
      </c>
      <c r="O6" s="785" t="s">
        <v>466</v>
      </c>
    </row>
    <row r="7" spans="1:21" s="292" customFormat="1" ht="14.25" customHeight="1" x14ac:dyDescent="0.2">
      <c r="A7" s="785" t="s">
        <v>305</v>
      </c>
      <c r="B7" s="786" t="s">
        <v>145</v>
      </c>
      <c r="C7" s="785"/>
      <c r="D7" s="787" t="s">
        <v>644</v>
      </c>
      <c r="E7" s="788">
        <v>543.84999999999991</v>
      </c>
      <c r="F7" s="789">
        <v>137</v>
      </c>
      <c r="G7" s="786"/>
      <c r="H7" s="790">
        <f t="shared" si="0"/>
        <v>137</v>
      </c>
      <c r="I7" s="791">
        <v>42611</v>
      </c>
      <c r="J7" s="791">
        <v>42611</v>
      </c>
      <c r="K7" s="792">
        <v>552518</v>
      </c>
      <c r="L7" s="786"/>
      <c r="M7" s="785" t="s">
        <v>466</v>
      </c>
      <c r="N7" s="785" t="s">
        <v>466</v>
      </c>
      <c r="O7" s="785" t="s">
        <v>466</v>
      </c>
    </row>
    <row r="8" spans="1:21" s="794" customFormat="1" ht="14.25" customHeight="1" x14ac:dyDescent="0.2">
      <c r="A8" s="794" t="s">
        <v>305</v>
      </c>
      <c r="B8" s="795" t="s">
        <v>143</v>
      </c>
      <c r="D8" s="796" t="s">
        <v>495</v>
      </c>
      <c r="E8" s="797">
        <v>814.05</v>
      </c>
      <c r="F8" s="798">
        <v>142</v>
      </c>
      <c r="G8" s="795"/>
      <c r="H8" s="799">
        <v>148</v>
      </c>
      <c r="I8" s="800">
        <v>42611.402245370373</v>
      </c>
      <c r="J8" s="800">
        <v>42612.10434027778</v>
      </c>
      <c r="K8" s="801">
        <v>552936</v>
      </c>
      <c r="L8" s="795"/>
      <c r="M8" s="794" t="s">
        <v>466</v>
      </c>
      <c r="N8" s="794" t="s">
        <v>466</v>
      </c>
      <c r="O8" s="794" t="s">
        <v>466</v>
      </c>
    </row>
    <row r="9" spans="1:21" s="292" customFormat="1" ht="14.25" customHeight="1" x14ac:dyDescent="0.2">
      <c r="A9" s="292" t="s">
        <v>305</v>
      </c>
      <c r="B9" s="277" t="s">
        <v>143</v>
      </c>
      <c r="D9" s="610" t="s">
        <v>639</v>
      </c>
      <c r="E9" s="449">
        <v>204.5</v>
      </c>
      <c r="F9" s="793">
        <v>143.5</v>
      </c>
      <c r="G9" s="277"/>
      <c r="H9" s="324">
        <f t="shared" si="0"/>
        <v>143.5</v>
      </c>
      <c r="I9" s="325">
        <v>42611.460555555554</v>
      </c>
      <c r="J9" s="325">
        <v>42611.540972222225</v>
      </c>
      <c r="K9" s="311">
        <v>552862</v>
      </c>
      <c r="L9" s="277"/>
      <c r="M9" s="292" t="s">
        <v>466</v>
      </c>
      <c r="N9" s="292" t="s">
        <v>466</v>
      </c>
      <c r="O9" s="292" t="s">
        <v>466</v>
      </c>
    </row>
    <row r="10" spans="1:21" s="292" customFormat="1" ht="14.25" customHeight="1" x14ac:dyDescent="0.2">
      <c r="A10" s="292" t="s">
        <v>305</v>
      </c>
      <c r="B10" s="277" t="s">
        <v>143</v>
      </c>
      <c r="D10" s="610" t="s">
        <v>464</v>
      </c>
      <c r="E10" s="449">
        <v>22.2</v>
      </c>
      <c r="F10" s="793">
        <v>148</v>
      </c>
      <c r="G10" s="277"/>
      <c r="H10" s="324">
        <f t="shared" si="0"/>
        <v>148</v>
      </c>
      <c r="I10" s="325">
        <v>42612.235034722224</v>
      </c>
      <c r="J10" s="325">
        <v>42612.235034722224</v>
      </c>
      <c r="K10" s="311">
        <v>553409</v>
      </c>
      <c r="L10" s="277"/>
      <c r="M10" s="292" t="s">
        <v>466</v>
      </c>
      <c r="N10" s="292" t="s">
        <v>466</v>
      </c>
      <c r="O10" s="292" t="s">
        <v>466</v>
      </c>
    </row>
    <row r="11" spans="1:21" s="292" customFormat="1" ht="14.25" customHeight="1" x14ac:dyDescent="0.2">
      <c r="A11" s="292" t="s">
        <v>305</v>
      </c>
      <c r="B11" s="277" t="s">
        <v>145</v>
      </c>
      <c r="D11" s="610" t="s">
        <v>619</v>
      </c>
      <c r="E11" s="449">
        <v>752</v>
      </c>
      <c r="F11" s="793">
        <v>146</v>
      </c>
      <c r="G11" s="277"/>
      <c r="H11" s="324">
        <f t="shared" si="0"/>
        <v>146</v>
      </c>
      <c r="I11" s="325">
        <v>42611.397418981483</v>
      </c>
      <c r="J11" s="325">
        <v>42612.106921296298</v>
      </c>
      <c r="K11" s="311">
        <v>551127</v>
      </c>
      <c r="L11" s="277"/>
      <c r="M11" s="292" t="s">
        <v>466</v>
      </c>
      <c r="N11" s="292" t="s">
        <v>466</v>
      </c>
      <c r="O11" s="292" t="s">
        <v>466</v>
      </c>
    </row>
    <row r="12" spans="1:21" s="292" customFormat="1" ht="14.25" customHeight="1" x14ac:dyDescent="0.2">
      <c r="A12" s="292" t="s">
        <v>305</v>
      </c>
      <c r="B12" s="277" t="s">
        <v>145</v>
      </c>
      <c r="D12" s="610" t="s">
        <v>767</v>
      </c>
      <c r="E12" s="449">
        <v>367.75</v>
      </c>
      <c r="F12" s="793">
        <v>153.5</v>
      </c>
      <c r="G12" s="277"/>
      <c r="H12" s="324">
        <f t="shared" si="0"/>
        <v>153.5</v>
      </c>
      <c r="I12" s="325">
        <v>42611.53597222222</v>
      </c>
      <c r="J12" s="325">
        <v>42611.539618055554</v>
      </c>
      <c r="K12" s="311">
        <v>551438</v>
      </c>
      <c r="L12" s="277"/>
      <c r="M12" s="292" t="s">
        <v>466</v>
      </c>
      <c r="N12" s="292" t="s">
        <v>466</v>
      </c>
      <c r="O12" s="292" t="s">
        <v>466</v>
      </c>
    </row>
    <row r="13" spans="1:21" s="292" customFormat="1" ht="14.25" customHeight="1" x14ac:dyDescent="0.2">
      <c r="A13" s="292" t="s">
        <v>305</v>
      </c>
      <c r="B13" s="277" t="s">
        <v>145</v>
      </c>
      <c r="D13" s="610" t="s">
        <v>462</v>
      </c>
      <c r="E13" s="449">
        <v>45.4</v>
      </c>
      <c r="F13" s="793">
        <v>145</v>
      </c>
      <c r="G13" s="277"/>
      <c r="H13" s="324">
        <f t="shared" si="0"/>
        <v>145</v>
      </c>
      <c r="I13" s="325">
        <v>42612.125543981485</v>
      </c>
      <c r="J13" s="325">
        <v>42612.306863425925</v>
      </c>
      <c r="K13" s="311">
        <v>553729</v>
      </c>
      <c r="L13" s="277"/>
      <c r="M13" s="292" t="s">
        <v>466</v>
      </c>
      <c r="N13" s="292" t="s">
        <v>466</v>
      </c>
      <c r="O13" s="292" t="s">
        <v>466</v>
      </c>
    </row>
    <row r="14" spans="1:21" s="292" customFormat="1" ht="14.25" customHeight="1" x14ac:dyDescent="0.2">
      <c r="A14" s="292" t="s">
        <v>305</v>
      </c>
      <c r="B14" s="277" t="s">
        <v>459</v>
      </c>
      <c r="D14" s="610" t="s">
        <v>495</v>
      </c>
      <c r="E14" s="449">
        <v>52.72</v>
      </c>
      <c r="F14" s="793">
        <v>410</v>
      </c>
      <c r="G14" s="277"/>
      <c r="H14" s="324">
        <f t="shared" si="0"/>
        <v>410</v>
      </c>
      <c r="I14" s="325">
        <v>42612.121238425927</v>
      </c>
      <c r="J14" s="325">
        <v>42612.13108796296</v>
      </c>
      <c r="K14" s="311">
        <v>553796</v>
      </c>
      <c r="L14" s="277"/>
      <c r="M14" s="292" t="s">
        <v>466</v>
      </c>
      <c r="N14" s="292" t="s">
        <v>466</v>
      </c>
      <c r="O14" s="292" t="s">
        <v>466</v>
      </c>
    </row>
    <row r="15" spans="1:21" s="292" customFormat="1" ht="14.25" customHeight="1" x14ac:dyDescent="0.2">
      <c r="B15" s="277"/>
      <c r="D15" s="610"/>
      <c r="E15" s="449"/>
      <c r="G15" s="277"/>
      <c r="H15" s="324">
        <f t="shared" si="0"/>
        <v>0</v>
      </c>
      <c r="I15" s="325"/>
      <c r="J15" s="325"/>
      <c r="K15" s="311"/>
      <c r="L15" s="277"/>
    </row>
    <row r="16" spans="1:21" s="292" customFormat="1" ht="14.25" customHeight="1" x14ac:dyDescent="0.2">
      <c r="B16" s="277"/>
      <c r="D16" s="610"/>
      <c r="E16" s="449"/>
      <c r="G16" s="277"/>
      <c r="H16" s="324">
        <f t="shared" si="0"/>
        <v>0</v>
      </c>
      <c r="I16" s="325"/>
      <c r="J16" s="325"/>
      <c r="K16" s="311"/>
      <c r="L16" s="277"/>
    </row>
    <row r="17" spans="2:12" s="292" customFormat="1" ht="14.25" customHeight="1" x14ac:dyDescent="0.2">
      <c r="B17" s="277"/>
      <c r="D17" s="610"/>
      <c r="E17" s="449"/>
      <c r="G17" s="277"/>
      <c r="H17" s="324">
        <f t="shared" si="0"/>
        <v>0</v>
      </c>
      <c r="I17" s="325"/>
      <c r="J17" s="325"/>
      <c r="K17" s="311"/>
      <c r="L17" s="277"/>
    </row>
    <row r="18" spans="2:12" s="292" customFormat="1" ht="14.25" customHeight="1" x14ac:dyDescent="0.2">
      <c r="B18" s="277"/>
      <c r="D18" s="610"/>
      <c r="E18" s="449"/>
      <c r="G18" s="277"/>
      <c r="H18" s="324">
        <f t="shared" si="0"/>
        <v>0</v>
      </c>
      <c r="I18" s="325"/>
      <c r="J18" s="325"/>
      <c r="K18" s="311"/>
      <c r="L18" s="277"/>
    </row>
    <row r="19" spans="2:12" s="292" customFormat="1" ht="14.25" customHeight="1" x14ac:dyDescent="0.2">
      <c r="B19" s="277"/>
      <c r="D19" s="610"/>
      <c r="E19" s="449"/>
      <c r="G19" s="277"/>
      <c r="H19" s="324">
        <f t="shared" si="0"/>
        <v>0</v>
      </c>
      <c r="I19" s="325"/>
      <c r="J19" s="325"/>
      <c r="K19" s="311"/>
      <c r="L19" s="277"/>
    </row>
    <row r="20" spans="2:12" s="292" customFormat="1" ht="14.25" customHeight="1" x14ac:dyDescent="0.2">
      <c r="B20" s="277"/>
      <c r="D20" s="610"/>
      <c r="E20" s="449"/>
      <c r="G20" s="277"/>
      <c r="H20" s="324">
        <f t="shared" si="0"/>
        <v>0</v>
      </c>
      <c r="I20" s="325"/>
      <c r="J20" s="325"/>
      <c r="K20" s="311"/>
      <c r="L20" s="277"/>
    </row>
    <row r="21" spans="2:12" s="292" customFormat="1" ht="14.25" customHeight="1" x14ac:dyDescent="0.2">
      <c r="B21" s="277"/>
      <c r="D21" s="610"/>
      <c r="E21" s="449"/>
      <c r="G21" s="277"/>
      <c r="H21" s="324">
        <f t="shared" si="0"/>
        <v>0</v>
      </c>
      <c r="I21" s="325"/>
      <c r="J21" s="325"/>
      <c r="K21" s="311"/>
      <c r="L21" s="277"/>
    </row>
    <row r="22" spans="2:12" s="292" customFormat="1" ht="14.25" customHeight="1" x14ac:dyDescent="0.2">
      <c r="B22" s="277"/>
      <c r="D22" s="610"/>
      <c r="E22" s="449"/>
      <c r="G22" s="277"/>
      <c r="H22" s="324">
        <f t="shared" si="0"/>
        <v>0</v>
      </c>
      <c r="I22" s="325"/>
      <c r="J22" s="325"/>
      <c r="K22" s="311"/>
      <c r="L22" s="277"/>
    </row>
    <row r="23" spans="2:12" s="292" customFormat="1" ht="14.25" customHeight="1" x14ac:dyDescent="0.2">
      <c r="B23" s="277"/>
      <c r="D23" s="610"/>
      <c r="E23" s="449"/>
      <c r="G23" s="277"/>
      <c r="H23" s="324">
        <f t="shared" si="0"/>
        <v>0</v>
      </c>
      <c r="I23" s="325"/>
      <c r="J23" s="325"/>
      <c r="K23" s="311"/>
      <c r="L23" s="277"/>
    </row>
    <row r="24" spans="2:12" s="292" customFormat="1" ht="14.25" customHeight="1" x14ac:dyDescent="0.2">
      <c r="B24" s="277"/>
      <c r="D24" s="610"/>
      <c r="E24" s="449"/>
      <c r="G24" s="277"/>
      <c r="H24" s="324">
        <f t="shared" si="0"/>
        <v>0</v>
      </c>
      <c r="I24" s="325"/>
      <c r="J24" s="325"/>
      <c r="K24" s="311"/>
      <c r="L24" s="277"/>
    </row>
    <row r="25" spans="2:12" s="292" customFormat="1" ht="14.25" customHeight="1" x14ac:dyDescent="0.2">
      <c r="B25" s="277"/>
      <c r="D25" s="610"/>
      <c r="E25" s="449"/>
      <c r="G25" s="277"/>
      <c r="H25" s="324">
        <f t="shared" si="0"/>
        <v>0</v>
      </c>
      <c r="I25" s="325"/>
      <c r="J25" s="325"/>
      <c r="K25" s="629"/>
      <c r="L25" s="277"/>
    </row>
    <row r="26" spans="2:12" s="292" customFormat="1" ht="14.25" customHeight="1" x14ac:dyDescent="0.2">
      <c r="B26" s="277"/>
      <c r="D26" s="610"/>
      <c r="E26" s="449"/>
      <c r="G26" s="277"/>
      <c r="H26" s="324">
        <f t="shared" si="0"/>
        <v>0</v>
      </c>
      <c r="I26" s="325"/>
      <c r="J26" s="325"/>
      <c r="K26" s="629"/>
      <c r="L26" s="277"/>
    </row>
    <row r="27" spans="2:12" s="292" customFormat="1" ht="14.25" customHeight="1" x14ac:dyDescent="0.2">
      <c r="B27" s="277"/>
      <c r="D27" s="610"/>
      <c r="E27" s="449"/>
      <c r="G27" s="277"/>
      <c r="H27" s="324">
        <f t="shared" si="0"/>
        <v>0</v>
      </c>
      <c r="I27" s="325"/>
      <c r="J27" s="325"/>
      <c r="K27" s="629"/>
      <c r="L27" s="277"/>
    </row>
    <row r="28" spans="2:12" s="292" customFormat="1" ht="14.25" customHeight="1" x14ac:dyDescent="0.2">
      <c r="B28" s="277"/>
      <c r="D28" s="610"/>
      <c r="E28" s="449"/>
      <c r="G28" s="277"/>
      <c r="H28" s="324">
        <f t="shared" si="0"/>
        <v>0</v>
      </c>
      <c r="I28" s="325"/>
      <c r="J28" s="325"/>
      <c r="K28" s="629"/>
      <c r="L28" s="277"/>
    </row>
    <row r="29" spans="2:12" s="292" customFormat="1" ht="14.25" customHeight="1" x14ac:dyDescent="0.2">
      <c r="B29" s="277"/>
      <c r="D29" s="610"/>
      <c r="E29" s="449"/>
      <c r="G29" s="277"/>
      <c r="H29" s="324">
        <f t="shared" si="0"/>
        <v>0</v>
      </c>
      <c r="I29" s="325"/>
      <c r="J29" s="325"/>
      <c r="K29" s="629"/>
      <c r="L29" s="277"/>
    </row>
    <row r="30" spans="2:12" s="292" customFormat="1" ht="14.25" customHeight="1" x14ac:dyDescent="0.2">
      <c r="B30" s="277"/>
      <c r="D30" s="610"/>
      <c r="E30" s="449"/>
      <c r="G30" s="277"/>
      <c r="H30" s="324">
        <f t="shared" si="0"/>
        <v>0</v>
      </c>
      <c r="I30" s="325"/>
      <c r="J30" s="325"/>
      <c r="K30" s="629"/>
      <c r="L30" s="27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31"/>
  <sheetViews>
    <sheetView workbookViewId="0">
      <selection activeCell="B10" sqref="B10:I10"/>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744</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768" t="s">
        <v>305</v>
      </c>
      <c r="B6" s="769" t="s">
        <v>145</v>
      </c>
      <c r="C6" s="768" t="s">
        <v>144</v>
      </c>
      <c r="D6" s="770" t="s">
        <v>644</v>
      </c>
      <c r="E6" s="771">
        <v>558.95000000000005</v>
      </c>
      <c r="F6" s="772">
        <v>137</v>
      </c>
      <c r="G6" s="769"/>
      <c r="H6" s="773">
        <f t="shared" ref="H6:H31" si="0">IF(G6="Y",F6/1.2,F6)</f>
        <v>137</v>
      </c>
      <c r="I6" s="774">
        <v>42609</v>
      </c>
      <c r="J6" s="774">
        <v>42609</v>
      </c>
      <c r="K6" s="775">
        <v>552518</v>
      </c>
      <c r="L6" s="769"/>
      <c r="M6" s="768" t="s">
        <v>466</v>
      </c>
      <c r="N6" s="768" t="s">
        <v>466</v>
      </c>
      <c r="O6" s="768" t="s">
        <v>466</v>
      </c>
    </row>
    <row r="7" spans="1:21" s="704" customFormat="1" ht="14.25" customHeight="1" x14ac:dyDescent="0.2">
      <c r="A7" s="704" t="s">
        <v>305</v>
      </c>
      <c r="B7" s="705" t="s">
        <v>145</v>
      </c>
      <c r="C7" s="704" t="s">
        <v>144</v>
      </c>
      <c r="D7" s="706" t="s">
        <v>421</v>
      </c>
      <c r="E7" s="707">
        <v>607.59999999999991</v>
      </c>
      <c r="F7" s="783">
        <v>1</v>
      </c>
      <c r="G7" s="705"/>
      <c r="H7" s="709">
        <f t="shared" si="0"/>
        <v>1</v>
      </c>
      <c r="I7" s="710">
        <v>42609</v>
      </c>
      <c r="J7" s="710">
        <v>42609</v>
      </c>
      <c r="K7" s="784">
        <v>547342</v>
      </c>
      <c r="L7" s="705"/>
      <c r="M7" s="704" t="s">
        <v>466</v>
      </c>
      <c r="N7" s="704" t="s">
        <v>466</v>
      </c>
    </row>
    <row r="8" spans="1:21" s="292" customFormat="1" ht="14.25" customHeight="1" x14ac:dyDescent="0.2">
      <c r="A8" s="292" t="s">
        <v>305</v>
      </c>
      <c r="B8" s="277" t="s">
        <v>143</v>
      </c>
      <c r="C8" s="292" t="s">
        <v>144</v>
      </c>
      <c r="D8" s="610" t="s">
        <v>639</v>
      </c>
      <c r="E8" s="449">
        <v>414.75</v>
      </c>
      <c r="F8" s="292">
        <v>143</v>
      </c>
      <c r="G8" s="277"/>
      <c r="H8" s="324">
        <f t="shared" si="0"/>
        <v>143</v>
      </c>
      <c r="I8" s="325">
        <v>42608.440671296295</v>
      </c>
      <c r="J8" s="325">
        <v>42608.445798611108</v>
      </c>
      <c r="K8" s="311">
        <v>552862</v>
      </c>
      <c r="L8" s="277"/>
      <c r="M8" s="292" t="s">
        <v>466</v>
      </c>
      <c r="N8" s="292" t="s">
        <v>466</v>
      </c>
      <c r="O8" s="292" t="s">
        <v>466</v>
      </c>
    </row>
    <row r="9" spans="1:21" s="292" customFormat="1" ht="14.25" customHeight="1" x14ac:dyDescent="0.2">
      <c r="A9" s="292" t="s">
        <v>305</v>
      </c>
      <c r="B9" s="277" t="s">
        <v>143</v>
      </c>
      <c r="C9" s="292" t="s">
        <v>144</v>
      </c>
      <c r="D9" s="610" t="s">
        <v>541</v>
      </c>
      <c r="E9" s="449">
        <v>1594.4500000000003</v>
      </c>
      <c r="F9" s="292">
        <v>149</v>
      </c>
      <c r="G9" s="277"/>
      <c r="H9" s="324">
        <f t="shared" si="0"/>
        <v>149</v>
      </c>
      <c r="I9" s="325">
        <v>42608.441284722219</v>
      </c>
      <c r="J9" s="325">
        <v>42610.078842592593</v>
      </c>
      <c r="K9" s="311">
        <v>553578</v>
      </c>
      <c r="L9" s="277"/>
      <c r="M9" s="292" t="s">
        <v>466</v>
      </c>
      <c r="N9" s="292" t="s">
        <v>466</v>
      </c>
      <c r="O9" s="292" t="s">
        <v>466</v>
      </c>
    </row>
    <row r="10" spans="1:21" s="292" customFormat="1" ht="14.25" customHeight="1" x14ac:dyDescent="0.2">
      <c r="A10" s="292" t="s">
        <v>305</v>
      </c>
      <c r="B10" s="277" t="s">
        <v>143</v>
      </c>
      <c r="C10" s="292" t="s">
        <v>144</v>
      </c>
      <c r="D10" s="610" t="s">
        <v>495</v>
      </c>
      <c r="E10" s="449">
        <v>478.99999999999994</v>
      </c>
      <c r="F10" s="292">
        <v>142</v>
      </c>
      <c r="G10" s="277"/>
      <c r="H10" s="324">
        <f t="shared" si="0"/>
        <v>142</v>
      </c>
      <c r="I10" s="325">
        <v>42609.135115740741</v>
      </c>
      <c r="J10" s="325">
        <v>42611.156493055554</v>
      </c>
      <c r="K10" s="311">
        <v>552936</v>
      </c>
      <c r="L10" s="277"/>
      <c r="M10" s="292" t="s">
        <v>466</v>
      </c>
      <c r="N10" s="292" t="s">
        <v>466</v>
      </c>
      <c r="O10" s="292" t="s">
        <v>466</v>
      </c>
    </row>
    <row r="11" spans="1:21" s="292" customFormat="1" ht="14.25" customHeight="1" x14ac:dyDescent="0.2">
      <c r="A11" s="292" t="s">
        <v>305</v>
      </c>
      <c r="B11" s="277" t="s">
        <v>143</v>
      </c>
      <c r="C11" s="292" t="s">
        <v>144</v>
      </c>
      <c r="D11" s="610" t="s">
        <v>624</v>
      </c>
      <c r="E11" s="449">
        <v>202.18</v>
      </c>
      <c r="F11" s="292">
        <v>148</v>
      </c>
      <c r="G11" s="277"/>
      <c r="H11" s="324">
        <f t="shared" si="0"/>
        <v>148</v>
      </c>
      <c r="I11" s="325">
        <v>42609.209548611114</v>
      </c>
      <c r="J11" s="325">
        <v>42610.635011574072</v>
      </c>
      <c r="K11" s="311">
        <v>553408</v>
      </c>
      <c r="L11" s="277"/>
      <c r="M11" s="292" t="s">
        <v>466</v>
      </c>
      <c r="N11" s="292" t="s">
        <v>466</v>
      </c>
      <c r="O11" s="292" t="s">
        <v>466</v>
      </c>
    </row>
    <row r="12" spans="1:21" s="292" customFormat="1" ht="14.25" customHeight="1" x14ac:dyDescent="0.2">
      <c r="A12" s="292" t="s">
        <v>305</v>
      </c>
      <c r="B12" s="277" t="s">
        <v>143</v>
      </c>
      <c r="C12" s="292" t="s">
        <v>144</v>
      </c>
      <c r="D12" s="610" t="s">
        <v>408</v>
      </c>
      <c r="E12" s="449">
        <v>242.62</v>
      </c>
      <c r="F12" s="292">
        <v>149</v>
      </c>
      <c r="G12" s="277"/>
      <c r="H12" s="324">
        <f t="shared" si="0"/>
        <v>149</v>
      </c>
      <c r="I12" s="325">
        <v>42609.254340277781</v>
      </c>
      <c r="J12" s="325">
        <v>42610.612222222226</v>
      </c>
      <c r="K12" s="311">
        <v>553759</v>
      </c>
      <c r="L12" s="277"/>
      <c r="M12" s="292" t="s">
        <v>466</v>
      </c>
      <c r="N12" s="292" t="s">
        <v>466</v>
      </c>
      <c r="O12" s="292" t="s">
        <v>466</v>
      </c>
    </row>
    <row r="13" spans="1:21" s="292" customFormat="1" ht="14.25" customHeight="1" x14ac:dyDescent="0.2">
      <c r="A13" s="292" t="s">
        <v>305</v>
      </c>
      <c r="B13" s="277" t="s">
        <v>143</v>
      </c>
      <c r="C13" s="292" t="s">
        <v>144</v>
      </c>
      <c r="D13" s="610" t="s">
        <v>712</v>
      </c>
      <c r="E13" s="449">
        <v>952.9</v>
      </c>
      <c r="F13" s="292">
        <v>149</v>
      </c>
      <c r="G13" s="277"/>
      <c r="H13" s="324">
        <f t="shared" si="0"/>
        <v>149</v>
      </c>
      <c r="I13" s="325">
        <v>42609.582442129627</v>
      </c>
      <c r="J13" s="325">
        <v>42610.082395833335</v>
      </c>
      <c r="K13" s="311">
        <v>553450</v>
      </c>
      <c r="L13" s="277"/>
      <c r="M13" s="292" t="s">
        <v>466</v>
      </c>
      <c r="N13" s="292" t="s">
        <v>466</v>
      </c>
      <c r="O13" s="292" t="s">
        <v>466</v>
      </c>
    </row>
    <row r="14" spans="1:21" s="292" customFormat="1" ht="14.25" customHeight="1" x14ac:dyDescent="0.2">
      <c r="A14" s="292" t="s">
        <v>305</v>
      </c>
      <c r="B14" s="277" t="s">
        <v>143</v>
      </c>
      <c r="C14" s="292" t="s">
        <v>144</v>
      </c>
      <c r="D14" s="610" t="s">
        <v>762</v>
      </c>
      <c r="E14" s="449">
        <v>275.29999999999995</v>
      </c>
      <c r="F14" s="292">
        <v>149</v>
      </c>
      <c r="G14" s="277"/>
      <c r="H14" s="324">
        <f t="shared" si="0"/>
        <v>149</v>
      </c>
      <c r="I14" s="325">
        <v>42609.886250000003</v>
      </c>
      <c r="J14" s="325">
        <v>42609.888298611113</v>
      </c>
      <c r="K14" s="311">
        <v>553667</v>
      </c>
      <c r="L14" s="277"/>
      <c r="M14" s="292" t="s">
        <v>466</v>
      </c>
      <c r="N14" s="292" t="s">
        <v>466</v>
      </c>
      <c r="O14" s="292" t="s">
        <v>466</v>
      </c>
    </row>
    <row r="15" spans="1:21" s="292" customFormat="1" ht="14.25" customHeight="1" x14ac:dyDescent="0.2">
      <c r="A15" s="292" t="s">
        <v>305</v>
      </c>
      <c r="B15" s="277" t="s">
        <v>145</v>
      </c>
      <c r="C15" s="292" t="s">
        <v>144</v>
      </c>
      <c r="D15" s="610" t="s">
        <v>641</v>
      </c>
      <c r="E15" s="449">
        <v>2611.1999999999994</v>
      </c>
      <c r="F15" s="292">
        <v>153.5</v>
      </c>
      <c r="G15" s="277"/>
      <c r="H15" s="324">
        <f t="shared" si="0"/>
        <v>153.5</v>
      </c>
      <c r="I15" s="325">
        <v>42608.432557870372</v>
      </c>
      <c r="J15" s="325">
        <v>42610.504976851851</v>
      </c>
      <c r="K15" s="311">
        <v>551439</v>
      </c>
      <c r="L15" s="277"/>
      <c r="M15" s="292" t="s">
        <v>466</v>
      </c>
      <c r="N15" s="292" t="s">
        <v>466</v>
      </c>
      <c r="O15" s="292" t="s">
        <v>466</v>
      </c>
    </row>
    <row r="16" spans="1:21" s="292" customFormat="1" ht="14.25" customHeight="1" x14ac:dyDescent="0.2">
      <c r="A16" s="292" t="s">
        <v>305</v>
      </c>
      <c r="B16" s="277" t="s">
        <v>145</v>
      </c>
      <c r="C16" s="292" t="s">
        <v>144</v>
      </c>
      <c r="D16" s="610" t="s">
        <v>464</v>
      </c>
      <c r="E16" s="449">
        <v>150.46</v>
      </c>
      <c r="F16" s="292">
        <v>145</v>
      </c>
      <c r="G16" s="277"/>
      <c r="H16" s="324">
        <f t="shared" si="0"/>
        <v>145</v>
      </c>
      <c r="I16" s="325">
        <v>42609.677060185182</v>
      </c>
      <c r="J16" s="325">
        <v>42611.162430555552</v>
      </c>
      <c r="K16" s="311">
        <v>553731</v>
      </c>
      <c r="L16" s="277"/>
      <c r="M16" s="292" t="s">
        <v>466</v>
      </c>
      <c r="N16" s="292" t="s">
        <v>466</v>
      </c>
      <c r="O16" s="292" t="s">
        <v>466</v>
      </c>
    </row>
    <row r="17" spans="1:15" s="292" customFormat="1" ht="14.25" customHeight="1" x14ac:dyDescent="0.2">
      <c r="A17" s="292" t="s">
        <v>305</v>
      </c>
      <c r="B17" s="277" t="s">
        <v>145</v>
      </c>
      <c r="C17" s="292" t="s">
        <v>144</v>
      </c>
      <c r="D17" s="610" t="s">
        <v>408</v>
      </c>
      <c r="E17" s="449">
        <v>25.48</v>
      </c>
      <c r="F17" s="292">
        <v>142</v>
      </c>
      <c r="G17" s="277"/>
      <c r="H17" s="324">
        <f t="shared" si="0"/>
        <v>142</v>
      </c>
      <c r="I17" s="325">
        <v>42610.488935185182</v>
      </c>
      <c r="J17" s="325">
        <v>42610.488935185182</v>
      </c>
      <c r="K17" s="311">
        <v>553894</v>
      </c>
      <c r="L17" s="277"/>
      <c r="M17" s="292" t="s">
        <v>466</v>
      </c>
      <c r="N17" s="292" t="s">
        <v>466</v>
      </c>
      <c r="O17" s="292" t="s">
        <v>466</v>
      </c>
    </row>
    <row r="18" spans="1:15" s="292" customFormat="1" ht="14.25" customHeight="1" x14ac:dyDescent="0.2">
      <c r="A18" s="292" t="s">
        <v>305</v>
      </c>
      <c r="B18" s="277" t="s">
        <v>145</v>
      </c>
      <c r="C18" s="292" t="s">
        <v>144</v>
      </c>
      <c r="D18" s="610" t="s">
        <v>495</v>
      </c>
      <c r="E18" s="449">
        <v>16.04</v>
      </c>
      <c r="F18" s="292">
        <v>134</v>
      </c>
      <c r="G18" s="277"/>
      <c r="H18" s="324">
        <f t="shared" si="0"/>
        <v>134</v>
      </c>
      <c r="I18" s="325">
        <v>42610.756412037037</v>
      </c>
      <c r="J18" s="325">
        <v>42610.756412037037</v>
      </c>
      <c r="K18" s="311">
        <v>552782</v>
      </c>
      <c r="L18" s="277"/>
      <c r="M18" s="292" t="s">
        <v>466</v>
      </c>
      <c r="N18" s="292" t="s">
        <v>466</v>
      </c>
      <c r="O18" s="292" t="s">
        <v>466</v>
      </c>
    </row>
    <row r="19" spans="1:15" s="292" customFormat="1" ht="14.25" customHeight="1" x14ac:dyDescent="0.2">
      <c r="A19" s="292" t="s">
        <v>305</v>
      </c>
      <c r="B19" s="277" t="s">
        <v>145</v>
      </c>
      <c r="C19" s="292" t="s">
        <v>144</v>
      </c>
      <c r="D19" s="610" t="s">
        <v>462</v>
      </c>
      <c r="E19" s="449">
        <v>44.400000000000006</v>
      </c>
      <c r="F19" s="292">
        <v>145</v>
      </c>
      <c r="G19" s="277"/>
      <c r="H19" s="324">
        <f t="shared" si="0"/>
        <v>145</v>
      </c>
      <c r="I19" s="325">
        <v>42611.145821759259</v>
      </c>
      <c r="J19" s="325">
        <v>42611.153680555559</v>
      </c>
      <c r="K19" s="311">
        <v>553729</v>
      </c>
      <c r="L19" s="277"/>
      <c r="M19" s="292" t="s">
        <v>466</v>
      </c>
      <c r="N19" s="292" t="s">
        <v>466</v>
      </c>
      <c r="O19" s="292" t="s">
        <v>466</v>
      </c>
    </row>
    <row r="20" spans="1:15" s="292" customFormat="1" ht="14.25" customHeight="1" x14ac:dyDescent="0.2">
      <c r="A20" s="292" t="s">
        <v>305</v>
      </c>
      <c r="B20" s="277" t="s">
        <v>67</v>
      </c>
      <c r="C20" s="292" t="s">
        <v>144</v>
      </c>
      <c r="D20" s="610" t="s">
        <v>408</v>
      </c>
      <c r="E20" s="449">
        <v>23.2</v>
      </c>
      <c r="F20" s="292">
        <v>138</v>
      </c>
      <c r="G20" s="277"/>
      <c r="H20" s="324">
        <f t="shared" si="0"/>
        <v>138</v>
      </c>
      <c r="I20" s="325">
        <v>42609.203125</v>
      </c>
      <c r="J20" s="325">
        <v>42609.203125</v>
      </c>
      <c r="K20" s="311">
        <v>553757</v>
      </c>
      <c r="L20" s="277"/>
      <c r="M20" s="292" t="s">
        <v>466</v>
      </c>
      <c r="N20" s="292" t="s">
        <v>466</v>
      </c>
      <c r="O20" s="292" t="s">
        <v>466</v>
      </c>
    </row>
    <row r="21" spans="1:15" s="292" customFormat="1" ht="14.25" customHeight="1" x14ac:dyDescent="0.2">
      <c r="A21" s="292" t="s">
        <v>305</v>
      </c>
      <c r="B21" s="277" t="s">
        <v>67</v>
      </c>
      <c r="C21" s="292" t="s">
        <v>144</v>
      </c>
      <c r="D21" s="610" t="s">
        <v>541</v>
      </c>
      <c r="E21" s="449">
        <v>237.15</v>
      </c>
      <c r="F21" s="292">
        <v>131</v>
      </c>
      <c r="G21" s="277"/>
      <c r="H21" s="324">
        <f t="shared" si="0"/>
        <v>131</v>
      </c>
      <c r="I21" s="325">
        <v>42609.876539351855</v>
      </c>
      <c r="J21" s="325">
        <v>42610.068877314814</v>
      </c>
      <c r="K21" s="311">
        <v>553098</v>
      </c>
      <c r="L21" s="277"/>
      <c r="M21" s="292" t="s">
        <v>466</v>
      </c>
      <c r="N21" s="292" t="s">
        <v>466</v>
      </c>
      <c r="O21" s="292" t="s">
        <v>466</v>
      </c>
    </row>
    <row r="22" spans="1:15" s="292" customFormat="1" ht="14.25" customHeight="1" x14ac:dyDescent="0.2">
      <c r="A22" s="292" t="s">
        <v>305</v>
      </c>
      <c r="B22" s="277" t="s">
        <v>760</v>
      </c>
      <c r="C22" s="292" t="s">
        <v>144</v>
      </c>
      <c r="D22" s="610" t="s">
        <v>495</v>
      </c>
      <c r="E22" s="449">
        <v>99.24</v>
      </c>
      <c r="F22" s="292">
        <v>410</v>
      </c>
      <c r="G22" s="277"/>
      <c r="H22" s="324">
        <f t="shared" si="0"/>
        <v>410</v>
      </c>
      <c r="I22" s="325">
        <v>42608.45894675926</v>
      </c>
      <c r="J22" s="325">
        <v>42610.178136574075</v>
      </c>
      <c r="K22" s="311">
        <v>553796</v>
      </c>
      <c r="L22" s="277"/>
      <c r="M22" s="292" t="s">
        <v>466</v>
      </c>
      <c r="N22" s="292" t="s">
        <v>466</v>
      </c>
      <c r="O22" s="292" t="s">
        <v>466</v>
      </c>
    </row>
    <row r="23" spans="1:15" s="292" customFormat="1" ht="14.25" customHeight="1" x14ac:dyDescent="0.2">
      <c r="A23" s="292" t="s">
        <v>305</v>
      </c>
      <c r="B23" s="277" t="s">
        <v>760</v>
      </c>
      <c r="C23" s="292" t="s">
        <v>144</v>
      </c>
      <c r="D23" s="610" t="s">
        <v>704</v>
      </c>
      <c r="E23" s="449">
        <v>2858.2999999999997</v>
      </c>
      <c r="F23" s="292">
        <v>419</v>
      </c>
      <c r="G23" s="277"/>
      <c r="H23" s="324">
        <f t="shared" si="0"/>
        <v>419</v>
      </c>
      <c r="I23" s="325">
        <v>42608.914907407408</v>
      </c>
      <c r="J23" s="325">
        <v>42611.239849537036</v>
      </c>
      <c r="K23" s="311">
        <v>553610</v>
      </c>
      <c r="L23" s="277"/>
      <c r="M23" s="292" t="s">
        <v>466</v>
      </c>
      <c r="N23" s="292" t="s">
        <v>466</v>
      </c>
      <c r="O23" s="292" t="s">
        <v>466</v>
      </c>
    </row>
    <row r="24" spans="1:15" s="292" customFormat="1" ht="14.25" customHeight="1" x14ac:dyDescent="0.2">
      <c r="A24" s="292" t="s">
        <v>305</v>
      </c>
      <c r="B24" s="277" t="s">
        <v>760</v>
      </c>
      <c r="C24" s="292" t="s">
        <v>144</v>
      </c>
      <c r="D24" s="610" t="s">
        <v>761</v>
      </c>
      <c r="E24" s="449">
        <v>117.44999999999999</v>
      </c>
      <c r="F24" s="292">
        <v>397</v>
      </c>
      <c r="G24" s="277"/>
      <c r="H24" s="324">
        <f t="shared" si="0"/>
        <v>397</v>
      </c>
      <c r="I24" s="325">
        <v>42608.919953703706</v>
      </c>
      <c r="J24" s="325">
        <v>42608.920636574076</v>
      </c>
      <c r="K24" s="311">
        <v>552975</v>
      </c>
      <c r="L24" s="277"/>
      <c r="M24" s="292" t="s">
        <v>466</v>
      </c>
      <c r="N24" s="292" t="s">
        <v>466</v>
      </c>
      <c r="O24" s="292" t="s">
        <v>466</v>
      </c>
    </row>
    <row r="25" spans="1:15" s="292" customFormat="1" ht="14.25" customHeight="1" x14ac:dyDescent="0.2">
      <c r="A25" s="292" t="s">
        <v>305</v>
      </c>
      <c r="B25" s="277" t="s">
        <v>143</v>
      </c>
      <c r="D25" s="610" t="s">
        <v>730</v>
      </c>
      <c r="E25" s="449">
        <v>829.05000000000007</v>
      </c>
      <c r="F25" s="292">
        <v>147</v>
      </c>
      <c r="G25" s="277"/>
      <c r="H25" s="324">
        <f t="shared" si="0"/>
        <v>147</v>
      </c>
      <c r="I25" s="325">
        <v>42610.07949074074</v>
      </c>
      <c r="J25" s="325">
        <v>42610.665393518517</v>
      </c>
      <c r="K25" s="311">
        <v>552825</v>
      </c>
      <c r="L25" s="277"/>
      <c r="M25" s="292" t="s">
        <v>466</v>
      </c>
      <c r="N25" s="292" t="s">
        <v>466</v>
      </c>
      <c r="O25" s="292" t="s">
        <v>466</v>
      </c>
    </row>
    <row r="26" spans="1:15" s="292" customFormat="1" ht="14.25" customHeight="1" x14ac:dyDescent="0.2">
      <c r="B26" s="277"/>
      <c r="D26" s="610"/>
      <c r="E26" s="449"/>
      <c r="G26" s="277"/>
      <c r="H26" s="324">
        <f t="shared" si="0"/>
        <v>0</v>
      </c>
      <c r="I26" s="325"/>
      <c r="J26" s="325"/>
      <c r="K26" s="629"/>
      <c r="L26" s="277"/>
    </row>
    <row r="27" spans="1:15" s="292" customFormat="1" ht="14.25" customHeight="1" x14ac:dyDescent="0.2">
      <c r="B27" s="277"/>
      <c r="D27" s="610"/>
      <c r="E27" s="449"/>
      <c r="G27" s="277"/>
      <c r="H27" s="324">
        <f t="shared" si="0"/>
        <v>0</v>
      </c>
      <c r="I27" s="325"/>
      <c r="J27" s="325"/>
      <c r="K27" s="629"/>
      <c r="L27" s="277"/>
    </row>
    <row r="28" spans="1:15" s="292" customFormat="1" ht="14.25" customHeight="1" x14ac:dyDescent="0.2">
      <c r="B28" s="277"/>
      <c r="D28" s="610"/>
      <c r="E28" s="449"/>
      <c r="G28" s="277"/>
      <c r="H28" s="324">
        <f t="shared" si="0"/>
        <v>0</v>
      </c>
      <c r="I28" s="325"/>
      <c r="J28" s="325"/>
      <c r="K28" s="629"/>
      <c r="L28" s="277"/>
    </row>
    <row r="29" spans="1:15" s="292" customFormat="1" ht="14.25" customHeight="1" x14ac:dyDescent="0.2">
      <c r="B29" s="277"/>
      <c r="D29" s="610"/>
      <c r="E29" s="449"/>
      <c r="G29" s="277"/>
      <c r="H29" s="324">
        <f t="shared" si="0"/>
        <v>0</v>
      </c>
      <c r="I29" s="325"/>
      <c r="J29" s="325"/>
      <c r="K29" s="629"/>
      <c r="L29" s="277"/>
    </row>
    <row r="30" spans="1:15" s="292" customFormat="1" ht="14.25" customHeight="1" x14ac:dyDescent="0.2">
      <c r="B30" s="277"/>
      <c r="D30" s="610"/>
      <c r="E30" s="449"/>
      <c r="G30" s="277"/>
      <c r="H30" s="324">
        <f t="shared" si="0"/>
        <v>0</v>
      </c>
      <c r="I30" s="325"/>
      <c r="J30" s="325"/>
      <c r="K30" s="629"/>
      <c r="L30" s="277"/>
    </row>
    <row r="31" spans="1:15" s="292" customFormat="1" ht="14.25" customHeight="1" x14ac:dyDescent="0.2">
      <c r="B31" s="277"/>
      <c r="D31" s="610"/>
      <c r="E31" s="449"/>
      <c r="G31" s="277"/>
      <c r="H31" s="324">
        <f t="shared" si="0"/>
        <v>0</v>
      </c>
      <c r="I31" s="325"/>
      <c r="J31" s="325"/>
      <c r="K31" s="629"/>
      <c r="L31" s="27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32"/>
  <sheetViews>
    <sheetView workbookViewId="0">
      <selection activeCell="D9" sqref="D9"/>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711</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759" customFormat="1" ht="14.25" customHeight="1" x14ac:dyDescent="0.2">
      <c r="A6" s="759" t="s">
        <v>305</v>
      </c>
      <c r="B6" s="760" t="s">
        <v>143</v>
      </c>
      <c r="D6" s="761" t="s">
        <v>741</v>
      </c>
      <c r="E6" s="762">
        <v>1893.8500000000001</v>
      </c>
      <c r="F6" s="763">
        <v>148</v>
      </c>
      <c r="G6" s="760"/>
      <c r="H6" s="764">
        <f t="shared" ref="H6:H32" si="0">IF(G6="Y",F6/1.2,F6)</f>
        <v>148</v>
      </c>
      <c r="I6" s="765">
        <v>42593.187164351853</v>
      </c>
      <c r="J6" s="765">
        <v>42607.656805555554</v>
      </c>
      <c r="K6" s="766">
        <v>553362</v>
      </c>
      <c r="L6" s="760"/>
      <c r="M6" s="759" t="s">
        <v>466</v>
      </c>
      <c r="N6" s="759" t="s">
        <v>466</v>
      </c>
      <c r="O6" s="759" t="s">
        <v>466</v>
      </c>
    </row>
    <row r="7" spans="1:21" s="759" customFormat="1" ht="14.25" customHeight="1" x14ac:dyDescent="0.2">
      <c r="A7" s="759" t="s">
        <v>305</v>
      </c>
      <c r="B7" s="760" t="s">
        <v>143</v>
      </c>
      <c r="D7" s="761" t="s">
        <v>541</v>
      </c>
      <c r="E7" s="762">
        <v>709.82999999999993</v>
      </c>
      <c r="F7" s="759">
        <v>149</v>
      </c>
      <c r="G7" s="760"/>
      <c r="H7" s="764">
        <f t="shared" si="0"/>
        <v>149</v>
      </c>
      <c r="I7" s="765">
        <v>42602.168807870374</v>
      </c>
      <c r="J7" s="765">
        <v>42607.658726851849</v>
      </c>
      <c r="K7" s="766">
        <v>553578</v>
      </c>
      <c r="L7" s="760"/>
      <c r="M7" s="759" t="s">
        <v>466</v>
      </c>
      <c r="N7" s="759" t="s">
        <v>466</v>
      </c>
      <c r="O7" s="759" t="s">
        <v>466</v>
      </c>
    </row>
    <row r="8" spans="1:21" s="292" customFormat="1" ht="14.25" customHeight="1" x14ac:dyDescent="0.2">
      <c r="A8" s="292" t="s">
        <v>305</v>
      </c>
      <c r="B8" s="277" t="s">
        <v>731</v>
      </c>
      <c r="D8" s="610" t="s">
        <v>644</v>
      </c>
      <c r="E8" s="449">
        <v>306.35000000000002</v>
      </c>
      <c r="G8" s="277"/>
      <c r="H8" s="324">
        <f t="shared" si="0"/>
        <v>0</v>
      </c>
      <c r="I8" s="325">
        <v>42607</v>
      </c>
      <c r="J8" s="325">
        <v>42607</v>
      </c>
      <c r="K8" s="757">
        <v>552518</v>
      </c>
      <c r="L8" s="277"/>
      <c r="M8" s="292" t="s">
        <v>466</v>
      </c>
      <c r="N8" s="292" t="s">
        <v>466</v>
      </c>
      <c r="O8" s="292" t="s">
        <v>466</v>
      </c>
    </row>
    <row r="9" spans="1:21" s="292" customFormat="1" ht="14.25" customHeight="1" x14ac:dyDescent="0.2">
      <c r="A9" s="704" t="s">
        <v>305</v>
      </c>
      <c r="B9" s="705" t="s">
        <v>731</v>
      </c>
      <c r="C9" s="704"/>
      <c r="D9" s="706" t="s">
        <v>710</v>
      </c>
      <c r="E9" s="707">
        <v>344.75</v>
      </c>
      <c r="F9" s="704"/>
      <c r="G9" s="705"/>
      <c r="H9" s="709">
        <f t="shared" si="0"/>
        <v>0</v>
      </c>
      <c r="I9" s="710">
        <v>42607</v>
      </c>
      <c r="J9" s="710">
        <v>42607</v>
      </c>
      <c r="K9" s="758">
        <v>52</v>
      </c>
      <c r="L9" s="705"/>
      <c r="M9" s="704" t="s">
        <v>466</v>
      </c>
      <c r="N9" s="704" t="s">
        <v>466</v>
      </c>
      <c r="O9" s="704" t="s">
        <v>466</v>
      </c>
    </row>
    <row r="10" spans="1:21" s="292" customFormat="1" ht="14.25" customHeight="1" x14ac:dyDescent="0.2">
      <c r="A10" s="292" t="s">
        <v>305</v>
      </c>
      <c r="B10" s="277" t="s">
        <v>467</v>
      </c>
      <c r="D10" s="610" t="s">
        <v>462</v>
      </c>
      <c r="E10" s="449">
        <v>67.62</v>
      </c>
      <c r="G10" s="277"/>
      <c r="H10" s="324">
        <f t="shared" si="0"/>
        <v>0</v>
      </c>
      <c r="I10" s="325">
        <v>42607.479722222219</v>
      </c>
      <c r="J10" s="325">
        <v>42607.498148148145</v>
      </c>
      <c r="K10" s="3">
        <v>553407</v>
      </c>
      <c r="L10" s="277"/>
      <c r="M10" s="292" t="s">
        <v>466</v>
      </c>
      <c r="N10" s="292" t="s">
        <v>466</v>
      </c>
      <c r="O10" s="292" t="s">
        <v>466</v>
      </c>
    </row>
    <row r="11" spans="1:21" s="292" customFormat="1" ht="14.25" customHeight="1" x14ac:dyDescent="0.2">
      <c r="A11" s="292" t="s">
        <v>305</v>
      </c>
      <c r="B11" s="277" t="s">
        <v>467</v>
      </c>
      <c r="D11" s="610" t="s">
        <v>408</v>
      </c>
      <c r="E11" s="449">
        <v>122.44</v>
      </c>
      <c r="G11" s="277"/>
      <c r="H11" s="324">
        <f t="shared" si="0"/>
        <v>0</v>
      </c>
      <c r="I11" s="325">
        <v>42607.503125000003</v>
      </c>
      <c r="J11" s="325">
        <v>42608.244050925925</v>
      </c>
      <c r="K11" s="3">
        <v>553759</v>
      </c>
      <c r="L11" s="277"/>
      <c r="M11" s="292" t="s">
        <v>466</v>
      </c>
      <c r="N11" s="292" t="s">
        <v>466</v>
      </c>
      <c r="O11" s="292" t="s">
        <v>466</v>
      </c>
    </row>
    <row r="12" spans="1:21" s="292" customFormat="1" ht="14.25" customHeight="1" x14ac:dyDescent="0.2">
      <c r="A12" s="292" t="s">
        <v>305</v>
      </c>
      <c r="B12" s="277" t="s">
        <v>467</v>
      </c>
      <c r="D12" s="610" t="s">
        <v>712</v>
      </c>
      <c r="E12" s="449">
        <v>476.4</v>
      </c>
      <c r="G12" s="277"/>
      <c r="H12" s="324">
        <f t="shared" si="0"/>
        <v>0</v>
      </c>
      <c r="I12" s="325">
        <v>42607.597430555557</v>
      </c>
      <c r="J12" s="325">
        <v>42607.657453703701</v>
      </c>
      <c r="K12" s="3">
        <v>553450</v>
      </c>
      <c r="L12" s="277"/>
      <c r="M12" s="292" t="s">
        <v>466</v>
      </c>
      <c r="N12" s="292" t="s">
        <v>466</v>
      </c>
      <c r="O12" s="292" t="s">
        <v>466</v>
      </c>
    </row>
    <row r="13" spans="1:21" s="292" customFormat="1" ht="14.25" customHeight="1" x14ac:dyDescent="0.2">
      <c r="A13" s="292" t="s">
        <v>305</v>
      </c>
      <c r="B13" s="277" t="s">
        <v>467</v>
      </c>
      <c r="D13" s="610" t="s">
        <v>730</v>
      </c>
      <c r="E13" s="449">
        <v>488.25</v>
      </c>
      <c r="G13" s="277"/>
      <c r="H13" s="324">
        <f t="shared" si="0"/>
        <v>0</v>
      </c>
      <c r="I13" s="325">
        <v>42608.177118055559</v>
      </c>
      <c r="J13" s="325">
        <v>42608.180995370371</v>
      </c>
      <c r="K13" s="3">
        <v>552825</v>
      </c>
      <c r="L13" s="277"/>
      <c r="M13" s="292" t="s">
        <v>466</v>
      </c>
      <c r="N13" s="292" t="s">
        <v>466</v>
      </c>
      <c r="O13" s="292" t="s">
        <v>466</v>
      </c>
    </row>
    <row r="14" spans="1:21" s="292" customFormat="1" ht="14.25" customHeight="1" x14ac:dyDescent="0.2">
      <c r="A14" s="292" t="s">
        <v>305</v>
      </c>
      <c r="B14" s="277" t="s">
        <v>643</v>
      </c>
      <c r="D14" s="610" t="s">
        <v>462</v>
      </c>
      <c r="E14" s="449">
        <v>46.019999999999996</v>
      </c>
      <c r="G14" s="277"/>
      <c r="H14" s="324">
        <f t="shared" si="0"/>
        <v>0</v>
      </c>
      <c r="I14" s="325">
        <v>42607.44767361111</v>
      </c>
      <c r="J14" s="325">
        <v>42607.453287037039</v>
      </c>
      <c r="K14" s="3">
        <v>553729</v>
      </c>
      <c r="L14" s="277"/>
      <c r="M14" s="292" t="s">
        <v>466</v>
      </c>
      <c r="N14" s="292" t="s">
        <v>466</v>
      </c>
      <c r="O14" s="292" t="s">
        <v>466</v>
      </c>
    </row>
    <row r="15" spans="1:21" s="292" customFormat="1" ht="14.25" customHeight="1" x14ac:dyDescent="0.2">
      <c r="A15" s="292" t="s">
        <v>305</v>
      </c>
      <c r="B15" s="277" t="s">
        <v>643</v>
      </c>
      <c r="D15" s="610" t="s">
        <v>408</v>
      </c>
      <c r="E15" s="449">
        <v>75.86</v>
      </c>
      <c r="G15" s="277"/>
      <c r="H15" s="324">
        <f t="shared" si="0"/>
        <v>0</v>
      </c>
      <c r="I15" s="325">
        <v>42607.460578703707</v>
      </c>
      <c r="J15" s="325">
        <v>42607.473263888889</v>
      </c>
      <c r="K15" s="3">
        <v>553698</v>
      </c>
      <c r="L15" s="277"/>
      <c r="M15" s="292" t="s">
        <v>466</v>
      </c>
      <c r="N15" s="292" t="s">
        <v>466</v>
      </c>
      <c r="O15" s="292" t="s">
        <v>466</v>
      </c>
    </row>
    <row r="16" spans="1:21" s="292" customFormat="1" ht="14.25" customHeight="1" x14ac:dyDescent="0.2">
      <c r="A16" s="292" t="s">
        <v>305</v>
      </c>
      <c r="B16" s="277" t="s">
        <v>292</v>
      </c>
      <c r="D16" s="610" t="s">
        <v>641</v>
      </c>
      <c r="E16" s="449">
        <v>783.1</v>
      </c>
      <c r="G16" s="277"/>
      <c r="H16" s="324">
        <f t="shared" si="0"/>
        <v>0</v>
      </c>
      <c r="I16" s="325">
        <v>42607.598101851851</v>
      </c>
      <c r="J16" s="325">
        <v>42607.979641203703</v>
      </c>
      <c r="K16" s="3">
        <v>551438</v>
      </c>
      <c r="L16" s="277"/>
      <c r="M16" s="292" t="s">
        <v>466</v>
      </c>
      <c r="N16" s="292" t="s">
        <v>466</v>
      </c>
      <c r="O16" s="292" t="s">
        <v>466</v>
      </c>
    </row>
    <row r="17" spans="1:15" s="292" customFormat="1" ht="14.25" customHeight="1" x14ac:dyDescent="0.2">
      <c r="A17" s="292" t="s">
        <v>305</v>
      </c>
      <c r="B17" s="277" t="s">
        <v>643</v>
      </c>
      <c r="D17" s="610" t="s">
        <v>701</v>
      </c>
      <c r="E17" s="449">
        <v>264.3</v>
      </c>
      <c r="G17" s="277"/>
      <c r="H17" s="324">
        <f t="shared" si="0"/>
        <v>0</v>
      </c>
      <c r="I17" s="325">
        <v>42608.113055555557</v>
      </c>
      <c r="J17" s="325">
        <v>42608.115520833337</v>
      </c>
      <c r="K17" s="3">
        <v>552928</v>
      </c>
      <c r="L17" s="277"/>
      <c r="M17" s="292" t="s">
        <v>466</v>
      </c>
      <c r="N17" s="292" t="s">
        <v>466</v>
      </c>
      <c r="O17" s="292" t="s">
        <v>466</v>
      </c>
    </row>
    <row r="18" spans="1:15" s="292" customFormat="1" ht="14.25" customHeight="1" x14ac:dyDescent="0.2">
      <c r="A18" s="292" t="s">
        <v>305</v>
      </c>
      <c r="B18" s="277" t="s">
        <v>643</v>
      </c>
      <c r="D18" s="610" t="s">
        <v>418</v>
      </c>
      <c r="E18" s="449">
        <v>138.65</v>
      </c>
      <c r="G18" s="277"/>
      <c r="H18" s="324">
        <f t="shared" si="0"/>
        <v>0</v>
      </c>
      <c r="I18" s="325">
        <v>42608.215439814812</v>
      </c>
      <c r="J18" s="325">
        <v>42608.216041666667</v>
      </c>
      <c r="K18" s="3">
        <v>552705</v>
      </c>
      <c r="L18" s="277"/>
      <c r="M18" s="292" t="s">
        <v>466</v>
      </c>
      <c r="N18" s="292" t="s">
        <v>466</v>
      </c>
      <c r="O18" s="292" t="s">
        <v>466</v>
      </c>
    </row>
    <row r="19" spans="1:15" s="292" customFormat="1" ht="14.25" customHeight="1" x14ac:dyDescent="0.2">
      <c r="A19" s="292" t="s">
        <v>305</v>
      </c>
      <c r="B19" s="277" t="s">
        <v>643</v>
      </c>
      <c r="D19" s="610" t="s">
        <v>464</v>
      </c>
      <c r="E19" s="449">
        <v>48.72</v>
      </c>
      <c r="G19" s="277"/>
      <c r="H19" s="324">
        <f t="shared" si="0"/>
        <v>0</v>
      </c>
      <c r="I19" s="325">
        <v>42608.251203703701</v>
      </c>
      <c r="J19" s="325">
        <v>42608.25854166667</v>
      </c>
      <c r="K19" s="3">
        <v>553731</v>
      </c>
      <c r="L19" s="277"/>
      <c r="M19" s="292" t="s">
        <v>466</v>
      </c>
      <c r="N19" s="292" t="s">
        <v>466</v>
      </c>
      <c r="O19" s="292" t="s">
        <v>466</v>
      </c>
    </row>
    <row r="20" spans="1:15" s="292" customFormat="1" ht="14.25" customHeight="1" x14ac:dyDescent="0.2">
      <c r="A20" s="292" t="s">
        <v>305</v>
      </c>
      <c r="B20" s="277" t="s">
        <v>469</v>
      </c>
      <c r="D20" s="610" t="s">
        <v>408</v>
      </c>
      <c r="E20" s="449">
        <v>298.59999999999991</v>
      </c>
      <c r="G20" s="277"/>
      <c r="H20" s="324">
        <f t="shared" si="0"/>
        <v>0</v>
      </c>
      <c r="I20" s="325">
        <v>42607.368750000001</v>
      </c>
      <c r="J20" s="325">
        <v>42608.225763888891</v>
      </c>
      <c r="K20" s="3">
        <v>553757</v>
      </c>
      <c r="L20" s="277"/>
      <c r="M20" s="292" t="s">
        <v>466</v>
      </c>
      <c r="N20" s="292" t="s">
        <v>466</v>
      </c>
      <c r="O20" s="292" t="s">
        <v>466</v>
      </c>
    </row>
    <row r="21" spans="1:15" s="759" customFormat="1" ht="14.25" customHeight="1" x14ac:dyDescent="0.2">
      <c r="A21" s="759" t="s">
        <v>305</v>
      </c>
      <c r="B21" s="760" t="s">
        <v>469</v>
      </c>
      <c r="D21" s="761" t="s">
        <v>742</v>
      </c>
      <c r="E21" s="762">
        <v>107.55</v>
      </c>
      <c r="G21" s="760"/>
      <c r="H21" s="764">
        <f t="shared" si="0"/>
        <v>0</v>
      </c>
      <c r="I21" s="765">
        <v>42607.904849537037</v>
      </c>
      <c r="J21" s="765">
        <v>42607.905277777776</v>
      </c>
      <c r="K21" s="767">
        <v>553578</v>
      </c>
      <c r="L21" s="760"/>
      <c r="M21" s="759" t="s">
        <v>466</v>
      </c>
      <c r="N21" s="759" t="s">
        <v>466</v>
      </c>
      <c r="O21" s="759" t="s">
        <v>466</v>
      </c>
    </row>
    <row r="22" spans="1:15" s="759" customFormat="1" ht="14.25" customHeight="1" x14ac:dyDescent="0.2">
      <c r="A22" s="759" t="s">
        <v>305</v>
      </c>
      <c r="B22" s="760" t="s">
        <v>467</v>
      </c>
      <c r="D22" s="761" t="s">
        <v>743</v>
      </c>
      <c r="E22" s="762">
        <v>542.25</v>
      </c>
      <c r="G22" s="760"/>
      <c r="H22" s="764">
        <f t="shared" si="0"/>
        <v>0</v>
      </c>
      <c r="I22" s="765">
        <v>42607.650937500002</v>
      </c>
      <c r="J22" s="765">
        <v>42607.658726851849</v>
      </c>
      <c r="K22" s="767">
        <v>553362</v>
      </c>
      <c r="L22" s="760"/>
      <c r="M22" s="759" t="s">
        <v>466</v>
      </c>
      <c r="N22" s="759" t="s">
        <v>466</v>
      </c>
      <c r="O22" s="759" t="s">
        <v>466</v>
      </c>
    </row>
    <row r="23" spans="1:15" s="292" customFormat="1" ht="14.25" customHeight="1" x14ac:dyDescent="0.2">
      <c r="B23" s="277"/>
      <c r="D23" s="610"/>
      <c r="E23" s="449"/>
      <c r="G23" s="277"/>
      <c r="H23" s="324">
        <f t="shared" si="0"/>
        <v>0</v>
      </c>
      <c r="I23" s="325"/>
      <c r="J23" s="325"/>
      <c r="K23" s="629"/>
      <c r="L23" s="277"/>
    </row>
    <row r="24" spans="1:15" s="292" customFormat="1" ht="14.25" customHeight="1" x14ac:dyDescent="0.2">
      <c r="B24" s="277"/>
      <c r="D24" s="610"/>
      <c r="E24" s="449"/>
      <c r="G24" s="277"/>
      <c r="H24" s="324">
        <f t="shared" si="0"/>
        <v>0</v>
      </c>
      <c r="I24" s="325"/>
      <c r="J24" s="325"/>
      <c r="K24" s="629"/>
      <c r="L24" s="277"/>
    </row>
    <row r="25" spans="1:15" s="292" customFormat="1" ht="14.25" customHeight="1" x14ac:dyDescent="0.2">
      <c r="B25" s="277"/>
      <c r="D25" s="610"/>
      <c r="E25" s="449"/>
      <c r="G25" s="277"/>
      <c r="H25" s="324">
        <f t="shared" si="0"/>
        <v>0</v>
      </c>
      <c r="I25" s="325"/>
      <c r="J25" s="325"/>
      <c r="K25" s="629"/>
      <c r="L25" s="277"/>
    </row>
    <row r="26" spans="1:15" s="292" customFormat="1" ht="14.25" customHeight="1" x14ac:dyDescent="0.2">
      <c r="B26" s="277"/>
      <c r="D26" s="610"/>
      <c r="E26" s="449"/>
      <c r="G26" s="277"/>
      <c r="H26" s="324">
        <f t="shared" si="0"/>
        <v>0</v>
      </c>
      <c r="I26" s="325"/>
      <c r="J26" s="325"/>
      <c r="K26" s="629"/>
      <c r="L26" s="277"/>
    </row>
    <row r="27" spans="1:15" s="292" customFormat="1" ht="14.25" customHeight="1" x14ac:dyDescent="0.2">
      <c r="B27" s="277"/>
      <c r="D27" s="610"/>
      <c r="E27" s="449"/>
      <c r="G27" s="277"/>
      <c r="H27" s="324">
        <f t="shared" si="0"/>
        <v>0</v>
      </c>
      <c r="I27" s="325"/>
      <c r="J27" s="325"/>
      <c r="K27" s="629"/>
      <c r="L27" s="277"/>
    </row>
    <row r="28" spans="1:15" s="292" customFormat="1" ht="14.25" customHeight="1" x14ac:dyDescent="0.2">
      <c r="B28" s="277"/>
      <c r="D28" s="610"/>
      <c r="E28" s="449"/>
      <c r="G28" s="277"/>
      <c r="H28" s="324">
        <f t="shared" si="0"/>
        <v>0</v>
      </c>
      <c r="I28" s="325"/>
      <c r="J28" s="325"/>
      <c r="K28" s="629"/>
      <c r="L28" s="277"/>
    </row>
    <row r="29" spans="1:15" s="292" customFormat="1" ht="14.25" customHeight="1" x14ac:dyDescent="0.2">
      <c r="B29" s="277"/>
      <c r="D29" s="610"/>
      <c r="E29" s="449"/>
      <c r="G29" s="277"/>
      <c r="H29" s="324">
        <f t="shared" si="0"/>
        <v>0</v>
      </c>
      <c r="I29" s="325"/>
      <c r="J29" s="325"/>
      <c r="K29" s="629"/>
      <c r="L29" s="277"/>
    </row>
    <row r="30" spans="1:15" s="292" customFormat="1" ht="14.25" customHeight="1" x14ac:dyDescent="0.2">
      <c r="B30" s="277"/>
      <c r="D30" s="610"/>
      <c r="E30" s="449"/>
      <c r="G30" s="277"/>
      <c r="H30" s="324">
        <f t="shared" si="0"/>
        <v>0</v>
      </c>
      <c r="I30" s="325"/>
      <c r="J30" s="325"/>
      <c r="K30" s="629"/>
      <c r="L30" s="277"/>
    </row>
    <row r="31" spans="1:15" s="292" customFormat="1" ht="14.25" customHeight="1" x14ac:dyDescent="0.2">
      <c r="B31" s="277"/>
      <c r="D31" s="610"/>
      <c r="E31" s="449"/>
      <c r="G31" s="277"/>
      <c r="H31" s="324">
        <f t="shared" si="0"/>
        <v>0</v>
      </c>
      <c r="I31" s="325"/>
      <c r="J31" s="325"/>
      <c r="K31" s="629"/>
      <c r="L31" s="277"/>
    </row>
    <row r="32" spans="1:15" s="292" customFormat="1" ht="14.25" customHeight="1" x14ac:dyDescent="0.2">
      <c r="B32" s="277"/>
      <c r="D32" s="610"/>
      <c r="E32" s="449"/>
      <c r="G32" s="277"/>
      <c r="H32" s="324">
        <f t="shared" si="0"/>
        <v>0</v>
      </c>
      <c r="I32" s="325"/>
      <c r="J32" s="325"/>
      <c r="K32" s="629"/>
      <c r="L32" s="27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2"/>
  <sheetViews>
    <sheetView workbookViewId="0">
      <selection activeCell="D11" sqref="D11"/>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645</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292" t="s">
        <v>706</v>
      </c>
      <c r="B6" s="277" t="s">
        <v>145</v>
      </c>
      <c r="C6" s="292" t="s">
        <v>144</v>
      </c>
      <c r="D6" s="610" t="s">
        <v>644</v>
      </c>
      <c r="E6" s="449">
        <v>550.95000000000005</v>
      </c>
      <c r="F6" s="292">
        <v>137</v>
      </c>
      <c r="G6" s="277"/>
      <c r="H6" s="324">
        <f t="shared" ref="H6:H32" si="0">IF(G6="Y",F6/1.2,F6)</f>
        <v>137</v>
      </c>
      <c r="I6" s="325">
        <v>42605</v>
      </c>
      <c r="J6" s="325">
        <v>42605</v>
      </c>
      <c r="K6" s="629">
        <v>552518</v>
      </c>
      <c r="L6" s="277"/>
      <c r="M6" s="292" t="s">
        <v>466</v>
      </c>
      <c r="N6" s="292" t="s">
        <v>466</v>
      </c>
      <c r="O6" s="292" t="s">
        <v>466</v>
      </c>
    </row>
    <row r="7" spans="1:21" s="292" customFormat="1" ht="14.25" customHeight="1" x14ac:dyDescent="0.2">
      <c r="A7" s="292" t="s">
        <v>305</v>
      </c>
      <c r="B7" s="277" t="s">
        <v>143</v>
      </c>
      <c r="D7" s="610" t="s">
        <v>625</v>
      </c>
      <c r="E7" s="449">
        <v>551.9</v>
      </c>
      <c r="F7" s="292">
        <v>149</v>
      </c>
      <c r="G7" s="277"/>
      <c r="H7" s="324">
        <f t="shared" si="0"/>
        <v>149</v>
      </c>
      <c r="I7" s="325">
        <v>42605.517199074071</v>
      </c>
      <c r="J7" s="325">
        <v>42605.522476851853</v>
      </c>
      <c r="K7" s="629">
        <v>553620</v>
      </c>
      <c r="L7" s="277"/>
      <c r="M7" s="292" t="s">
        <v>466</v>
      </c>
      <c r="N7" s="292" t="s">
        <v>466</v>
      </c>
      <c r="O7" s="292" t="s">
        <v>466</v>
      </c>
    </row>
    <row r="8" spans="1:21" s="292" customFormat="1" ht="14.25" customHeight="1" x14ac:dyDescent="0.2">
      <c r="A8" s="292" t="s">
        <v>305</v>
      </c>
      <c r="B8" s="277" t="s">
        <v>143</v>
      </c>
      <c r="D8" s="610" t="s">
        <v>408</v>
      </c>
      <c r="E8" s="449">
        <v>72.759999999999991</v>
      </c>
      <c r="F8" s="292">
        <v>149</v>
      </c>
      <c r="G8" s="277"/>
      <c r="H8" s="324">
        <f t="shared" si="0"/>
        <v>149</v>
      </c>
      <c r="I8" s="325">
        <v>42605.724050925928</v>
      </c>
      <c r="J8" s="325">
        <v>42606.257071759261</v>
      </c>
      <c r="K8" s="629">
        <v>553759</v>
      </c>
      <c r="L8" s="277"/>
      <c r="M8" s="292" t="s">
        <v>466</v>
      </c>
      <c r="N8" s="292" t="s">
        <v>466</v>
      </c>
      <c r="O8" s="292" t="s">
        <v>466</v>
      </c>
    </row>
    <row r="9" spans="1:21" s="292" customFormat="1" ht="14.25" customHeight="1" x14ac:dyDescent="0.2">
      <c r="A9" s="292" t="s">
        <v>305</v>
      </c>
      <c r="B9" s="277" t="s">
        <v>143</v>
      </c>
      <c r="D9" s="610" t="s">
        <v>641</v>
      </c>
      <c r="E9" s="449">
        <v>185.8</v>
      </c>
      <c r="F9" s="292">
        <v>155.5</v>
      </c>
      <c r="G9" s="277"/>
      <c r="H9" s="324">
        <f t="shared" si="0"/>
        <v>155.5</v>
      </c>
      <c r="I9" s="325">
        <v>42605.867083333331</v>
      </c>
      <c r="J9" s="325">
        <v>42605.889131944445</v>
      </c>
      <c r="K9" s="629">
        <v>551438</v>
      </c>
      <c r="L9" s="277"/>
      <c r="M9" s="292" t="s">
        <v>466</v>
      </c>
      <c r="N9" s="292" t="s">
        <v>466</v>
      </c>
      <c r="O9" s="292" t="s">
        <v>466</v>
      </c>
    </row>
    <row r="10" spans="1:21" s="292" customFormat="1" ht="14.25" customHeight="1" x14ac:dyDescent="0.2">
      <c r="A10" s="292" t="s">
        <v>305</v>
      </c>
      <c r="B10" s="277" t="s">
        <v>143</v>
      </c>
      <c r="D10" s="610" t="s">
        <v>541</v>
      </c>
      <c r="E10" s="449">
        <v>412.35</v>
      </c>
      <c r="F10" s="292">
        <v>148</v>
      </c>
      <c r="G10" s="277"/>
      <c r="H10" s="324">
        <f t="shared" si="0"/>
        <v>148</v>
      </c>
      <c r="I10" s="325">
        <v>42605.88113425926</v>
      </c>
      <c r="J10" s="325">
        <v>42607.305462962962</v>
      </c>
      <c r="K10" s="629">
        <v>553362</v>
      </c>
      <c r="L10" s="277"/>
      <c r="M10" s="292" t="s">
        <v>466</v>
      </c>
      <c r="N10" s="292" t="s">
        <v>466</v>
      </c>
      <c r="O10" s="292" t="s">
        <v>466</v>
      </c>
    </row>
    <row r="11" spans="1:21" s="292" customFormat="1" ht="14.25" customHeight="1" x14ac:dyDescent="0.2">
      <c r="A11" s="292" t="s">
        <v>305</v>
      </c>
      <c r="B11" s="277" t="s">
        <v>143</v>
      </c>
      <c r="D11" s="610" t="s">
        <v>495</v>
      </c>
      <c r="E11" s="449">
        <v>96.18</v>
      </c>
      <c r="F11" s="292">
        <v>142</v>
      </c>
      <c r="G11" s="277"/>
      <c r="H11" s="324">
        <f t="shared" si="0"/>
        <v>142</v>
      </c>
      <c r="I11" s="325">
        <v>42606.244340277779</v>
      </c>
      <c r="J11" s="325">
        <v>42606.364490740743</v>
      </c>
      <c r="K11" s="629">
        <v>552936</v>
      </c>
      <c r="L11" s="277"/>
      <c r="M11" s="292" t="s">
        <v>466</v>
      </c>
      <c r="N11" s="292" t="s">
        <v>466</v>
      </c>
      <c r="O11" s="292" t="s">
        <v>466</v>
      </c>
    </row>
    <row r="12" spans="1:21" s="292" customFormat="1" ht="14.25" customHeight="1" x14ac:dyDescent="0.2">
      <c r="A12" s="292" t="s">
        <v>305</v>
      </c>
      <c r="B12" s="277" t="s">
        <v>143</v>
      </c>
      <c r="D12" s="610" t="s">
        <v>640</v>
      </c>
      <c r="E12" s="449">
        <v>468.15</v>
      </c>
      <c r="F12" s="292">
        <v>149</v>
      </c>
      <c r="G12" s="277"/>
      <c r="H12" s="324">
        <f t="shared" si="0"/>
        <v>149</v>
      </c>
      <c r="I12" s="325">
        <v>42606.497847222221</v>
      </c>
      <c r="J12" s="325">
        <v>42606.502233796295</v>
      </c>
      <c r="K12" s="629">
        <v>553450</v>
      </c>
      <c r="L12" s="277"/>
      <c r="M12" s="292" t="s">
        <v>466</v>
      </c>
      <c r="N12" s="292" t="s">
        <v>466</v>
      </c>
      <c r="O12" s="292" t="s">
        <v>466</v>
      </c>
    </row>
    <row r="13" spans="1:21" s="292" customFormat="1" ht="14.25" customHeight="1" x14ac:dyDescent="0.2">
      <c r="A13" s="292" t="s">
        <v>305</v>
      </c>
      <c r="B13" s="277" t="s">
        <v>143</v>
      </c>
      <c r="D13" s="610" t="s">
        <v>464</v>
      </c>
      <c r="E13" s="449">
        <v>24.5</v>
      </c>
      <c r="F13" s="292">
        <v>148</v>
      </c>
      <c r="G13" s="277"/>
      <c r="H13" s="324">
        <f t="shared" si="0"/>
        <v>148</v>
      </c>
      <c r="I13" s="325">
        <v>42606.884814814817</v>
      </c>
      <c r="J13" s="325">
        <v>42606.884814814817</v>
      </c>
      <c r="K13" s="629">
        <v>553409</v>
      </c>
      <c r="L13" s="277"/>
      <c r="M13" s="292" t="s">
        <v>466</v>
      </c>
      <c r="N13" s="292" t="s">
        <v>466</v>
      </c>
      <c r="O13" s="292" t="s">
        <v>466</v>
      </c>
    </row>
    <row r="14" spans="1:21" s="292" customFormat="1" ht="14.25" customHeight="1" x14ac:dyDescent="0.2">
      <c r="A14" s="292" t="s">
        <v>305</v>
      </c>
      <c r="B14" s="277" t="s">
        <v>145</v>
      </c>
      <c r="D14" s="610" t="s">
        <v>701</v>
      </c>
      <c r="E14" s="449">
        <v>528.90000000000009</v>
      </c>
      <c r="F14" s="292">
        <v>136</v>
      </c>
      <c r="G14" s="277"/>
      <c r="H14" s="324">
        <f t="shared" si="0"/>
        <v>136</v>
      </c>
      <c r="I14" s="325">
        <v>42605.445729166669</v>
      </c>
      <c r="J14" s="325">
        <v>42606.682002314818</v>
      </c>
      <c r="K14" s="629">
        <v>552928</v>
      </c>
      <c r="L14" s="277"/>
      <c r="M14" s="292" t="s">
        <v>466</v>
      </c>
      <c r="N14" s="292" t="s">
        <v>466</v>
      </c>
      <c r="O14" s="292" t="s">
        <v>466</v>
      </c>
    </row>
    <row r="15" spans="1:21" s="292" customFormat="1" ht="14.25" customHeight="1" x14ac:dyDescent="0.2">
      <c r="A15" s="292" t="s">
        <v>305</v>
      </c>
      <c r="B15" s="277" t="s">
        <v>145</v>
      </c>
      <c r="D15" s="610" t="s">
        <v>619</v>
      </c>
      <c r="E15" s="449">
        <v>68.25</v>
      </c>
      <c r="F15" s="292">
        <v>146</v>
      </c>
      <c r="G15" s="277"/>
      <c r="H15" s="324">
        <f t="shared" si="0"/>
        <v>146</v>
      </c>
      <c r="I15" s="325">
        <v>42605.514120370368</v>
      </c>
      <c r="J15" s="325">
        <v>42605.514120370368</v>
      </c>
      <c r="K15" s="629">
        <v>551127</v>
      </c>
      <c r="L15" s="277"/>
      <c r="M15" s="292" t="s">
        <v>466</v>
      </c>
      <c r="N15" s="292" t="s">
        <v>466</v>
      </c>
      <c r="O15" s="292" t="s">
        <v>466</v>
      </c>
    </row>
    <row r="16" spans="1:21" s="292" customFormat="1" ht="14.25" customHeight="1" x14ac:dyDescent="0.2">
      <c r="A16" s="292" t="s">
        <v>305</v>
      </c>
      <c r="B16" s="277" t="s">
        <v>145</v>
      </c>
      <c r="D16" s="610" t="s">
        <v>621</v>
      </c>
      <c r="E16" s="449">
        <v>208.95</v>
      </c>
      <c r="F16" s="292">
        <v>137</v>
      </c>
      <c r="G16" s="277"/>
      <c r="H16" s="324">
        <f t="shared" si="0"/>
        <v>137</v>
      </c>
      <c r="I16" s="325">
        <v>42605.51630787037</v>
      </c>
      <c r="J16" s="325">
        <v>42605.887673611112</v>
      </c>
      <c r="K16" s="629">
        <v>552518</v>
      </c>
      <c r="L16" s="277"/>
      <c r="M16" s="292" t="s">
        <v>466</v>
      </c>
      <c r="N16" s="292" t="s">
        <v>466</v>
      </c>
      <c r="O16" s="292" t="s">
        <v>466</v>
      </c>
    </row>
    <row r="17" spans="1:15" s="292" customFormat="1" ht="14.25" customHeight="1" x14ac:dyDescent="0.2">
      <c r="A17" s="292" t="s">
        <v>305</v>
      </c>
      <c r="B17" s="277" t="s">
        <v>145</v>
      </c>
      <c r="D17" s="610" t="s">
        <v>702</v>
      </c>
      <c r="E17" s="449">
        <v>137.14999999999998</v>
      </c>
      <c r="F17" s="292">
        <v>141</v>
      </c>
      <c r="G17" s="277"/>
      <c r="H17" s="324">
        <f t="shared" si="0"/>
        <v>141</v>
      </c>
      <c r="I17" s="325">
        <v>42605.864699074074</v>
      </c>
      <c r="J17" s="325">
        <v>42605.865219907406</v>
      </c>
      <c r="K17" s="629">
        <v>553244</v>
      </c>
      <c r="L17" s="277"/>
      <c r="M17" s="292" t="s">
        <v>466</v>
      </c>
      <c r="N17" s="292" t="s">
        <v>466</v>
      </c>
      <c r="O17" s="292" t="s">
        <v>466</v>
      </c>
    </row>
    <row r="18" spans="1:15" s="776" customFormat="1" ht="14.25" customHeight="1" x14ac:dyDescent="0.2">
      <c r="A18" s="776" t="s">
        <v>305</v>
      </c>
      <c r="B18" s="777" t="s">
        <v>145</v>
      </c>
      <c r="D18" s="778" t="s">
        <v>641</v>
      </c>
      <c r="E18" s="779">
        <v>475.10000000000008</v>
      </c>
      <c r="F18" s="776">
        <v>153.5</v>
      </c>
      <c r="G18" s="777"/>
      <c r="H18" s="780">
        <f t="shared" si="0"/>
        <v>153.5</v>
      </c>
      <c r="I18" s="781">
        <v>42606.210277777776</v>
      </c>
      <c r="J18" s="781">
        <v>42606.214502314811</v>
      </c>
      <c r="K18" s="782">
        <v>551438</v>
      </c>
      <c r="L18" s="777"/>
      <c r="M18" s="776" t="s">
        <v>466</v>
      </c>
      <c r="N18" s="776" t="s">
        <v>466</v>
      </c>
      <c r="O18" s="776" t="s">
        <v>466</v>
      </c>
    </row>
    <row r="19" spans="1:15" s="292" customFormat="1" ht="14.25" customHeight="1" x14ac:dyDescent="0.2">
      <c r="A19" s="292" t="s">
        <v>305</v>
      </c>
      <c r="B19" s="277" t="s">
        <v>145</v>
      </c>
      <c r="D19" s="610" t="s">
        <v>408</v>
      </c>
      <c r="E19" s="449">
        <v>189.28</v>
      </c>
      <c r="F19" s="292">
        <v>145</v>
      </c>
      <c r="G19" s="277"/>
      <c r="H19" s="324">
        <f t="shared" si="0"/>
        <v>145</v>
      </c>
      <c r="I19" s="325">
        <v>42606.213993055557</v>
      </c>
      <c r="J19" s="325">
        <v>42606.729907407411</v>
      </c>
      <c r="K19" s="629">
        <v>553698</v>
      </c>
      <c r="L19" s="277"/>
      <c r="M19" s="292" t="s">
        <v>466</v>
      </c>
      <c r="N19" s="292" t="s">
        <v>466</v>
      </c>
      <c r="O19" s="292" t="s">
        <v>466</v>
      </c>
    </row>
    <row r="20" spans="1:15" s="292" customFormat="1" ht="14.25" customHeight="1" x14ac:dyDescent="0.2">
      <c r="A20" s="292" t="s">
        <v>305</v>
      </c>
      <c r="B20" s="277" t="s">
        <v>145</v>
      </c>
      <c r="D20" s="610" t="s">
        <v>464</v>
      </c>
      <c r="E20" s="449">
        <v>74.16</v>
      </c>
      <c r="F20" s="292">
        <v>145</v>
      </c>
      <c r="G20" s="277"/>
      <c r="H20" s="324">
        <f t="shared" si="0"/>
        <v>145</v>
      </c>
      <c r="I20" s="325">
        <v>42606.51363425926</v>
      </c>
      <c r="J20" s="325">
        <v>42606.590543981481</v>
      </c>
      <c r="K20" s="629">
        <v>553731</v>
      </c>
      <c r="L20" s="277"/>
      <c r="M20" s="292" t="s">
        <v>466</v>
      </c>
      <c r="N20" s="292" t="s">
        <v>466</v>
      </c>
      <c r="O20" s="292" t="s">
        <v>466</v>
      </c>
    </row>
    <row r="21" spans="1:15" s="292" customFormat="1" ht="14.25" customHeight="1" x14ac:dyDescent="0.2">
      <c r="A21" s="292" t="s">
        <v>305</v>
      </c>
      <c r="B21" s="277" t="s">
        <v>67</v>
      </c>
      <c r="D21" s="610" t="s">
        <v>408</v>
      </c>
      <c r="E21" s="449">
        <v>932.08</v>
      </c>
      <c r="F21" s="292">
        <v>138</v>
      </c>
      <c r="G21" s="277"/>
      <c r="H21" s="324">
        <f t="shared" si="0"/>
        <v>138</v>
      </c>
      <c r="I21" s="325">
        <v>42605.551192129627</v>
      </c>
      <c r="J21" s="325">
        <v>42607.200694444444</v>
      </c>
      <c r="K21" s="629">
        <v>553754</v>
      </c>
      <c r="L21" s="277"/>
      <c r="M21" s="292" t="s">
        <v>466</v>
      </c>
      <c r="N21" s="292" t="s">
        <v>466</v>
      </c>
      <c r="O21" s="292" t="s">
        <v>466</v>
      </c>
    </row>
    <row r="22" spans="1:15" s="292" customFormat="1" ht="14.25" customHeight="1" x14ac:dyDescent="0.2">
      <c r="A22" s="292" t="s">
        <v>305</v>
      </c>
      <c r="B22" s="277" t="s">
        <v>67</v>
      </c>
      <c r="D22" s="610" t="s">
        <v>541</v>
      </c>
      <c r="E22" s="449">
        <v>48.6</v>
      </c>
      <c r="F22" s="292">
        <v>131</v>
      </c>
      <c r="G22" s="277"/>
      <c r="H22" s="324">
        <f t="shared" si="0"/>
        <v>131</v>
      </c>
      <c r="I22" s="325">
        <v>42605.633877314816</v>
      </c>
      <c r="J22" s="325">
        <v>42606.637291666666</v>
      </c>
      <c r="K22" s="629">
        <v>553098</v>
      </c>
      <c r="L22" s="277"/>
      <c r="M22" s="292" t="s">
        <v>466</v>
      </c>
      <c r="N22" s="292" t="s">
        <v>466</v>
      </c>
      <c r="O22" s="292" t="s">
        <v>466</v>
      </c>
    </row>
    <row r="23" spans="1:15" s="292" customFormat="1" ht="14.25" customHeight="1" x14ac:dyDescent="0.2">
      <c r="A23" s="292" t="s">
        <v>305</v>
      </c>
      <c r="B23" s="277" t="s">
        <v>459</v>
      </c>
      <c r="D23" s="610" t="s">
        <v>461</v>
      </c>
      <c r="E23" s="449">
        <v>430</v>
      </c>
      <c r="F23" s="292">
        <v>390.5</v>
      </c>
      <c r="G23" s="277"/>
      <c r="H23" s="324">
        <f t="shared" si="0"/>
        <v>390.5</v>
      </c>
      <c r="I23" s="325">
        <v>42605.646226851852</v>
      </c>
      <c r="J23" s="325">
        <v>42606.121342592596</v>
      </c>
      <c r="K23" s="629">
        <v>553068</v>
      </c>
      <c r="L23" s="277"/>
      <c r="M23" s="292" t="s">
        <v>466</v>
      </c>
      <c r="N23" s="292" t="s">
        <v>466</v>
      </c>
      <c r="O23" s="292" t="s">
        <v>466</v>
      </c>
    </row>
    <row r="24" spans="1:15" s="292" customFormat="1" ht="14.25" customHeight="1" x14ac:dyDescent="0.2">
      <c r="A24" s="292" t="s">
        <v>305</v>
      </c>
      <c r="B24" s="277" t="s">
        <v>459</v>
      </c>
      <c r="D24" s="610" t="s">
        <v>700</v>
      </c>
      <c r="E24" s="449">
        <v>181.65</v>
      </c>
      <c r="F24" s="292">
        <v>419</v>
      </c>
      <c r="G24" s="277"/>
      <c r="H24" s="324">
        <f t="shared" si="0"/>
        <v>419</v>
      </c>
      <c r="I24" s="325">
        <v>42605.6481712963</v>
      </c>
      <c r="J24" s="325">
        <v>42605.648715277777</v>
      </c>
      <c r="K24" s="629">
        <v>551832</v>
      </c>
      <c r="L24" s="277"/>
      <c r="M24" s="292" t="s">
        <v>466</v>
      </c>
      <c r="N24" s="292" t="s">
        <v>466</v>
      </c>
      <c r="O24" s="292" t="s">
        <v>466</v>
      </c>
    </row>
    <row r="25" spans="1:15" s="292" customFormat="1" ht="14.25" customHeight="1" x14ac:dyDescent="0.2">
      <c r="A25" s="292" t="s">
        <v>305</v>
      </c>
      <c r="B25" s="277" t="s">
        <v>459</v>
      </c>
      <c r="D25" s="610" t="s">
        <v>623</v>
      </c>
      <c r="E25" s="449">
        <v>400.24999999999994</v>
      </c>
      <c r="F25" s="292">
        <v>398</v>
      </c>
      <c r="G25" s="277"/>
      <c r="H25" s="324">
        <f t="shared" si="0"/>
        <v>398</v>
      </c>
      <c r="I25" s="325">
        <v>42606.122013888889</v>
      </c>
      <c r="J25" s="325">
        <v>42606.125601851854</v>
      </c>
      <c r="K25" s="629">
        <v>553278</v>
      </c>
      <c r="L25" s="277"/>
      <c r="M25" s="292" t="s">
        <v>466</v>
      </c>
      <c r="N25" s="292" t="s">
        <v>466</v>
      </c>
      <c r="O25" s="292" t="s">
        <v>466</v>
      </c>
    </row>
    <row r="26" spans="1:15" s="292" customFormat="1" ht="14.25" customHeight="1" x14ac:dyDescent="0.2">
      <c r="A26" s="292" t="s">
        <v>305</v>
      </c>
      <c r="B26" s="277" t="s">
        <v>459</v>
      </c>
      <c r="D26" s="610" t="s">
        <v>622</v>
      </c>
      <c r="E26" s="449">
        <v>469.55</v>
      </c>
      <c r="F26" s="292">
        <v>397</v>
      </c>
      <c r="G26" s="277"/>
      <c r="H26" s="324">
        <f t="shared" si="0"/>
        <v>397</v>
      </c>
      <c r="I26" s="325">
        <v>42606.387118055558</v>
      </c>
      <c r="J26" s="325">
        <v>42607.152430555558</v>
      </c>
      <c r="K26" s="629">
        <v>552973</v>
      </c>
      <c r="L26" s="277"/>
      <c r="M26" s="292" t="s">
        <v>466</v>
      </c>
      <c r="N26" s="292" t="s">
        <v>466</v>
      </c>
      <c r="O26" s="292" t="s">
        <v>466</v>
      </c>
    </row>
    <row r="27" spans="1:15" s="292" customFormat="1" ht="14.25" customHeight="1" x14ac:dyDescent="0.2">
      <c r="A27" s="292" t="s">
        <v>305</v>
      </c>
      <c r="B27" s="277" t="s">
        <v>459</v>
      </c>
      <c r="D27" s="610" t="s">
        <v>704</v>
      </c>
      <c r="E27" s="449">
        <v>462.75</v>
      </c>
      <c r="F27" s="292">
        <v>419</v>
      </c>
      <c r="G27" s="277"/>
      <c r="H27" s="324">
        <f t="shared" si="0"/>
        <v>419</v>
      </c>
      <c r="I27" s="325">
        <v>42606.782500000001</v>
      </c>
      <c r="J27" s="325">
        <v>42606.788182870368</v>
      </c>
      <c r="K27" s="629">
        <v>553610</v>
      </c>
      <c r="L27" s="277"/>
      <c r="M27" s="292" t="s">
        <v>466</v>
      </c>
      <c r="N27" s="292" t="s">
        <v>466</v>
      </c>
      <c r="O27" s="292" t="s">
        <v>466</v>
      </c>
    </row>
    <row r="28" spans="1:15" s="292" customFormat="1" ht="14.25" customHeight="1" x14ac:dyDescent="0.2">
      <c r="A28" s="292" t="s">
        <v>305</v>
      </c>
      <c r="B28" s="277" t="s">
        <v>143</v>
      </c>
      <c r="D28" s="610" t="s">
        <v>703</v>
      </c>
      <c r="E28" s="449">
        <v>338.9</v>
      </c>
      <c r="F28" s="292">
        <v>159</v>
      </c>
      <c r="G28" s="277"/>
      <c r="H28" s="324">
        <f t="shared" si="0"/>
        <v>159</v>
      </c>
      <c r="I28" s="325">
        <v>42606.677164351851</v>
      </c>
      <c r="J28" s="325">
        <v>42606.681168981479</v>
      </c>
      <c r="K28" s="629">
        <v>550377</v>
      </c>
      <c r="L28" s="277"/>
      <c r="M28" s="292" t="s">
        <v>466</v>
      </c>
      <c r="N28" s="292" t="s">
        <v>466</v>
      </c>
      <c r="O28" s="292" t="s">
        <v>466</v>
      </c>
    </row>
    <row r="29" spans="1:15" s="292" customFormat="1" ht="14.25" customHeight="1" x14ac:dyDescent="0.2">
      <c r="A29" s="292" t="s">
        <v>305</v>
      </c>
      <c r="B29" s="277" t="s">
        <v>145</v>
      </c>
      <c r="D29" s="610" t="s">
        <v>703</v>
      </c>
      <c r="E29" s="449">
        <v>697.3</v>
      </c>
      <c r="F29" s="292">
        <v>154</v>
      </c>
      <c r="G29" s="277"/>
      <c r="H29" s="324">
        <f t="shared" si="0"/>
        <v>154</v>
      </c>
      <c r="I29" s="325">
        <v>42605.443414351852</v>
      </c>
      <c r="J29" s="325">
        <v>42607.308506944442</v>
      </c>
      <c r="K29" s="629">
        <v>550377</v>
      </c>
      <c r="L29" s="277"/>
      <c r="M29" s="292" t="s">
        <v>466</v>
      </c>
      <c r="N29" s="292" t="s">
        <v>466</v>
      </c>
      <c r="O29" s="292" t="s">
        <v>466</v>
      </c>
    </row>
    <row r="30" spans="1:15" s="292" customFormat="1" ht="14.25" customHeight="1" x14ac:dyDescent="0.2">
      <c r="A30" s="292" t="s">
        <v>305</v>
      </c>
      <c r="B30" s="277" t="s">
        <v>145</v>
      </c>
      <c r="D30" s="610" t="s">
        <v>582</v>
      </c>
      <c r="E30" s="449">
        <v>486.30000000000007</v>
      </c>
      <c r="F30" s="292">
        <v>160</v>
      </c>
      <c r="G30" s="277"/>
      <c r="H30" s="324">
        <f t="shared" si="0"/>
        <v>160</v>
      </c>
      <c r="I30" s="325">
        <v>42605.514768518522</v>
      </c>
      <c r="J30" s="325">
        <v>42607.30909722222</v>
      </c>
      <c r="K30" s="629">
        <v>547342</v>
      </c>
      <c r="L30" s="277"/>
      <c r="M30" s="292" t="s">
        <v>466</v>
      </c>
      <c r="N30" s="292" t="s">
        <v>466</v>
      </c>
      <c r="O30" s="292" t="s">
        <v>466</v>
      </c>
    </row>
    <row r="31" spans="1:15" s="292" customFormat="1" ht="14.25" customHeight="1" x14ac:dyDescent="0.2">
      <c r="A31" s="292" t="s">
        <v>305</v>
      </c>
      <c r="B31" s="277" t="s">
        <v>459</v>
      </c>
      <c r="D31" s="610" t="s">
        <v>707</v>
      </c>
      <c r="E31" s="449">
        <v>91.58</v>
      </c>
      <c r="F31" s="292">
        <v>400</v>
      </c>
      <c r="G31" s="277"/>
      <c r="H31" s="324">
        <f t="shared" si="0"/>
        <v>400</v>
      </c>
      <c r="I31" s="325">
        <v>42605.620497685188</v>
      </c>
      <c r="J31" s="325">
        <v>42606.164085648146</v>
      </c>
      <c r="K31" s="629">
        <v>553567</v>
      </c>
      <c r="L31" s="277"/>
      <c r="M31" s="292" t="s">
        <v>466</v>
      </c>
      <c r="N31" s="292" t="s">
        <v>466</v>
      </c>
      <c r="O31" s="292" t="s">
        <v>466</v>
      </c>
    </row>
    <row r="32" spans="1:15" s="292" customFormat="1" ht="14.25" customHeight="1" x14ac:dyDescent="0.2">
      <c r="A32" s="292" t="s">
        <v>305</v>
      </c>
      <c r="B32" s="277" t="s">
        <v>459</v>
      </c>
      <c r="D32" s="610" t="s">
        <v>495</v>
      </c>
      <c r="E32" s="449">
        <v>167.6</v>
      </c>
      <c r="F32" s="292">
        <v>410</v>
      </c>
      <c r="G32" s="277"/>
      <c r="H32" s="324">
        <f t="shared" si="0"/>
        <v>410</v>
      </c>
      <c r="I32" s="325">
        <v>42606.154988425929</v>
      </c>
      <c r="J32" s="325">
        <v>42606.800983796296</v>
      </c>
      <c r="K32" s="629">
        <v>553796</v>
      </c>
      <c r="L32" s="277"/>
      <c r="M32" s="292" t="s">
        <v>466</v>
      </c>
      <c r="N32" s="292" t="s">
        <v>466</v>
      </c>
      <c r="O32" s="292" t="s">
        <v>466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0"/>
  <sheetViews>
    <sheetView workbookViewId="0">
      <selection activeCell="G23" sqref="G23"/>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642</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719" customFormat="1" ht="14.25" customHeight="1" x14ac:dyDescent="0.2">
      <c r="A6" s="719" t="s">
        <v>305</v>
      </c>
      <c r="B6" s="720" t="s">
        <v>143</v>
      </c>
      <c r="C6" s="719" t="s">
        <v>144</v>
      </c>
      <c r="D6" s="721" t="s">
        <v>541</v>
      </c>
      <c r="E6" s="722">
        <v>341.4</v>
      </c>
      <c r="F6" s="719">
        <v>148</v>
      </c>
      <c r="G6" s="720"/>
      <c r="H6" s="726">
        <f t="shared" ref="H6:H30" si="0">IF(G6="Y",F6/1.2,F6)</f>
        <v>148</v>
      </c>
      <c r="I6" s="723">
        <v>42604.538159722222</v>
      </c>
      <c r="J6" s="723">
        <v>42604.540590277778</v>
      </c>
      <c r="K6" s="724">
        <v>553362</v>
      </c>
      <c r="L6" s="720"/>
      <c r="M6" s="719" t="s">
        <v>466</v>
      </c>
      <c r="N6" s="719" t="s">
        <v>466</v>
      </c>
      <c r="O6" s="719" t="s">
        <v>466</v>
      </c>
    </row>
    <row r="7" spans="1:21" s="292" customFormat="1" ht="14.25" customHeight="1" x14ac:dyDescent="0.2">
      <c r="A7" s="697" t="s">
        <v>305</v>
      </c>
      <c r="B7" s="698" t="s">
        <v>143</v>
      </c>
      <c r="C7" s="697" t="s">
        <v>144</v>
      </c>
      <c r="D7" s="699" t="s">
        <v>639</v>
      </c>
      <c r="E7" s="700">
        <v>624.37</v>
      </c>
      <c r="F7" s="697">
        <v>143</v>
      </c>
      <c r="G7" s="698"/>
      <c r="H7" s="701">
        <f t="shared" si="0"/>
        <v>143</v>
      </c>
      <c r="I7" s="702">
        <v>42604.678935185184</v>
      </c>
      <c r="J7" s="702">
        <v>42604.709606481483</v>
      </c>
      <c r="K7" s="724">
        <v>552862</v>
      </c>
      <c r="L7" s="698"/>
      <c r="M7" s="697" t="s">
        <v>466</v>
      </c>
      <c r="N7" s="697" t="s">
        <v>466</v>
      </c>
      <c r="O7" s="697" t="s">
        <v>466</v>
      </c>
    </row>
    <row r="8" spans="1:21" s="292" customFormat="1" ht="14.25" customHeight="1" x14ac:dyDescent="0.2">
      <c r="A8" s="727" t="s">
        <v>305</v>
      </c>
      <c r="B8" s="728" t="s">
        <v>143</v>
      </c>
      <c r="C8" s="727" t="s">
        <v>144</v>
      </c>
      <c r="D8" s="729" t="s">
        <v>641</v>
      </c>
      <c r="E8" s="730">
        <v>621.90000000000009</v>
      </c>
      <c r="F8" s="727">
        <v>155.5</v>
      </c>
      <c r="G8" s="728"/>
      <c r="H8" s="731">
        <f t="shared" si="0"/>
        <v>155.5</v>
      </c>
      <c r="I8" s="732">
        <v>42604.685868055552</v>
      </c>
      <c r="J8" s="732">
        <v>42604.884155092594</v>
      </c>
      <c r="K8" s="718">
        <v>551438</v>
      </c>
      <c r="L8" s="728"/>
      <c r="M8" s="727" t="s">
        <v>466</v>
      </c>
      <c r="N8" s="727" t="s">
        <v>466</v>
      </c>
      <c r="O8" s="727" t="s">
        <v>466</v>
      </c>
    </row>
    <row r="9" spans="1:21" s="292" customFormat="1" ht="14.25" customHeight="1" x14ac:dyDescent="0.2">
      <c r="A9" s="697" t="s">
        <v>305</v>
      </c>
      <c r="B9" s="698" t="s">
        <v>143</v>
      </c>
      <c r="C9" s="697" t="s">
        <v>144</v>
      </c>
      <c r="D9" s="699" t="s">
        <v>640</v>
      </c>
      <c r="E9" s="700">
        <v>262.05</v>
      </c>
      <c r="F9" s="697">
        <v>149</v>
      </c>
      <c r="G9" s="698"/>
      <c r="H9" s="701">
        <f t="shared" si="0"/>
        <v>149</v>
      </c>
      <c r="I9" s="702">
        <v>42604.880787037036</v>
      </c>
      <c r="J9" s="702">
        <v>42604.8828125</v>
      </c>
      <c r="K9" s="724">
        <v>553450</v>
      </c>
      <c r="L9" s="698"/>
      <c r="M9" s="697" t="s">
        <v>466</v>
      </c>
      <c r="N9" s="697" t="s">
        <v>466</v>
      </c>
      <c r="O9" s="697" t="s">
        <v>466</v>
      </c>
    </row>
    <row r="10" spans="1:21" s="292" customFormat="1" ht="14.25" customHeight="1" x14ac:dyDescent="0.2">
      <c r="A10" s="697" t="s">
        <v>305</v>
      </c>
      <c r="B10" s="698" t="s">
        <v>145</v>
      </c>
      <c r="C10" s="697" t="s">
        <v>144</v>
      </c>
      <c r="D10" s="699" t="s">
        <v>624</v>
      </c>
      <c r="E10" s="700">
        <v>19.38</v>
      </c>
      <c r="F10" s="697">
        <v>145</v>
      </c>
      <c r="G10" s="698"/>
      <c r="H10" s="701">
        <f t="shared" si="0"/>
        <v>145</v>
      </c>
      <c r="I10" s="702">
        <v>42604.375115740739</v>
      </c>
      <c r="J10" s="702">
        <v>42604.375115740739</v>
      </c>
      <c r="K10" s="724">
        <v>553730</v>
      </c>
      <c r="L10" s="698"/>
      <c r="M10" s="697" t="s">
        <v>466</v>
      </c>
      <c r="N10" s="697" t="s">
        <v>466</v>
      </c>
      <c r="O10" s="697" t="s">
        <v>466</v>
      </c>
    </row>
    <row r="11" spans="1:21" s="292" customFormat="1" ht="14.25" customHeight="1" x14ac:dyDescent="0.2">
      <c r="A11" s="697" t="s">
        <v>305</v>
      </c>
      <c r="B11" s="698" t="s">
        <v>145</v>
      </c>
      <c r="C11" s="697" t="s">
        <v>144</v>
      </c>
      <c r="D11" s="699" t="s">
        <v>408</v>
      </c>
      <c r="E11" s="700">
        <v>37.86</v>
      </c>
      <c r="F11" s="697">
        <v>145</v>
      </c>
      <c r="G11" s="698"/>
      <c r="H11" s="701">
        <f t="shared" si="0"/>
        <v>145</v>
      </c>
      <c r="I11" s="702">
        <v>42604.389363425929</v>
      </c>
      <c r="J11" s="702">
        <v>42604.396874999999</v>
      </c>
      <c r="K11" s="724">
        <v>553698</v>
      </c>
      <c r="L11" s="698"/>
      <c r="M11" s="697" t="s">
        <v>466</v>
      </c>
      <c r="N11" s="697" t="s">
        <v>466</v>
      </c>
      <c r="O11" s="697" t="s">
        <v>466</v>
      </c>
    </row>
    <row r="12" spans="1:21" s="292" customFormat="1" ht="14.25" customHeight="1" x14ac:dyDescent="0.2">
      <c r="A12" s="697" t="s">
        <v>305</v>
      </c>
      <c r="B12" s="698" t="s">
        <v>145</v>
      </c>
      <c r="C12" s="697" t="s">
        <v>144</v>
      </c>
      <c r="D12" s="699" t="s">
        <v>464</v>
      </c>
      <c r="E12" s="700">
        <v>23.06</v>
      </c>
      <c r="F12" s="697">
        <v>145</v>
      </c>
      <c r="G12" s="698"/>
      <c r="H12" s="701">
        <f t="shared" si="0"/>
        <v>145</v>
      </c>
      <c r="I12" s="702">
        <v>42604.422094907408</v>
      </c>
      <c r="J12" s="702">
        <v>42604.422094907408</v>
      </c>
      <c r="K12" s="724">
        <v>553731</v>
      </c>
      <c r="L12" s="698"/>
      <c r="M12" s="697" t="s">
        <v>466</v>
      </c>
      <c r="N12" s="697" t="s">
        <v>466</v>
      </c>
      <c r="O12" s="697" t="s">
        <v>466</v>
      </c>
    </row>
    <row r="13" spans="1:21" s="292" customFormat="1" ht="14.25" customHeight="1" x14ac:dyDescent="0.2">
      <c r="A13" s="697" t="s">
        <v>305</v>
      </c>
      <c r="B13" s="698" t="s">
        <v>145</v>
      </c>
      <c r="C13" s="697" t="s">
        <v>144</v>
      </c>
      <c r="D13" s="699" t="s">
        <v>495</v>
      </c>
      <c r="E13" s="700">
        <v>23.24</v>
      </c>
      <c r="F13" s="697">
        <v>134</v>
      </c>
      <c r="G13" s="698"/>
      <c r="H13" s="701">
        <f t="shared" si="0"/>
        <v>134</v>
      </c>
      <c r="I13" s="702">
        <v>42604.719340277778</v>
      </c>
      <c r="J13" s="702">
        <v>42604.719340277778</v>
      </c>
      <c r="K13" s="724">
        <v>552782</v>
      </c>
      <c r="L13" s="698"/>
      <c r="M13" s="697" t="s">
        <v>466</v>
      </c>
      <c r="N13" s="697" t="s">
        <v>466</v>
      </c>
      <c r="O13" s="697" t="s">
        <v>466</v>
      </c>
    </row>
    <row r="14" spans="1:21" s="292" customFormat="1" ht="14.25" customHeight="1" x14ac:dyDescent="0.2">
      <c r="A14" s="697" t="s">
        <v>305</v>
      </c>
      <c r="B14" s="698" t="s">
        <v>145</v>
      </c>
      <c r="C14" s="697" t="s">
        <v>144</v>
      </c>
      <c r="D14" s="699" t="s">
        <v>420</v>
      </c>
      <c r="E14" s="700">
        <v>60.55</v>
      </c>
      <c r="F14" s="697">
        <v>139</v>
      </c>
      <c r="G14" s="698"/>
      <c r="H14" s="701">
        <f t="shared" si="0"/>
        <v>139</v>
      </c>
      <c r="I14" s="702">
        <v>42605.223703703705</v>
      </c>
      <c r="J14" s="702">
        <v>42605.223703703705</v>
      </c>
      <c r="K14" s="724">
        <v>553036</v>
      </c>
      <c r="L14" s="698"/>
      <c r="M14" s="697" t="s">
        <v>466</v>
      </c>
      <c r="N14" s="697" t="s">
        <v>466</v>
      </c>
      <c r="O14" s="697" t="s">
        <v>466</v>
      </c>
    </row>
    <row r="15" spans="1:21" s="292" customFormat="1" ht="14.25" customHeight="1" x14ac:dyDescent="0.2">
      <c r="A15" s="697" t="s">
        <v>305</v>
      </c>
      <c r="B15" s="698" t="s">
        <v>145</v>
      </c>
      <c r="C15" s="697" t="s">
        <v>144</v>
      </c>
      <c r="D15" s="699" t="s">
        <v>631</v>
      </c>
      <c r="E15" s="700">
        <v>480.8</v>
      </c>
      <c r="F15" s="697">
        <v>154</v>
      </c>
      <c r="G15" s="698"/>
      <c r="H15" s="701">
        <f t="shared" si="0"/>
        <v>154</v>
      </c>
      <c r="I15" s="702">
        <v>42605.227546296293</v>
      </c>
      <c r="J15" s="702">
        <v>42605.22928240741</v>
      </c>
      <c r="K15" s="724">
        <v>550377</v>
      </c>
      <c r="L15" s="698"/>
      <c r="M15" s="697" t="s">
        <v>466</v>
      </c>
      <c r="N15" s="697" t="s">
        <v>466</v>
      </c>
      <c r="O15" s="697" t="s">
        <v>466</v>
      </c>
    </row>
    <row r="16" spans="1:21" s="292" customFormat="1" ht="14.25" customHeight="1" x14ac:dyDescent="0.2">
      <c r="A16" s="697" t="s">
        <v>305</v>
      </c>
      <c r="B16" s="698" t="s">
        <v>67</v>
      </c>
      <c r="C16" s="697" t="s">
        <v>144</v>
      </c>
      <c r="D16" s="699" t="s">
        <v>408</v>
      </c>
      <c r="E16" s="700">
        <v>101.66</v>
      </c>
      <c r="F16" s="697">
        <v>138</v>
      </c>
      <c r="G16" s="698"/>
      <c r="H16" s="701">
        <f t="shared" si="0"/>
        <v>138</v>
      </c>
      <c r="I16" s="702">
        <v>42605.161192129628</v>
      </c>
      <c r="J16" s="702">
        <v>42605.200914351852</v>
      </c>
      <c r="K16" s="724">
        <v>553754</v>
      </c>
      <c r="L16" s="698"/>
      <c r="M16" s="697" t="s">
        <v>466</v>
      </c>
      <c r="N16" s="697" t="s">
        <v>466</v>
      </c>
      <c r="O16" s="697" t="s">
        <v>466</v>
      </c>
    </row>
    <row r="17" spans="1:15" s="292" customFormat="1" ht="14.25" customHeight="1" x14ac:dyDescent="0.2">
      <c r="A17" s="697" t="s">
        <v>305</v>
      </c>
      <c r="B17" s="698" t="s">
        <v>459</v>
      </c>
      <c r="C17" s="697" t="s">
        <v>144</v>
      </c>
      <c r="D17" s="699" t="s">
        <v>623</v>
      </c>
      <c r="E17" s="700">
        <v>393.6</v>
      </c>
      <c r="F17" s="697">
        <v>398</v>
      </c>
      <c r="G17" s="698"/>
      <c r="H17" s="701">
        <f t="shared" si="0"/>
        <v>398</v>
      </c>
      <c r="I17" s="702">
        <v>42604.516250000001</v>
      </c>
      <c r="J17" s="702">
        <v>42604.522766203707</v>
      </c>
      <c r="K17" s="724">
        <v>553278</v>
      </c>
      <c r="L17" s="698"/>
      <c r="M17" s="697" t="s">
        <v>466</v>
      </c>
      <c r="N17" s="697" t="s">
        <v>466</v>
      </c>
      <c r="O17" s="697" t="s">
        <v>466</v>
      </c>
    </row>
    <row r="18" spans="1:15" s="292" customFormat="1" ht="14.25" customHeight="1" x14ac:dyDescent="0.2">
      <c r="A18" s="697" t="s">
        <v>305</v>
      </c>
      <c r="B18" s="698" t="s">
        <v>143</v>
      </c>
      <c r="C18" s="697"/>
      <c r="D18" s="699" t="s">
        <v>408</v>
      </c>
      <c r="E18" s="700">
        <v>727.44</v>
      </c>
      <c r="F18" s="697">
        <v>149</v>
      </c>
      <c r="G18" s="698"/>
      <c r="H18" s="701">
        <f t="shared" si="0"/>
        <v>149</v>
      </c>
      <c r="I18" s="702">
        <v>42601.359652777777</v>
      </c>
      <c r="J18" s="702">
        <v>42604.698368055557</v>
      </c>
      <c r="K18" s="703">
        <v>553755</v>
      </c>
      <c r="L18" s="698"/>
      <c r="M18" s="697" t="s">
        <v>466</v>
      </c>
      <c r="N18" s="697" t="s">
        <v>466</v>
      </c>
      <c r="O18" s="697" t="s">
        <v>466</v>
      </c>
    </row>
    <row r="19" spans="1:15" s="292" customFormat="1" ht="14.25" customHeight="1" x14ac:dyDescent="0.2">
      <c r="A19" s="697"/>
      <c r="B19" s="698"/>
      <c r="C19" s="697"/>
      <c r="D19" s="699"/>
      <c r="E19" s="700"/>
      <c r="F19" s="697"/>
      <c r="G19" s="698"/>
      <c r="H19" s="701">
        <f t="shared" si="0"/>
        <v>0</v>
      </c>
      <c r="I19" s="702"/>
      <c r="J19" s="702"/>
      <c r="K19" s="703"/>
      <c r="L19" s="698"/>
      <c r="M19" s="697"/>
      <c r="N19" s="697"/>
      <c r="O19" s="697"/>
    </row>
    <row r="20" spans="1:15" s="292" customFormat="1" ht="14.25" customHeight="1" x14ac:dyDescent="0.2">
      <c r="A20" s="697"/>
      <c r="B20" s="698"/>
      <c r="C20" s="697"/>
      <c r="D20" s="699"/>
      <c r="E20" s="700"/>
      <c r="F20" s="697"/>
      <c r="G20" s="698"/>
      <c r="H20" s="701">
        <f t="shared" si="0"/>
        <v>0</v>
      </c>
      <c r="I20" s="702"/>
      <c r="J20" s="702"/>
      <c r="K20" s="703"/>
      <c r="L20" s="698"/>
      <c r="M20" s="697"/>
      <c r="N20" s="697"/>
      <c r="O20" s="697"/>
    </row>
    <row r="21" spans="1:15" s="292" customFormat="1" ht="14.25" customHeight="1" x14ac:dyDescent="0.2">
      <c r="A21" s="697"/>
      <c r="B21" s="698"/>
      <c r="C21" s="697"/>
      <c r="D21" s="699"/>
      <c r="E21" s="700"/>
      <c r="F21" s="697"/>
      <c r="G21" s="698"/>
      <c r="H21" s="701">
        <f t="shared" si="0"/>
        <v>0</v>
      </c>
      <c r="I21" s="702"/>
      <c r="J21" s="702"/>
      <c r="K21" s="703"/>
      <c r="L21" s="698"/>
      <c r="M21" s="697"/>
      <c r="N21" s="697"/>
      <c r="O21" s="697"/>
    </row>
    <row r="22" spans="1:15" s="292" customFormat="1" ht="14.25" customHeight="1" x14ac:dyDescent="0.2">
      <c r="A22" s="697"/>
      <c r="B22" s="698"/>
      <c r="C22" s="697"/>
      <c r="D22" s="699"/>
      <c r="E22" s="700"/>
      <c r="F22" s="697"/>
      <c r="G22" s="698"/>
      <c r="H22" s="701">
        <f t="shared" si="0"/>
        <v>0</v>
      </c>
      <c r="I22" s="702"/>
      <c r="J22" s="702"/>
      <c r="K22" s="703"/>
      <c r="L22" s="698"/>
      <c r="M22" s="697"/>
      <c r="N22" s="697"/>
      <c r="O22" s="697"/>
    </row>
    <row r="23" spans="1:15" s="292" customFormat="1" ht="14.25" customHeight="1" x14ac:dyDescent="0.2">
      <c r="A23" s="697"/>
      <c r="B23" s="698"/>
      <c r="C23" s="697"/>
      <c r="D23" s="699"/>
      <c r="E23" s="700"/>
      <c r="F23" s="697"/>
      <c r="G23" s="698"/>
      <c r="H23" s="701">
        <f t="shared" si="0"/>
        <v>0</v>
      </c>
      <c r="I23" s="702"/>
      <c r="J23" s="702"/>
      <c r="K23" s="703"/>
      <c r="L23" s="698"/>
      <c r="M23" s="697"/>
      <c r="N23" s="697"/>
      <c r="O23" s="697"/>
    </row>
    <row r="24" spans="1:15" s="292" customFormat="1" ht="14.25" customHeight="1" x14ac:dyDescent="0.2">
      <c r="A24" s="697"/>
      <c r="B24" s="698"/>
      <c r="C24" s="697"/>
      <c r="D24" s="699"/>
      <c r="E24" s="700"/>
      <c r="F24" s="697"/>
      <c r="G24" s="698"/>
      <c r="H24" s="701">
        <f t="shared" si="0"/>
        <v>0</v>
      </c>
      <c r="I24" s="702"/>
      <c r="J24" s="702"/>
      <c r="K24" s="703"/>
      <c r="L24" s="698"/>
      <c r="M24" s="697"/>
      <c r="N24" s="697"/>
      <c r="O24" s="697"/>
    </row>
    <row r="25" spans="1:15" s="292" customFormat="1" ht="14.25" customHeight="1" x14ac:dyDescent="0.2">
      <c r="A25" s="697"/>
      <c r="B25" s="698"/>
      <c r="C25" s="697"/>
      <c r="D25" s="699"/>
      <c r="E25" s="700"/>
      <c r="F25" s="697"/>
      <c r="G25" s="698"/>
      <c r="H25" s="701">
        <f t="shared" si="0"/>
        <v>0</v>
      </c>
      <c r="I25" s="702"/>
      <c r="J25" s="702"/>
      <c r="K25" s="703"/>
      <c r="L25" s="698"/>
      <c r="M25" s="697"/>
      <c r="N25" s="697"/>
      <c r="O25" s="697"/>
    </row>
    <row r="26" spans="1:15" s="292" customFormat="1" ht="14.25" x14ac:dyDescent="0.2">
      <c r="A26" s="697"/>
      <c r="B26" s="698"/>
      <c r="C26" s="697"/>
      <c r="D26" s="699"/>
      <c r="E26" s="700"/>
      <c r="F26" s="697"/>
      <c r="G26" s="698"/>
      <c r="H26" s="701">
        <f t="shared" si="0"/>
        <v>0</v>
      </c>
      <c r="I26" s="702"/>
      <c r="J26" s="702"/>
      <c r="K26" s="703"/>
      <c r="L26" s="698"/>
      <c r="M26" s="697"/>
      <c r="N26" s="697"/>
      <c r="O26" s="697"/>
    </row>
    <row r="27" spans="1:15" s="292" customFormat="1" ht="14.25" x14ac:dyDescent="0.2">
      <c r="A27" s="697"/>
      <c r="B27" s="698"/>
      <c r="C27" s="697"/>
      <c r="D27" s="699"/>
      <c r="E27" s="700"/>
      <c r="F27" s="697"/>
      <c r="G27" s="698"/>
      <c r="H27" s="701">
        <f t="shared" si="0"/>
        <v>0</v>
      </c>
      <c r="I27" s="702"/>
      <c r="J27" s="702"/>
      <c r="K27" s="703"/>
      <c r="L27" s="698"/>
      <c r="M27" s="697"/>
      <c r="N27" s="697"/>
      <c r="O27" s="697"/>
    </row>
    <row r="28" spans="1:15" s="292" customFormat="1" ht="16.5" customHeight="1" x14ac:dyDescent="0.2">
      <c r="A28" s="697"/>
      <c r="B28" s="698"/>
      <c r="C28" s="697"/>
      <c r="D28" s="699"/>
      <c r="E28" s="700"/>
      <c r="F28" s="697"/>
      <c r="G28" s="698"/>
      <c r="H28" s="701">
        <f t="shared" si="0"/>
        <v>0</v>
      </c>
      <c r="I28" s="702"/>
      <c r="J28" s="702"/>
      <c r="K28" s="703"/>
      <c r="L28" s="698"/>
      <c r="M28" s="697"/>
      <c r="N28" s="697"/>
      <c r="O28" s="697"/>
    </row>
    <row r="29" spans="1:15" s="292" customFormat="1" ht="16.5" customHeight="1" x14ac:dyDescent="0.2">
      <c r="A29" s="697"/>
      <c r="B29" s="698"/>
      <c r="C29" s="697"/>
      <c r="D29" s="699"/>
      <c r="E29" s="700"/>
      <c r="F29" s="697"/>
      <c r="G29" s="698"/>
      <c r="H29" s="701">
        <f t="shared" si="0"/>
        <v>0</v>
      </c>
      <c r="I29" s="702"/>
      <c r="J29" s="702"/>
      <c r="K29" s="703"/>
      <c r="L29" s="698"/>
      <c r="M29" s="697"/>
      <c r="N29" s="697"/>
      <c r="O29" s="697"/>
    </row>
    <row r="30" spans="1:15" s="292" customFormat="1" ht="16.5" customHeight="1" x14ac:dyDescent="0.2">
      <c r="A30" s="697"/>
      <c r="B30" s="698"/>
      <c r="C30" s="697"/>
      <c r="D30" s="699"/>
      <c r="E30" s="700"/>
      <c r="F30" s="697"/>
      <c r="G30" s="698"/>
      <c r="H30" s="701">
        <f t="shared" si="0"/>
        <v>0</v>
      </c>
      <c r="I30" s="702"/>
      <c r="J30" s="702"/>
      <c r="K30" s="703"/>
      <c r="L30" s="698"/>
      <c r="M30" s="697"/>
      <c r="N30" s="697"/>
      <c r="O30" s="6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3"/>
  <sheetViews>
    <sheetView workbookViewId="0">
      <selection activeCell="D21" sqref="D21"/>
    </sheetView>
  </sheetViews>
  <sheetFormatPr defaultRowHeight="12.75" x14ac:dyDescent="0.2"/>
  <cols>
    <col min="1" max="1" width="13" customWidth="1"/>
    <col min="2" max="2" width="24" customWidth="1"/>
    <col min="3" max="3" width="9.7109375" customWidth="1"/>
    <col min="4" max="4" width="30.710937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540</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712" customFormat="1" ht="14.25" customHeight="1" x14ac:dyDescent="0.2">
      <c r="A6" s="712" t="s">
        <v>305</v>
      </c>
      <c r="B6" s="713" t="s">
        <v>143</v>
      </c>
      <c r="D6" s="714" t="s">
        <v>408</v>
      </c>
      <c r="E6" s="715">
        <v>703.62000000000012</v>
      </c>
      <c r="F6" s="712">
        <v>149</v>
      </c>
      <c r="G6" s="713"/>
      <c r="H6" s="716">
        <f t="shared" ref="H6:H33" si="0">IF(G6="Y",F6/1.2,F6)</f>
        <v>149</v>
      </c>
      <c r="I6" s="717">
        <v>42601.359652777777</v>
      </c>
      <c r="J6" s="717">
        <v>42604.176018518519</v>
      </c>
      <c r="K6" s="718">
        <v>553592</v>
      </c>
      <c r="L6" s="713"/>
      <c r="M6" s="712" t="s">
        <v>466</v>
      </c>
      <c r="N6" s="712" t="s">
        <v>466</v>
      </c>
      <c r="O6" s="712" t="s">
        <v>466</v>
      </c>
    </row>
    <row r="7" spans="1:21" s="292" customFormat="1" ht="14.25" customHeight="1" x14ac:dyDescent="0.2">
      <c r="A7" s="697" t="s">
        <v>305</v>
      </c>
      <c r="B7" s="698" t="s">
        <v>143</v>
      </c>
      <c r="C7" s="697"/>
      <c r="D7" s="699" t="s">
        <v>465</v>
      </c>
      <c r="E7" s="700">
        <v>250.98999999999998</v>
      </c>
      <c r="F7" s="697">
        <v>146</v>
      </c>
      <c r="G7" s="698"/>
      <c r="H7" s="701">
        <f t="shared" si="0"/>
        <v>146</v>
      </c>
      <c r="I7" s="702">
        <v>42601.479490740741</v>
      </c>
      <c r="J7" s="702">
        <v>42603.888240740744</v>
      </c>
      <c r="K7" s="703">
        <v>553448</v>
      </c>
      <c r="L7" s="698"/>
      <c r="M7" s="697" t="s">
        <v>466</v>
      </c>
      <c r="N7" s="697" t="s">
        <v>466</v>
      </c>
      <c r="O7" s="697" t="s">
        <v>466</v>
      </c>
    </row>
    <row r="8" spans="1:21" s="292" customFormat="1" ht="14.25" customHeight="1" x14ac:dyDescent="0.2">
      <c r="A8" s="697" t="s">
        <v>305</v>
      </c>
      <c r="B8" s="698" t="s">
        <v>143</v>
      </c>
      <c r="C8" s="697"/>
      <c r="D8" s="699" t="s">
        <v>464</v>
      </c>
      <c r="E8" s="700">
        <v>24.82</v>
      </c>
      <c r="F8" s="697">
        <v>148</v>
      </c>
      <c r="G8" s="698"/>
      <c r="H8" s="701">
        <f t="shared" si="0"/>
        <v>148</v>
      </c>
      <c r="I8" s="702">
        <v>42601.790219907409</v>
      </c>
      <c r="J8" s="702">
        <v>42601.790219907409</v>
      </c>
      <c r="K8" s="703">
        <v>553409</v>
      </c>
      <c r="L8" s="698"/>
      <c r="M8" s="697" t="s">
        <v>466</v>
      </c>
      <c r="N8" s="697" t="s">
        <v>466</v>
      </c>
      <c r="O8" s="697" t="s">
        <v>466</v>
      </c>
    </row>
    <row r="9" spans="1:21" s="292" customFormat="1" ht="14.25" customHeight="1" x14ac:dyDescent="0.2">
      <c r="A9" s="697" t="s">
        <v>305</v>
      </c>
      <c r="B9" s="698" t="s">
        <v>143</v>
      </c>
      <c r="C9" s="697"/>
      <c r="D9" s="699" t="s">
        <v>462</v>
      </c>
      <c r="E9" s="700">
        <v>156.54</v>
      </c>
      <c r="F9" s="697">
        <v>148</v>
      </c>
      <c r="G9" s="698"/>
      <c r="H9" s="701">
        <f t="shared" si="0"/>
        <v>148</v>
      </c>
      <c r="I9" s="702">
        <v>42601.851469907408</v>
      </c>
      <c r="J9" s="702">
        <v>42604.169166666667</v>
      </c>
      <c r="K9" s="703">
        <v>553407</v>
      </c>
      <c r="L9" s="698"/>
      <c r="M9" s="697" t="s">
        <v>466</v>
      </c>
      <c r="N9" s="697" t="s">
        <v>466</v>
      </c>
      <c r="O9" s="697" t="s">
        <v>466</v>
      </c>
    </row>
    <row r="10" spans="1:21" s="292" customFormat="1" ht="14.25" customHeight="1" x14ac:dyDescent="0.2">
      <c r="A10" s="697" t="s">
        <v>305</v>
      </c>
      <c r="B10" s="698" t="s">
        <v>143</v>
      </c>
      <c r="C10" s="697"/>
      <c r="D10" s="699" t="s">
        <v>495</v>
      </c>
      <c r="E10" s="700">
        <v>478.04</v>
      </c>
      <c r="F10" s="697">
        <v>142</v>
      </c>
      <c r="G10" s="698"/>
      <c r="H10" s="701">
        <f t="shared" si="0"/>
        <v>142</v>
      </c>
      <c r="I10" s="702">
        <v>42601.449502314812</v>
      </c>
      <c r="J10" s="702">
        <v>42604.155231481483</v>
      </c>
      <c r="K10" s="703">
        <v>552936</v>
      </c>
      <c r="L10" s="698"/>
      <c r="M10" s="697" t="s">
        <v>466</v>
      </c>
      <c r="N10" s="697" t="s">
        <v>466</v>
      </c>
      <c r="O10" s="697" t="s">
        <v>466</v>
      </c>
    </row>
    <row r="11" spans="1:21" s="292" customFormat="1" ht="14.25" customHeight="1" x14ac:dyDescent="0.2">
      <c r="A11" s="697" t="s">
        <v>305</v>
      </c>
      <c r="B11" s="698" t="s">
        <v>145</v>
      </c>
      <c r="C11" s="697"/>
      <c r="D11" s="699" t="s">
        <v>619</v>
      </c>
      <c r="E11" s="700">
        <v>608.69999999999993</v>
      </c>
      <c r="F11" s="697">
        <v>146</v>
      </c>
      <c r="G11" s="698"/>
      <c r="H11" s="701">
        <f t="shared" si="0"/>
        <v>146</v>
      </c>
      <c r="I11" s="702">
        <v>42601.475821759261</v>
      </c>
      <c r="J11" s="702">
        <v>42603.386157407411</v>
      </c>
      <c r="K11" s="703">
        <v>551127</v>
      </c>
      <c r="L11" s="698"/>
      <c r="M11" s="697" t="s">
        <v>466</v>
      </c>
      <c r="N11" s="697" t="s">
        <v>466</v>
      </c>
      <c r="O11" s="697" t="s">
        <v>466</v>
      </c>
    </row>
    <row r="12" spans="1:21" s="292" customFormat="1" ht="14.25" customHeight="1" x14ac:dyDescent="0.2">
      <c r="A12" s="697" t="s">
        <v>305</v>
      </c>
      <c r="B12" s="698" t="s">
        <v>145</v>
      </c>
      <c r="C12" s="697"/>
      <c r="D12" s="699" t="s">
        <v>462</v>
      </c>
      <c r="E12" s="700">
        <v>67.460000000000008</v>
      </c>
      <c r="F12" s="697">
        <v>145</v>
      </c>
      <c r="G12" s="698"/>
      <c r="H12" s="701">
        <f t="shared" si="0"/>
        <v>145</v>
      </c>
      <c r="I12" s="702">
        <v>42601.491388888891</v>
      </c>
      <c r="J12" s="702">
        <v>42601.613333333335</v>
      </c>
      <c r="K12" s="703">
        <v>553729</v>
      </c>
      <c r="L12" s="698"/>
      <c r="M12" s="697" t="s">
        <v>466</v>
      </c>
      <c r="N12" s="697" t="s">
        <v>466</v>
      </c>
      <c r="O12" s="697" t="s">
        <v>466</v>
      </c>
    </row>
    <row r="13" spans="1:21" s="292" customFormat="1" ht="14.25" customHeight="1" x14ac:dyDescent="0.2">
      <c r="A13" s="697" t="s">
        <v>305</v>
      </c>
      <c r="B13" s="698" t="s">
        <v>145</v>
      </c>
      <c r="C13" s="697"/>
      <c r="D13" s="699" t="s">
        <v>419</v>
      </c>
      <c r="E13" s="700">
        <v>29.62</v>
      </c>
      <c r="F13" s="697">
        <v>143</v>
      </c>
      <c r="G13" s="698"/>
      <c r="H13" s="701">
        <f t="shared" si="0"/>
        <v>143</v>
      </c>
      <c r="I13" s="702">
        <v>42601.503530092596</v>
      </c>
      <c r="J13" s="702">
        <v>42601.509618055556</v>
      </c>
      <c r="K13" s="703">
        <v>553495</v>
      </c>
      <c r="L13" s="698"/>
      <c r="M13" s="697" t="s">
        <v>466</v>
      </c>
      <c r="N13" s="697" t="s">
        <v>466</v>
      </c>
      <c r="O13" s="697" t="s">
        <v>466</v>
      </c>
    </row>
    <row r="14" spans="1:21" s="292" customFormat="1" ht="14.25" customHeight="1" x14ac:dyDescent="0.2">
      <c r="A14" s="697" t="s">
        <v>305</v>
      </c>
      <c r="B14" s="698" t="s">
        <v>145</v>
      </c>
      <c r="C14" s="697"/>
      <c r="D14" s="699" t="s">
        <v>464</v>
      </c>
      <c r="E14" s="700">
        <v>69.600000000000009</v>
      </c>
      <c r="F14" s="697">
        <v>143</v>
      </c>
      <c r="G14" s="698"/>
      <c r="H14" s="701">
        <f t="shared" si="0"/>
        <v>143</v>
      </c>
      <c r="I14" s="702">
        <v>42601.59784722222</v>
      </c>
      <c r="J14" s="702">
        <v>42601.688460648147</v>
      </c>
      <c r="K14" s="703">
        <v>553413</v>
      </c>
      <c r="L14" s="698"/>
      <c r="M14" s="697" t="s">
        <v>466</v>
      </c>
      <c r="N14" s="697" t="s">
        <v>466</v>
      </c>
      <c r="O14" s="697" t="s">
        <v>466</v>
      </c>
    </row>
    <row r="15" spans="1:21" s="292" customFormat="1" ht="14.25" customHeight="1" x14ac:dyDescent="0.2">
      <c r="A15" s="697" t="s">
        <v>305</v>
      </c>
      <c r="B15" s="698" t="s">
        <v>145</v>
      </c>
      <c r="C15" s="697"/>
      <c r="D15" s="699" t="s">
        <v>408</v>
      </c>
      <c r="E15" s="700">
        <v>107.56</v>
      </c>
      <c r="F15" s="697">
        <v>145</v>
      </c>
      <c r="G15" s="698"/>
      <c r="H15" s="701">
        <f t="shared" si="0"/>
        <v>145</v>
      </c>
      <c r="I15" s="702">
        <v>42601.620173611111</v>
      </c>
      <c r="J15" s="702">
        <v>42604.190405092595</v>
      </c>
      <c r="K15" s="703">
        <v>553698</v>
      </c>
      <c r="L15" s="698"/>
      <c r="M15" s="697" t="s">
        <v>466</v>
      </c>
      <c r="N15" s="697" t="s">
        <v>466</v>
      </c>
      <c r="O15" s="697" t="s">
        <v>466</v>
      </c>
    </row>
    <row r="16" spans="1:21" s="292" customFormat="1" ht="14.25" customHeight="1" x14ac:dyDescent="0.2">
      <c r="A16" s="697" t="s">
        <v>305</v>
      </c>
      <c r="B16" s="698" t="s">
        <v>145</v>
      </c>
      <c r="C16" s="697"/>
      <c r="D16" s="699" t="s">
        <v>460</v>
      </c>
      <c r="E16" s="700">
        <v>60.980000000000004</v>
      </c>
      <c r="F16" s="697">
        <v>144</v>
      </c>
      <c r="G16" s="698"/>
      <c r="H16" s="701">
        <f t="shared" si="0"/>
        <v>144</v>
      </c>
      <c r="I16" s="702">
        <v>42602.106712962966</v>
      </c>
      <c r="J16" s="702">
        <v>42602.12599537037</v>
      </c>
      <c r="K16" s="703">
        <v>553695</v>
      </c>
      <c r="L16" s="698"/>
      <c r="M16" s="697" t="s">
        <v>466</v>
      </c>
      <c r="N16" s="697" t="s">
        <v>466</v>
      </c>
      <c r="O16" s="697" t="s">
        <v>466</v>
      </c>
    </row>
    <row r="17" spans="1:15" s="292" customFormat="1" ht="14.25" customHeight="1" x14ac:dyDescent="0.2">
      <c r="A17" s="697" t="s">
        <v>305</v>
      </c>
      <c r="B17" s="698" t="s">
        <v>145</v>
      </c>
      <c r="C17" s="697"/>
      <c r="D17" s="699" t="s">
        <v>495</v>
      </c>
      <c r="E17" s="700">
        <v>101.20000000000002</v>
      </c>
      <c r="F17" s="697">
        <v>134</v>
      </c>
      <c r="G17" s="698"/>
      <c r="H17" s="701">
        <f t="shared" si="0"/>
        <v>134</v>
      </c>
      <c r="I17" s="702">
        <v>42601.857743055552</v>
      </c>
      <c r="J17" s="702">
        <v>42603.437152777777</v>
      </c>
      <c r="K17" s="703">
        <v>552782</v>
      </c>
      <c r="L17" s="698"/>
      <c r="M17" s="697" t="s">
        <v>466</v>
      </c>
      <c r="N17" s="697" t="s">
        <v>466</v>
      </c>
      <c r="O17" s="697" t="s">
        <v>466</v>
      </c>
    </row>
    <row r="18" spans="1:15" s="292" customFormat="1" ht="14.25" customHeight="1" x14ac:dyDescent="0.2">
      <c r="A18" s="697" t="s">
        <v>305</v>
      </c>
      <c r="B18" s="698" t="s">
        <v>145</v>
      </c>
      <c r="C18" s="697"/>
      <c r="D18" s="699" t="s">
        <v>420</v>
      </c>
      <c r="E18" s="700">
        <v>610.1</v>
      </c>
      <c r="F18" s="697">
        <v>139</v>
      </c>
      <c r="G18" s="698"/>
      <c r="H18" s="701">
        <f t="shared" si="0"/>
        <v>139</v>
      </c>
      <c r="I18" s="702">
        <v>42603.229212962964</v>
      </c>
      <c r="J18" s="702">
        <v>42603.731956018521</v>
      </c>
      <c r="K18" s="703">
        <v>553036</v>
      </c>
      <c r="L18" s="698"/>
      <c r="M18" s="697" t="s">
        <v>466</v>
      </c>
      <c r="N18" s="697" t="s">
        <v>466</v>
      </c>
      <c r="O18" s="697" t="s">
        <v>466</v>
      </c>
    </row>
    <row r="19" spans="1:15" s="292" customFormat="1" ht="14.25" customHeight="1" x14ac:dyDescent="0.2">
      <c r="A19" s="697" t="s">
        <v>305</v>
      </c>
      <c r="B19" s="698" t="s">
        <v>145</v>
      </c>
      <c r="C19" s="697"/>
      <c r="D19" s="699" t="s">
        <v>621</v>
      </c>
      <c r="E19" s="700">
        <v>479.45000000000005</v>
      </c>
      <c r="F19" s="697">
        <v>137</v>
      </c>
      <c r="G19" s="698"/>
      <c r="H19" s="701">
        <f t="shared" si="0"/>
        <v>137</v>
      </c>
      <c r="I19" s="702">
        <v>42603.730821759258</v>
      </c>
      <c r="J19" s="702">
        <v>42603.88616898148</v>
      </c>
      <c r="K19" s="703">
        <v>552518</v>
      </c>
      <c r="L19" s="698"/>
      <c r="M19" s="697" t="s">
        <v>466</v>
      </c>
      <c r="N19" s="697" t="s">
        <v>466</v>
      </c>
      <c r="O19" s="697" t="s">
        <v>466</v>
      </c>
    </row>
    <row r="20" spans="1:15" s="292" customFormat="1" ht="14.25" customHeight="1" x14ac:dyDescent="0.2">
      <c r="A20" s="697" t="s">
        <v>305</v>
      </c>
      <c r="B20" s="698" t="s">
        <v>459</v>
      </c>
      <c r="C20" s="697"/>
      <c r="D20" s="699" t="s">
        <v>622</v>
      </c>
      <c r="E20" s="700">
        <v>231.15</v>
      </c>
      <c r="F20" s="697">
        <v>397</v>
      </c>
      <c r="G20" s="698"/>
      <c r="H20" s="701">
        <f t="shared" si="0"/>
        <v>397</v>
      </c>
      <c r="I20" s="702">
        <v>42602.174467592595</v>
      </c>
      <c r="J20" s="702">
        <v>42602.176805555559</v>
      </c>
      <c r="K20" s="703">
        <v>552973</v>
      </c>
      <c r="L20" s="698"/>
      <c r="M20" s="697" t="s">
        <v>466</v>
      </c>
      <c r="N20" s="697" t="s">
        <v>466</v>
      </c>
      <c r="O20" s="697" t="s">
        <v>466</v>
      </c>
    </row>
    <row r="21" spans="1:15" s="292" customFormat="1" ht="14.25" customHeight="1" x14ac:dyDescent="0.2">
      <c r="A21" s="697" t="s">
        <v>305</v>
      </c>
      <c r="B21" s="698" t="s">
        <v>459</v>
      </c>
      <c r="C21" s="697"/>
      <c r="D21" s="699" t="s">
        <v>623</v>
      </c>
      <c r="E21" s="700">
        <v>806.59999999999991</v>
      </c>
      <c r="F21" s="697">
        <v>398</v>
      </c>
      <c r="G21" s="698"/>
      <c r="H21" s="701">
        <f t="shared" si="0"/>
        <v>398</v>
      </c>
      <c r="I21" s="702">
        <v>42602.177523148152</v>
      </c>
      <c r="J21" s="702">
        <v>42603.3905787037</v>
      </c>
      <c r="K21" s="703">
        <v>553278</v>
      </c>
      <c r="L21" s="698"/>
      <c r="M21" s="697" t="s">
        <v>466</v>
      </c>
      <c r="N21" s="697" t="s">
        <v>466</v>
      </c>
      <c r="O21" s="697" t="s">
        <v>466</v>
      </c>
    </row>
    <row r="22" spans="1:15" s="292" customFormat="1" ht="14.25" customHeight="1" x14ac:dyDescent="0.2">
      <c r="A22" s="697" t="s">
        <v>305</v>
      </c>
      <c r="B22" s="698" t="s">
        <v>459</v>
      </c>
      <c r="C22" s="697"/>
      <c r="D22" s="699" t="s">
        <v>461</v>
      </c>
      <c r="E22" s="700">
        <v>245.6</v>
      </c>
      <c r="F22" s="697">
        <v>390.5</v>
      </c>
      <c r="G22" s="698"/>
      <c r="H22" s="701">
        <f t="shared" si="0"/>
        <v>390.5</v>
      </c>
      <c r="I22" s="702">
        <v>42602.466307870367</v>
      </c>
      <c r="J22" s="702">
        <v>42603.474097222221</v>
      </c>
      <c r="K22" s="703">
        <v>553068</v>
      </c>
      <c r="L22" s="698"/>
      <c r="M22" s="697" t="s">
        <v>466</v>
      </c>
      <c r="N22" s="697" t="s">
        <v>466</v>
      </c>
      <c r="O22" s="697" t="s">
        <v>466</v>
      </c>
    </row>
    <row r="23" spans="1:15" s="292" customFormat="1" ht="14.25" customHeight="1" x14ac:dyDescent="0.2">
      <c r="A23" s="697" t="s">
        <v>305</v>
      </c>
      <c r="B23" s="698" t="s">
        <v>459</v>
      </c>
      <c r="C23" s="697"/>
      <c r="D23" s="699" t="s">
        <v>620</v>
      </c>
      <c r="E23" s="700">
        <v>125</v>
      </c>
      <c r="F23" s="697">
        <v>419</v>
      </c>
      <c r="G23" s="698"/>
      <c r="H23" s="701">
        <f t="shared" si="0"/>
        <v>419</v>
      </c>
      <c r="I23" s="702">
        <v>42603.474861111114</v>
      </c>
      <c r="J23" s="702">
        <v>42603.475798611114</v>
      </c>
      <c r="K23" s="703">
        <v>551831</v>
      </c>
      <c r="L23" s="698"/>
      <c r="M23" s="697" t="s">
        <v>466</v>
      </c>
      <c r="N23" s="697" t="s">
        <v>466</v>
      </c>
      <c r="O23" s="697" t="s">
        <v>466</v>
      </c>
    </row>
    <row r="24" spans="1:15" s="292" customFormat="1" ht="14.25" customHeight="1" x14ac:dyDescent="0.2">
      <c r="A24" s="697" t="s">
        <v>305</v>
      </c>
      <c r="B24" s="698" t="s">
        <v>459</v>
      </c>
      <c r="C24" s="697"/>
      <c r="D24" s="699" t="s">
        <v>626</v>
      </c>
      <c r="E24" s="700">
        <v>61.3</v>
      </c>
      <c r="F24" s="697">
        <v>419</v>
      </c>
      <c r="G24" s="698"/>
      <c r="H24" s="701">
        <f t="shared" si="0"/>
        <v>419</v>
      </c>
      <c r="I24" s="702">
        <v>42603.476481481484</v>
      </c>
      <c r="J24" s="702">
        <v>42603.476481481484</v>
      </c>
      <c r="K24" s="703">
        <v>551832</v>
      </c>
      <c r="L24" s="698"/>
      <c r="M24" s="697" t="s">
        <v>466</v>
      </c>
      <c r="N24" s="697" t="s">
        <v>466</v>
      </c>
      <c r="O24" s="697" t="s">
        <v>466</v>
      </c>
    </row>
    <row r="25" spans="1:15" s="292" customFormat="1" ht="14.25" customHeight="1" x14ac:dyDescent="0.2">
      <c r="A25" s="697" t="s">
        <v>305</v>
      </c>
      <c r="B25" s="698" t="s">
        <v>67</v>
      </c>
      <c r="C25" s="697"/>
      <c r="D25" s="699" t="s">
        <v>625</v>
      </c>
      <c r="E25" s="700">
        <v>1062.75</v>
      </c>
      <c r="F25" s="697">
        <v>136</v>
      </c>
      <c r="G25" s="698"/>
      <c r="H25" s="701">
        <f t="shared" si="0"/>
        <v>136</v>
      </c>
      <c r="I25" s="702">
        <v>42601.753437500003</v>
      </c>
      <c r="J25" s="702">
        <v>42603.958680555559</v>
      </c>
      <c r="K25" s="703">
        <v>553204</v>
      </c>
      <c r="L25" s="698"/>
      <c r="M25" s="697" t="s">
        <v>466</v>
      </c>
      <c r="N25" s="697" t="s">
        <v>466</v>
      </c>
      <c r="O25" s="697" t="s">
        <v>466</v>
      </c>
    </row>
    <row r="26" spans="1:15" s="292" customFormat="1" ht="14.25" customHeight="1" x14ac:dyDescent="0.2">
      <c r="A26" s="697" t="s">
        <v>305</v>
      </c>
      <c r="B26" s="698" t="s">
        <v>459</v>
      </c>
      <c r="C26" s="697"/>
      <c r="D26" s="699" t="s">
        <v>495</v>
      </c>
      <c r="E26" s="700">
        <v>66.14</v>
      </c>
      <c r="F26" s="697">
        <v>400</v>
      </c>
      <c r="G26" s="698"/>
      <c r="H26" s="701">
        <f t="shared" si="0"/>
        <v>400</v>
      </c>
      <c r="I26" s="702">
        <v>42602.209305555552</v>
      </c>
      <c r="J26" s="702">
        <v>42602.605358796296</v>
      </c>
      <c r="K26" s="703">
        <v>553567</v>
      </c>
      <c r="L26" s="698"/>
      <c r="M26" s="697" t="s">
        <v>466</v>
      </c>
      <c r="N26" s="697" t="s">
        <v>466</v>
      </c>
      <c r="O26" s="697" t="s">
        <v>466</v>
      </c>
    </row>
    <row r="27" spans="1:15" s="292" customFormat="1" ht="14.25" customHeight="1" x14ac:dyDescent="0.2">
      <c r="A27" s="697" t="s">
        <v>305</v>
      </c>
      <c r="B27" s="698" t="s">
        <v>143</v>
      </c>
      <c r="C27" s="697"/>
      <c r="D27" s="699" t="s">
        <v>541</v>
      </c>
      <c r="E27" s="700">
        <v>987.88</v>
      </c>
      <c r="F27" s="697">
        <v>148</v>
      </c>
      <c r="G27" s="698"/>
      <c r="H27" s="701">
        <f t="shared" si="0"/>
        <v>148</v>
      </c>
      <c r="I27" s="702">
        <v>42602.168807870374</v>
      </c>
      <c r="J27" s="702">
        <v>42603.491076388891</v>
      </c>
      <c r="K27" s="703">
        <v>553362</v>
      </c>
      <c r="L27" s="698"/>
      <c r="M27" s="697" t="s">
        <v>466</v>
      </c>
      <c r="N27" s="697" t="s">
        <v>466</v>
      </c>
      <c r="O27" s="697" t="s">
        <v>466</v>
      </c>
    </row>
    <row r="28" spans="1:15" s="292" customFormat="1" ht="14.25" customHeight="1" x14ac:dyDescent="0.2">
      <c r="A28" s="697" t="s">
        <v>305</v>
      </c>
      <c r="B28" s="698" t="s">
        <v>67</v>
      </c>
      <c r="C28" s="697"/>
      <c r="D28" s="699" t="s">
        <v>541</v>
      </c>
      <c r="E28" s="700">
        <v>146.25</v>
      </c>
      <c r="F28" s="697">
        <v>131</v>
      </c>
      <c r="G28" s="698"/>
      <c r="H28" s="701">
        <f t="shared" si="0"/>
        <v>131</v>
      </c>
      <c r="I28" s="702">
        <v>42603.408009259256</v>
      </c>
      <c r="J28" s="702">
        <v>42603.727384259262</v>
      </c>
      <c r="K28" s="703">
        <v>553098</v>
      </c>
      <c r="L28" s="698"/>
      <c r="M28" s="697" t="s">
        <v>466</v>
      </c>
      <c r="N28" s="697" t="s">
        <v>466</v>
      </c>
      <c r="O28" s="697" t="s">
        <v>466</v>
      </c>
    </row>
    <row r="29" spans="1:15" s="292" customFormat="1" ht="14.25" x14ac:dyDescent="0.2">
      <c r="A29" s="697" t="s">
        <v>305</v>
      </c>
      <c r="B29" s="698" t="s">
        <v>145</v>
      </c>
      <c r="C29" s="697"/>
      <c r="D29" s="699" t="s">
        <v>582</v>
      </c>
      <c r="E29" s="700">
        <v>1037.05</v>
      </c>
      <c r="F29" s="697">
        <v>160</v>
      </c>
      <c r="G29" s="698"/>
      <c r="H29" s="701">
        <f t="shared" si="0"/>
        <v>160</v>
      </c>
      <c r="I29" s="702">
        <v>42601.476458333331</v>
      </c>
      <c r="J29" s="702">
        <v>42603.486631944441</v>
      </c>
      <c r="K29" s="703">
        <v>547342</v>
      </c>
      <c r="L29" s="698"/>
      <c r="M29" s="697" t="s">
        <v>466</v>
      </c>
      <c r="N29" s="697" t="s">
        <v>466</v>
      </c>
      <c r="O29" s="697" t="s">
        <v>466</v>
      </c>
    </row>
    <row r="30" spans="1:15" s="292" customFormat="1" ht="14.25" x14ac:dyDescent="0.2">
      <c r="A30" s="697" t="s">
        <v>305</v>
      </c>
      <c r="B30" s="698" t="s">
        <v>145</v>
      </c>
      <c r="C30" s="697"/>
      <c r="D30" s="699" t="s">
        <v>624</v>
      </c>
      <c r="E30" s="700">
        <v>305.93999999999994</v>
      </c>
      <c r="F30" s="697">
        <v>143</v>
      </c>
      <c r="G30" s="698"/>
      <c r="H30" s="701">
        <f t="shared" si="0"/>
        <v>143</v>
      </c>
      <c r="I30" s="702">
        <v>42601.62703703704</v>
      </c>
      <c r="J30" s="702">
        <v>42602.797106481485</v>
      </c>
      <c r="K30" s="703">
        <v>553412</v>
      </c>
      <c r="L30" s="698"/>
      <c r="M30" s="697" t="s">
        <v>466</v>
      </c>
      <c r="N30" s="697" t="s">
        <v>466</v>
      </c>
      <c r="O30" s="697" t="s">
        <v>466</v>
      </c>
    </row>
    <row r="31" spans="1:15" s="292" customFormat="1" ht="16.5" customHeight="1" x14ac:dyDescent="0.2">
      <c r="A31" s="697" t="s">
        <v>305</v>
      </c>
      <c r="B31" s="698" t="s">
        <v>145</v>
      </c>
      <c r="C31" s="697"/>
      <c r="D31" s="699" t="s">
        <v>627</v>
      </c>
      <c r="E31" s="700">
        <v>237.95999999999998</v>
      </c>
      <c r="F31" s="697">
        <v>145</v>
      </c>
      <c r="G31" s="698"/>
      <c r="H31" s="701">
        <f t="shared" si="0"/>
        <v>145</v>
      </c>
      <c r="I31" s="702">
        <v>42603.090868055559</v>
      </c>
      <c r="J31" s="702">
        <v>42603.519791666666</v>
      </c>
      <c r="K31" s="703">
        <v>553730</v>
      </c>
      <c r="L31" s="698"/>
      <c r="M31" s="697" t="s">
        <v>466</v>
      </c>
      <c r="N31" s="697" t="s">
        <v>466</v>
      </c>
      <c r="O31" s="697" t="s">
        <v>466</v>
      </c>
    </row>
    <row r="32" spans="1:15" s="292" customFormat="1" ht="16.5" customHeight="1" x14ac:dyDescent="0.2">
      <c r="A32" s="697" t="s">
        <v>305</v>
      </c>
      <c r="B32" s="698" t="s">
        <v>67</v>
      </c>
      <c r="C32" s="697"/>
      <c r="D32" s="699" t="s">
        <v>628</v>
      </c>
      <c r="E32" s="700">
        <v>61.759999999999991</v>
      </c>
      <c r="F32" s="697">
        <v>126</v>
      </c>
      <c r="G32" s="698"/>
      <c r="H32" s="701">
        <f t="shared" si="0"/>
        <v>126</v>
      </c>
      <c r="I32" s="702">
        <v>42601.571516203701</v>
      </c>
      <c r="J32" s="702">
        <v>42601.976620370369</v>
      </c>
      <c r="K32" s="703">
        <v>552979</v>
      </c>
      <c r="L32" s="698"/>
      <c r="M32" s="697" t="s">
        <v>466</v>
      </c>
      <c r="N32" s="697" t="s">
        <v>466</v>
      </c>
      <c r="O32" s="697" t="s">
        <v>466</v>
      </c>
    </row>
    <row r="33" spans="1:15" s="292" customFormat="1" ht="16.5" customHeight="1" x14ac:dyDescent="0.2">
      <c r="A33" s="697" t="s">
        <v>305</v>
      </c>
      <c r="B33" s="698" t="s">
        <v>67</v>
      </c>
      <c r="C33" s="697"/>
      <c r="D33" s="699" t="s">
        <v>419</v>
      </c>
      <c r="E33" s="700">
        <v>340.58000000000004</v>
      </c>
      <c r="F33" s="697">
        <v>135</v>
      </c>
      <c r="G33" s="698"/>
      <c r="H33" s="701">
        <f t="shared" si="0"/>
        <v>135</v>
      </c>
      <c r="I33" s="702">
        <v>42601.980405092596</v>
      </c>
      <c r="J33" s="702">
        <v>42604.180127314816</v>
      </c>
      <c r="K33" s="703">
        <v>553245</v>
      </c>
      <c r="L33" s="698"/>
      <c r="M33" s="697" t="s">
        <v>466</v>
      </c>
      <c r="N33" s="697" t="s">
        <v>466</v>
      </c>
      <c r="O33" s="697" t="s">
        <v>466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17"/>
  <sheetViews>
    <sheetView workbookViewId="0">
      <selection activeCell="D14" sqref="D14"/>
    </sheetView>
  </sheetViews>
  <sheetFormatPr defaultRowHeight="12.75" x14ac:dyDescent="0.2"/>
  <cols>
    <col min="1" max="1" width="13" customWidth="1"/>
    <col min="2" max="2" width="24" customWidth="1"/>
    <col min="3" max="3" width="9.7109375" customWidth="1"/>
    <col min="4" max="4" width="43.14062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471</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697" t="s">
        <v>305</v>
      </c>
      <c r="B6" s="698" t="s">
        <v>143</v>
      </c>
      <c r="C6" s="697" t="s">
        <v>144</v>
      </c>
      <c r="D6" s="699" t="s">
        <v>408</v>
      </c>
      <c r="E6" s="700">
        <v>323.5</v>
      </c>
      <c r="F6" s="697">
        <v>149</v>
      </c>
      <c r="G6" s="698"/>
      <c r="H6" s="701">
        <f t="shared" ref="H6:H17" si="0">IF(G6="Y",F6/1.2,F6)</f>
        <v>149</v>
      </c>
      <c r="I6" s="702">
        <v>42600.544525462959</v>
      </c>
      <c r="J6" s="702">
        <v>42601.227893518517</v>
      </c>
      <c r="K6" s="703">
        <v>553592</v>
      </c>
      <c r="L6" s="698"/>
      <c r="M6" s="697" t="s">
        <v>466</v>
      </c>
      <c r="N6" s="697" t="s">
        <v>466</v>
      </c>
      <c r="O6" s="697" t="s">
        <v>466</v>
      </c>
    </row>
    <row r="7" spans="1:21" s="292" customFormat="1" ht="14.25" customHeight="1" x14ac:dyDescent="0.2">
      <c r="A7" s="697" t="s">
        <v>305</v>
      </c>
      <c r="B7" s="698" t="s">
        <v>143</v>
      </c>
      <c r="C7" s="697" t="s">
        <v>144</v>
      </c>
      <c r="D7" s="699" t="s">
        <v>460</v>
      </c>
      <c r="E7" s="700">
        <v>40.519999999999996</v>
      </c>
      <c r="F7" s="697">
        <v>148</v>
      </c>
      <c r="G7" s="698"/>
      <c r="H7" s="701">
        <f t="shared" si="0"/>
        <v>148</v>
      </c>
      <c r="I7" s="702">
        <v>42600.671388888892</v>
      </c>
      <c r="J7" s="702">
        <v>42601.028599537036</v>
      </c>
      <c r="K7" s="703">
        <v>553406</v>
      </c>
      <c r="L7" s="698"/>
      <c r="M7" s="697" t="s">
        <v>466</v>
      </c>
      <c r="N7" s="697" t="s">
        <v>466</v>
      </c>
      <c r="O7" s="697" t="s">
        <v>466</v>
      </c>
    </row>
    <row r="8" spans="1:21" s="292" customFormat="1" ht="14.25" customHeight="1" x14ac:dyDescent="0.2">
      <c r="A8" s="697" t="s">
        <v>305</v>
      </c>
      <c r="B8" s="698" t="s">
        <v>67</v>
      </c>
      <c r="C8" s="697" t="s">
        <v>144</v>
      </c>
      <c r="D8" s="699" t="s">
        <v>419</v>
      </c>
      <c r="E8" s="700">
        <v>22.8</v>
      </c>
      <c r="F8" s="697">
        <v>135</v>
      </c>
      <c r="G8" s="698"/>
      <c r="H8" s="701">
        <f t="shared" si="0"/>
        <v>135</v>
      </c>
      <c r="I8" s="702">
        <v>42600.57372685185</v>
      </c>
      <c r="J8" s="702">
        <v>42600.57372685185</v>
      </c>
      <c r="K8" s="703">
        <v>553245</v>
      </c>
      <c r="L8" s="698"/>
      <c r="M8" s="697" t="s">
        <v>466</v>
      </c>
      <c r="N8" s="697" t="s">
        <v>466</v>
      </c>
      <c r="O8" s="697" t="s">
        <v>466</v>
      </c>
    </row>
    <row r="9" spans="1:21" s="292" customFormat="1" ht="14.25" customHeight="1" x14ac:dyDescent="0.2">
      <c r="A9" s="697" t="s">
        <v>305</v>
      </c>
      <c r="B9" s="698" t="s">
        <v>459</v>
      </c>
      <c r="C9" s="697" t="s">
        <v>144</v>
      </c>
      <c r="D9" s="699" t="s">
        <v>463</v>
      </c>
      <c r="E9" s="700">
        <v>135.70000000000002</v>
      </c>
      <c r="F9" s="697">
        <v>400</v>
      </c>
      <c r="G9" s="698"/>
      <c r="H9" s="701">
        <f t="shared" si="0"/>
        <v>400</v>
      </c>
      <c r="I9" s="702">
        <v>42600.878692129627</v>
      </c>
      <c r="J9" s="702">
        <v>42601.306319444448</v>
      </c>
      <c r="K9" s="703">
        <v>553565</v>
      </c>
      <c r="L9" s="698"/>
      <c r="M9" s="697" t="s">
        <v>466</v>
      </c>
      <c r="N9" s="697" t="s">
        <v>466</v>
      </c>
      <c r="O9" s="697" t="s">
        <v>466</v>
      </c>
    </row>
    <row r="10" spans="1:21" s="292" customFormat="1" ht="14.25" customHeight="1" x14ac:dyDescent="0.2">
      <c r="A10" s="697" t="s">
        <v>305</v>
      </c>
      <c r="B10" s="698" t="s">
        <v>459</v>
      </c>
      <c r="C10" s="697" t="s">
        <v>144</v>
      </c>
      <c r="D10" s="699" t="s">
        <v>495</v>
      </c>
      <c r="E10" s="700">
        <v>46.62</v>
      </c>
      <c r="F10" s="697">
        <v>400</v>
      </c>
      <c r="G10" s="698"/>
      <c r="H10" s="701">
        <f t="shared" si="0"/>
        <v>400</v>
      </c>
      <c r="I10" s="702">
        <v>42601.282569444447</v>
      </c>
      <c r="J10" s="702">
        <v>42601.290891203702</v>
      </c>
      <c r="K10" s="703">
        <v>553567</v>
      </c>
      <c r="L10" s="698"/>
      <c r="M10" s="697" t="s">
        <v>466</v>
      </c>
      <c r="N10" s="697" t="s">
        <v>466</v>
      </c>
      <c r="O10" s="697" t="s">
        <v>466</v>
      </c>
    </row>
    <row r="11" spans="1:21" s="292" customFormat="1" ht="14.25" customHeight="1" x14ac:dyDescent="0.2">
      <c r="A11" s="292" t="s">
        <v>305</v>
      </c>
      <c r="B11" s="277" t="s">
        <v>145</v>
      </c>
      <c r="C11" s="292" t="s">
        <v>144</v>
      </c>
      <c r="D11" s="610" t="s">
        <v>462</v>
      </c>
      <c r="E11" s="449">
        <v>44.92</v>
      </c>
      <c r="F11" s="292">
        <v>143</v>
      </c>
      <c r="G11" s="12"/>
      <c r="H11" s="324">
        <f t="shared" si="0"/>
        <v>143</v>
      </c>
      <c r="I11" s="325">
        <v>42600.385046296295</v>
      </c>
      <c r="J11" s="325">
        <v>42600.388518518521</v>
      </c>
      <c r="K11" s="629">
        <v>553411</v>
      </c>
      <c r="L11" s="12"/>
      <c r="M11" s="292" t="s">
        <v>466</v>
      </c>
      <c r="N11" s="292" t="s">
        <v>466</v>
      </c>
      <c r="O11" s="292" t="s">
        <v>466</v>
      </c>
    </row>
    <row r="12" spans="1:21" s="292" customFormat="1" ht="14.25" customHeight="1" x14ac:dyDescent="0.2">
      <c r="A12" s="704" t="s">
        <v>305</v>
      </c>
      <c r="B12" s="705" t="s">
        <v>145</v>
      </c>
      <c r="C12" s="704" t="s">
        <v>144</v>
      </c>
      <c r="D12" s="706" t="s">
        <v>460</v>
      </c>
      <c r="E12" s="707">
        <v>263.84000000000003</v>
      </c>
      <c r="F12" s="704">
        <v>144</v>
      </c>
      <c r="G12" s="708"/>
      <c r="H12" s="709">
        <f t="shared" si="0"/>
        <v>144</v>
      </c>
      <c r="I12" s="710">
        <v>42600.395740740743</v>
      </c>
      <c r="J12" s="710">
        <v>42601.013854166667</v>
      </c>
      <c r="K12" s="711">
        <v>553695</v>
      </c>
      <c r="L12" s="708"/>
      <c r="M12" s="704" t="s">
        <v>466</v>
      </c>
      <c r="N12" s="704" t="s">
        <v>466</v>
      </c>
      <c r="O12" s="704" t="s">
        <v>466</v>
      </c>
    </row>
    <row r="13" spans="1:21" s="292" customFormat="1" ht="14.25" customHeight="1" x14ac:dyDescent="0.2">
      <c r="A13" s="292" t="s">
        <v>305</v>
      </c>
      <c r="B13" s="277" t="s">
        <v>145</v>
      </c>
      <c r="C13" s="292" t="s">
        <v>144</v>
      </c>
      <c r="D13" s="610" t="s">
        <v>465</v>
      </c>
      <c r="E13" s="449">
        <v>197.23999999999998</v>
      </c>
      <c r="F13" s="292">
        <v>141</v>
      </c>
      <c r="G13" s="12"/>
      <c r="H13" s="324">
        <f t="shared" si="0"/>
        <v>141</v>
      </c>
      <c r="I13" s="325">
        <v>42600.400648148148</v>
      </c>
      <c r="J13" s="325">
        <v>42600.904618055552</v>
      </c>
      <c r="K13" s="629">
        <v>553493</v>
      </c>
      <c r="L13" s="12"/>
      <c r="M13" s="292" t="s">
        <v>466</v>
      </c>
      <c r="N13" s="292" t="s">
        <v>466</v>
      </c>
      <c r="O13" s="292" t="s">
        <v>466</v>
      </c>
    </row>
    <row r="14" spans="1:21" s="292" customFormat="1" ht="14.25" customHeight="1" x14ac:dyDescent="0.2">
      <c r="A14" s="292" t="s">
        <v>305</v>
      </c>
      <c r="B14" s="277" t="s">
        <v>145</v>
      </c>
      <c r="C14" s="292" t="s">
        <v>144</v>
      </c>
      <c r="D14" s="610" t="s">
        <v>495</v>
      </c>
      <c r="E14" s="449">
        <v>41.56</v>
      </c>
      <c r="F14" s="292">
        <v>134</v>
      </c>
      <c r="G14" s="12"/>
      <c r="H14" s="324">
        <f t="shared" si="0"/>
        <v>134</v>
      </c>
      <c r="I14" s="325">
        <v>42600.646793981483</v>
      </c>
      <c r="J14" s="325">
        <v>42600.655185185184</v>
      </c>
      <c r="K14" s="629">
        <v>552782</v>
      </c>
      <c r="L14" s="12"/>
      <c r="M14" s="292" t="s">
        <v>466</v>
      </c>
      <c r="N14" s="292" t="s">
        <v>466</v>
      </c>
      <c r="O14" s="292" t="s">
        <v>466</v>
      </c>
    </row>
    <row r="15" spans="1:21" s="292" customFormat="1" ht="14.25" customHeight="1" x14ac:dyDescent="0.2">
      <c r="A15" s="292" t="s">
        <v>305</v>
      </c>
      <c r="B15" s="277" t="s">
        <v>145</v>
      </c>
      <c r="C15" s="292" t="s">
        <v>144</v>
      </c>
      <c r="D15" s="610" t="s">
        <v>464</v>
      </c>
      <c r="E15" s="449">
        <v>95.08</v>
      </c>
      <c r="F15" s="292">
        <v>143</v>
      </c>
      <c r="G15" s="12"/>
      <c r="H15" s="324">
        <f t="shared" si="0"/>
        <v>143</v>
      </c>
      <c r="I15" s="325">
        <v>42600.734768518516</v>
      </c>
      <c r="J15" s="325">
        <v>42601.251527777778</v>
      </c>
      <c r="K15" s="629">
        <v>553413</v>
      </c>
      <c r="L15" s="12"/>
      <c r="M15" s="292" t="s">
        <v>466</v>
      </c>
      <c r="N15" s="292" t="s">
        <v>466</v>
      </c>
      <c r="O15" s="292" t="s">
        <v>466</v>
      </c>
    </row>
    <row r="16" spans="1:21" s="292" customFormat="1" ht="14.25" customHeight="1" x14ac:dyDescent="0.2">
      <c r="A16" s="292" t="s">
        <v>305</v>
      </c>
      <c r="B16" s="277" t="s">
        <v>145</v>
      </c>
      <c r="C16" s="292" t="s">
        <v>144</v>
      </c>
      <c r="D16" s="610" t="s">
        <v>538</v>
      </c>
      <c r="E16" s="449">
        <v>130.4</v>
      </c>
      <c r="F16" s="292">
        <v>144</v>
      </c>
      <c r="G16" s="12"/>
      <c r="H16" s="324">
        <f t="shared" si="0"/>
        <v>144</v>
      </c>
      <c r="I16" s="325">
        <v>42600.351168981484</v>
      </c>
      <c r="J16" s="325">
        <v>42600.381435185183</v>
      </c>
      <c r="K16" s="629">
        <v>553568</v>
      </c>
      <c r="L16" s="12"/>
      <c r="M16" s="292" t="s">
        <v>466</v>
      </c>
      <c r="N16" s="292" t="s">
        <v>466</v>
      </c>
      <c r="O16" s="292" t="s">
        <v>466</v>
      </c>
    </row>
    <row r="17" spans="1:15" s="292" customFormat="1" ht="14.25" customHeight="1" x14ac:dyDescent="0.2">
      <c r="A17" s="292" t="s">
        <v>305</v>
      </c>
      <c r="B17" s="277" t="s">
        <v>145</v>
      </c>
      <c r="C17" s="292" t="s">
        <v>144</v>
      </c>
      <c r="D17" s="610" t="s">
        <v>408</v>
      </c>
      <c r="E17" s="449">
        <v>281.5</v>
      </c>
      <c r="F17" s="292">
        <v>145</v>
      </c>
      <c r="G17" s="12"/>
      <c r="H17" s="324">
        <f t="shared" si="0"/>
        <v>145</v>
      </c>
      <c r="I17" s="325">
        <v>42600.391956018517</v>
      </c>
      <c r="J17" s="325">
        <v>42601.287175925929</v>
      </c>
      <c r="K17" s="629">
        <v>553698</v>
      </c>
      <c r="L17" s="12"/>
      <c r="M17" s="292" t="s">
        <v>466</v>
      </c>
      <c r="N17" s="292" t="s">
        <v>466</v>
      </c>
      <c r="O17" s="292" t="s">
        <v>466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21"/>
  <sheetViews>
    <sheetView workbookViewId="0">
      <selection activeCell="E7" sqref="E7"/>
    </sheetView>
  </sheetViews>
  <sheetFormatPr defaultRowHeight="12.75" x14ac:dyDescent="0.2"/>
  <cols>
    <col min="1" max="1" width="13" customWidth="1"/>
    <col min="2" max="2" width="24" customWidth="1"/>
    <col min="3" max="3" width="9.7109375" customWidth="1"/>
    <col min="4" max="4" width="43.140625" customWidth="1"/>
    <col min="5" max="5" width="11.42578125" customWidth="1"/>
    <col min="6" max="6" width="9.7109375" customWidth="1"/>
    <col min="7" max="7" width="7.7109375" customWidth="1"/>
    <col min="8" max="8" width="9.7109375" customWidth="1"/>
    <col min="9" max="9" width="16.42578125" customWidth="1"/>
    <col min="10" max="10" width="15" customWidth="1"/>
    <col min="11" max="11" width="13.28515625" customWidth="1"/>
    <col min="12" max="12" width="7.7109375" customWidth="1"/>
    <col min="13" max="13" width="10.85546875" customWidth="1"/>
    <col min="14" max="14" width="12.28515625" customWidth="1"/>
    <col min="15" max="15" width="9.5703125" customWidth="1"/>
    <col min="20" max="20" width="45.42578125" customWidth="1"/>
  </cols>
  <sheetData>
    <row r="1" spans="1:21" x14ac:dyDescent="0.2">
      <c r="A1" s="1">
        <v>1</v>
      </c>
      <c r="B1" s="1">
        <v>2</v>
      </c>
      <c r="C1" s="1">
        <v>3</v>
      </c>
      <c r="D1" s="1">
        <v>4</v>
      </c>
      <c r="E1" s="1">
        <v>5</v>
      </c>
      <c r="F1" s="1">
        <v>6</v>
      </c>
      <c r="G1" s="1">
        <v>7</v>
      </c>
      <c r="H1" s="1">
        <v>8</v>
      </c>
      <c r="I1" s="1">
        <v>9</v>
      </c>
      <c r="J1" s="1">
        <v>10</v>
      </c>
      <c r="K1" s="1">
        <v>11</v>
      </c>
      <c r="L1" s="1">
        <v>12</v>
      </c>
      <c r="M1" s="1">
        <v>13</v>
      </c>
      <c r="N1" s="1">
        <v>14</v>
      </c>
      <c r="O1" s="1">
        <v>15</v>
      </c>
      <c r="P1" s="1"/>
      <c r="Q1" s="1"/>
    </row>
    <row r="2" spans="1:21" ht="23.25" customHeight="1" x14ac:dyDescent="0.25">
      <c r="C2" s="407" t="s">
        <v>66</v>
      </c>
      <c r="D2" s="408" t="s">
        <v>407</v>
      </c>
      <c r="T2" s="81" t="s">
        <v>405</v>
      </c>
    </row>
    <row r="3" spans="1:21" ht="42" customHeight="1" x14ac:dyDescent="0.25">
      <c r="C3" s="409" t="s">
        <v>263</v>
      </c>
      <c r="D3" s="410">
        <v>22.030768999999999</v>
      </c>
      <c r="L3" s="12" t="s">
        <v>201</v>
      </c>
      <c r="T3" s="436" t="s">
        <v>406</v>
      </c>
    </row>
    <row r="4" spans="1:21" ht="21" customHeight="1" thickBot="1" x14ac:dyDescent="0.25"/>
    <row r="5" spans="1:21" s="137" customFormat="1" ht="27" customHeight="1" x14ac:dyDescent="0.25">
      <c r="A5" s="321" t="s">
        <v>61</v>
      </c>
      <c r="B5" s="322" t="s">
        <v>18</v>
      </c>
      <c r="C5" s="322" t="s">
        <v>137</v>
      </c>
      <c r="D5" s="322" t="s">
        <v>62</v>
      </c>
      <c r="E5" s="322" t="s">
        <v>63</v>
      </c>
      <c r="F5" s="322" t="s">
        <v>151</v>
      </c>
      <c r="G5" s="322" t="s">
        <v>150</v>
      </c>
      <c r="H5" s="322" t="s">
        <v>71</v>
      </c>
      <c r="I5" s="322" t="s">
        <v>69</v>
      </c>
      <c r="J5" s="322" t="s">
        <v>68</v>
      </c>
      <c r="K5" s="322" t="s">
        <v>191</v>
      </c>
      <c r="L5" s="322" t="s">
        <v>190</v>
      </c>
      <c r="M5" s="320"/>
      <c r="N5" s="320"/>
      <c r="O5" s="320"/>
      <c r="U5" s="319"/>
    </row>
    <row r="6" spans="1:21" s="292" customFormat="1" ht="14.25" customHeight="1" x14ac:dyDescent="0.2">
      <c r="A6" s="292" t="s">
        <v>305</v>
      </c>
      <c r="B6" s="277" t="s">
        <v>143</v>
      </c>
      <c r="D6" s="610" t="s">
        <v>460</v>
      </c>
      <c r="E6" s="449">
        <v>19.62</v>
      </c>
      <c r="F6" s="292">
        <v>148</v>
      </c>
      <c r="G6" s="12"/>
      <c r="H6" s="324">
        <f t="shared" ref="H6:H21" si="0">IF(G6="Y",F6/1.2,F6)</f>
        <v>148</v>
      </c>
      <c r="I6" s="325">
        <v>42599.739942129629</v>
      </c>
      <c r="J6" s="325">
        <v>42599.739942129629</v>
      </c>
      <c r="K6" s="629">
        <v>553406</v>
      </c>
      <c r="L6" s="12"/>
      <c r="M6" s="292" t="s">
        <v>466</v>
      </c>
      <c r="N6" s="292" t="s">
        <v>466</v>
      </c>
      <c r="O6" s="292" t="s">
        <v>466</v>
      </c>
    </row>
    <row r="7" spans="1:21" s="292" customFormat="1" ht="14.25" customHeight="1" x14ac:dyDescent="0.2">
      <c r="A7" s="292" t="s">
        <v>305</v>
      </c>
      <c r="B7" s="277" t="s">
        <v>143</v>
      </c>
      <c r="D7" s="610" t="s">
        <v>408</v>
      </c>
      <c r="E7" s="449">
        <v>153.88</v>
      </c>
      <c r="F7" s="292">
        <v>149</v>
      </c>
      <c r="G7" s="12"/>
      <c r="H7" s="324">
        <f t="shared" si="0"/>
        <v>149</v>
      </c>
      <c r="I7" s="325">
        <v>42599.74800925926</v>
      </c>
      <c r="J7" s="325">
        <v>42600.287685185183</v>
      </c>
      <c r="K7" s="629">
        <v>553592</v>
      </c>
      <c r="L7" s="12"/>
      <c r="M7" s="292" t="s">
        <v>466</v>
      </c>
      <c r="N7" s="292" t="s">
        <v>466</v>
      </c>
      <c r="O7" s="292" t="s">
        <v>466</v>
      </c>
    </row>
    <row r="8" spans="1:21" s="292" customFormat="1" ht="14.25" customHeight="1" x14ac:dyDescent="0.2">
      <c r="A8" s="292" t="s">
        <v>305</v>
      </c>
      <c r="B8" s="277" t="s">
        <v>143</v>
      </c>
      <c r="D8" s="610" t="s">
        <v>462</v>
      </c>
      <c r="E8" s="449">
        <v>21.68</v>
      </c>
      <c r="F8" s="292">
        <v>148</v>
      </c>
      <c r="G8" s="12"/>
      <c r="H8" s="324">
        <f t="shared" si="0"/>
        <v>148</v>
      </c>
      <c r="I8" s="325">
        <v>42600.268796296295</v>
      </c>
      <c r="J8" s="325">
        <v>42600.268796296295</v>
      </c>
      <c r="K8" s="629">
        <v>553407</v>
      </c>
      <c r="L8" s="12"/>
      <c r="M8" s="292" t="s">
        <v>466</v>
      </c>
      <c r="N8" s="292" t="s">
        <v>466</v>
      </c>
      <c r="O8" s="292" t="s">
        <v>466</v>
      </c>
    </row>
    <row r="9" spans="1:21" s="292" customFormat="1" ht="14.25" customHeight="1" x14ac:dyDescent="0.2">
      <c r="A9" s="292" t="s">
        <v>305</v>
      </c>
      <c r="B9" s="277" t="s">
        <v>145</v>
      </c>
      <c r="D9" s="610" t="s">
        <v>464</v>
      </c>
      <c r="E9" s="449">
        <v>148.56</v>
      </c>
      <c r="F9" s="292">
        <v>143</v>
      </c>
      <c r="G9" s="12"/>
      <c r="H9" s="324">
        <f t="shared" si="0"/>
        <v>143</v>
      </c>
      <c r="I9" s="325">
        <v>42599.396990740737</v>
      </c>
      <c r="J9" s="325">
        <v>42599.794745370367</v>
      </c>
      <c r="K9" s="629">
        <v>553413</v>
      </c>
      <c r="L9" s="12"/>
      <c r="M9" s="292" t="s">
        <v>466</v>
      </c>
      <c r="N9" s="292" t="s">
        <v>466</v>
      </c>
      <c r="O9" s="292" t="s">
        <v>466</v>
      </c>
    </row>
    <row r="10" spans="1:21" s="292" customFormat="1" ht="14.25" customHeight="1" x14ac:dyDescent="0.2">
      <c r="A10" s="292" t="s">
        <v>305</v>
      </c>
      <c r="B10" s="277" t="s">
        <v>145</v>
      </c>
      <c r="D10" s="610" t="s">
        <v>462</v>
      </c>
      <c r="E10" s="449">
        <v>46.92</v>
      </c>
      <c r="F10" s="292">
        <v>143</v>
      </c>
      <c r="G10" s="12"/>
      <c r="H10" s="324">
        <f t="shared" si="0"/>
        <v>143</v>
      </c>
      <c r="I10" s="325">
        <v>42599.69054398148</v>
      </c>
      <c r="J10" s="325">
        <v>42599.700138888889</v>
      </c>
      <c r="K10" s="629">
        <v>553411</v>
      </c>
      <c r="L10" s="12"/>
      <c r="M10" s="292" t="s">
        <v>466</v>
      </c>
      <c r="N10" s="292" t="s">
        <v>466</v>
      </c>
      <c r="O10" s="292" t="s">
        <v>466</v>
      </c>
    </row>
    <row r="11" spans="1:21" s="292" customFormat="1" ht="14.25" customHeight="1" x14ac:dyDescent="0.2">
      <c r="A11" s="292" t="s">
        <v>305</v>
      </c>
      <c r="B11" s="277" t="s">
        <v>145</v>
      </c>
      <c r="D11" s="610" t="s">
        <v>460</v>
      </c>
      <c r="E11" s="449">
        <v>156.91999999999999</v>
      </c>
      <c r="F11" s="292">
        <v>143</v>
      </c>
      <c r="G11" s="12"/>
      <c r="H11" s="324">
        <f t="shared" si="0"/>
        <v>143</v>
      </c>
      <c r="I11" s="325">
        <v>42599.712094907409</v>
      </c>
      <c r="J11" s="325">
        <v>42600.192256944443</v>
      </c>
      <c r="K11" s="629">
        <v>553410</v>
      </c>
      <c r="L11" s="12"/>
      <c r="M11" s="292" t="s">
        <v>466</v>
      </c>
      <c r="N11" s="292" t="s">
        <v>466</v>
      </c>
      <c r="O11" s="292" t="s">
        <v>466</v>
      </c>
    </row>
    <row r="12" spans="1:21" s="292" customFormat="1" ht="14.25" customHeight="1" x14ac:dyDescent="0.2">
      <c r="A12" s="292" t="s">
        <v>305</v>
      </c>
      <c r="B12" s="277" t="s">
        <v>145</v>
      </c>
      <c r="D12" s="610" t="s">
        <v>408</v>
      </c>
      <c r="E12" s="449">
        <v>146.30000000000001</v>
      </c>
      <c r="F12" s="292">
        <v>144</v>
      </c>
      <c r="G12" s="12"/>
      <c r="H12" s="324">
        <f t="shared" si="0"/>
        <v>144</v>
      </c>
      <c r="I12" s="325">
        <v>42599.775393518517</v>
      </c>
      <c r="J12" s="325">
        <v>42600.186493055553</v>
      </c>
      <c r="K12" s="629">
        <v>553568</v>
      </c>
      <c r="L12" s="12"/>
      <c r="M12" s="292" t="s">
        <v>466</v>
      </c>
      <c r="N12" s="292" t="s">
        <v>466</v>
      </c>
      <c r="O12" s="292" t="s">
        <v>466</v>
      </c>
    </row>
    <row r="13" spans="1:21" s="292" customFormat="1" ht="14.25" customHeight="1" x14ac:dyDescent="0.2">
      <c r="A13" s="292" t="s">
        <v>305</v>
      </c>
      <c r="B13" s="277" t="s">
        <v>145</v>
      </c>
      <c r="D13" s="610" t="s">
        <v>418</v>
      </c>
      <c r="E13" s="449">
        <v>795.2</v>
      </c>
      <c r="F13" s="292">
        <v>135</v>
      </c>
      <c r="G13" s="12"/>
      <c r="H13" s="324">
        <f t="shared" si="0"/>
        <v>135</v>
      </c>
      <c r="I13" s="325">
        <v>42599.810474537036</v>
      </c>
      <c r="J13" s="325">
        <v>42599.966805555552</v>
      </c>
      <c r="K13" s="629">
        <v>552705</v>
      </c>
      <c r="L13" s="12"/>
      <c r="M13" s="292" t="s">
        <v>466</v>
      </c>
      <c r="N13" s="292" t="s">
        <v>466</v>
      </c>
      <c r="O13" s="292" t="s">
        <v>466</v>
      </c>
    </row>
    <row r="14" spans="1:21" s="292" customFormat="1" ht="14.25" customHeight="1" x14ac:dyDescent="0.2">
      <c r="A14" s="292" t="s">
        <v>305</v>
      </c>
      <c r="B14" s="277" t="s">
        <v>145</v>
      </c>
      <c r="D14" s="610" t="s">
        <v>419</v>
      </c>
      <c r="E14" s="449">
        <v>22.36</v>
      </c>
      <c r="F14" s="292">
        <v>143</v>
      </c>
      <c r="G14" s="12"/>
      <c r="H14" s="324">
        <f t="shared" si="0"/>
        <v>143</v>
      </c>
      <c r="I14" s="325">
        <v>42600.097812499997</v>
      </c>
      <c r="J14" s="325">
        <v>42600.097812499997</v>
      </c>
      <c r="K14" s="629">
        <v>553495</v>
      </c>
      <c r="L14" s="12"/>
      <c r="M14" s="292" t="s">
        <v>466</v>
      </c>
      <c r="N14" s="292" t="s">
        <v>466</v>
      </c>
      <c r="O14" s="292" t="s">
        <v>466</v>
      </c>
    </row>
    <row r="15" spans="1:21" s="292" customFormat="1" ht="14.25" customHeight="1" x14ac:dyDescent="0.2">
      <c r="A15" s="292" t="s">
        <v>305</v>
      </c>
      <c r="B15" s="277" t="s">
        <v>145</v>
      </c>
      <c r="D15" s="610" t="s">
        <v>420</v>
      </c>
      <c r="E15" s="449">
        <v>752.44999999999993</v>
      </c>
      <c r="F15" s="292">
        <v>139</v>
      </c>
      <c r="G15" s="12"/>
      <c r="H15" s="324">
        <f t="shared" si="0"/>
        <v>139</v>
      </c>
      <c r="I15" s="325">
        <v>42600.260995370372</v>
      </c>
      <c r="J15" s="325">
        <v>42600.269814814812</v>
      </c>
      <c r="K15" s="629">
        <v>553036</v>
      </c>
      <c r="L15" s="12"/>
      <c r="M15" s="292" t="s">
        <v>466</v>
      </c>
      <c r="N15" s="292" t="s">
        <v>466</v>
      </c>
      <c r="O15" s="292" t="s">
        <v>466</v>
      </c>
    </row>
    <row r="16" spans="1:21" s="292" customFormat="1" ht="14.25" customHeight="1" x14ac:dyDescent="0.2">
      <c r="A16" s="292" t="s">
        <v>305</v>
      </c>
      <c r="B16" s="277" t="s">
        <v>145</v>
      </c>
      <c r="D16" s="610" t="s">
        <v>421</v>
      </c>
      <c r="E16" s="449">
        <v>343.20000000000005</v>
      </c>
      <c r="F16" s="292">
        <v>160</v>
      </c>
      <c r="G16" s="12"/>
      <c r="H16" s="324">
        <f t="shared" si="0"/>
        <v>160</v>
      </c>
      <c r="I16" s="325">
        <v>42600.262928240743</v>
      </c>
      <c r="J16" s="325">
        <v>42600.26494212963</v>
      </c>
      <c r="K16" s="629">
        <v>547342</v>
      </c>
      <c r="L16" s="12"/>
      <c r="M16" s="292" t="s">
        <v>466</v>
      </c>
      <c r="N16" s="292" t="s">
        <v>466</v>
      </c>
      <c r="O16" s="292" t="s">
        <v>466</v>
      </c>
    </row>
    <row r="17" spans="1:15" s="292" customFormat="1" ht="14.25" customHeight="1" x14ac:dyDescent="0.2">
      <c r="A17" s="292" t="s">
        <v>305</v>
      </c>
      <c r="B17" s="277" t="s">
        <v>67</v>
      </c>
      <c r="D17" s="610" t="s">
        <v>419</v>
      </c>
      <c r="E17" s="449">
        <v>23.72</v>
      </c>
      <c r="F17" s="292">
        <v>135</v>
      </c>
      <c r="G17" s="12"/>
      <c r="H17" s="324">
        <f t="shared" si="0"/>
        <v>135</v>
      </c>
      <c r="I17" s="325">
        <v>42600.300185185188</v>
      </c>
      <c r="J17" s="325">
        <v>42600.300185185188</v>
      </c>
      <c r="K17" s="629">
        <v>553245</v>
      </c>
      <c r="L17" s="12"/>
      <c r="M17" s="292" t="s">
        <v>466</v>
      </c>
      <c r="N17" s="292" t="s">
        <v>466</v>
      </c>
      <c r="O17" s="292" t="s">
        <v>466</v>
      </c>
    </row>
    <row r="18" spans="1:15" s="292" customFormat="1" ht="14.25" customHeight="1" x14ac:dyDescent="0.2">
      <c r="A18" s="292" t="s">
        <v>305</v>
      </c>
      <c r="B18" s="277" t="s">
        <v>459</v>
      </c>
      <c r="D18" s="610" t="s">
        <v>461</v>
      </c>
      <c r="E18" s="449">
        <v>368.40000000000003</v>
      </c>
      <c r="F18" s="292">
        <v>390.5</v>
      </c>
      <c r="G18" s="12"/>
      <c r="H18" s="324">
        <f t="shared" si="0"/>
        <v>390.5</v>
      </c>
      <c r="I18" s="325">
        <v>42599.486493055556</v>
      </c>
      <c r="J18" s="325">
        <v>42599.491909722223</v>
      </c>
      <c r="K18" s="629">
        <v>553068</v>
      </c>
      <c r="L18" s="12"/>
      <c r="M18" s="292" t="s">
        <v>466</v>
      </c>
      <c r="N18" s="292" t="s">
        <v>466</v>
      </c>
      <c r="O18" s="292" t="s">
        <v>466</v>
      </c>
    </row>
    <row r="19" spans="1:15" s="292" customFormat="1" ht="14.25" customHeight="1" x14ac:dyDescent="0.2">
      <c r="A19" s="292" t="s">
        <v>305</v>
      </c>
      <c r="B19" s="277" t="s">
        <v>459</v>
      </c>
      <c r="D19" s="610" t="s">
        <v>463</v>
      </c>
      <c r="E19" s="449">
        <v>281.04000000000008</v>
      </c>
      <c r="F19" s="292">
        <v>400</v>
      </c>
      <c r="G19" s="12"/>
      <c r="H19" s="324">
        <f t="shared" si="0"/>
        <v>400</v>
      </c>
      <c r="I19" s="325">
        <v>42599.802384259259</v>
      </c>
      <c r="J19" s="325">
        <v>42600.146631944444</v>
      </c>
      <c r="K19" s="629">
        <v>553565</v>
      </c>
      <c r="L19" s="12"/>
      <c r="M19" s="292" t="s">
        <v>466</v>
      </c>
      <c r="N19" s="292" t="s">
        <v>466</v>
      </c>
      <c r="O19" s="292" t="s">
        <v>466</v>
      </c>
    </row>
    <row r="20" spans="1:15" s="292" customFormat="1" ht="14.25" customHeight="1" x14ac:dyDescent="0.2">
      <c r="A20" s="292" t="s">
        <v>305</v>
      </c>
      <c r="B20" s="277" t="s">
        <v>143</v>
      </c>
      <c r="D20" s="610" t="s">
        <v>465</v>
      </c>
      <c r="E20" s="449">
        <v>23.82</v>
      </c>
      <c r="F20" s="292">
        <v>146</v>
      </c>
      <c r="G20" s="12"/>
      <c r="H20" s="324">
        <f t="shared" si="0"/>
        <v>146</v>
      </c>
      <c r="I20" s="325">
        <v>42600.28361111111</v>
      </c>
      <c r="J20" s="325">
        <v>42600.28361111111</v>
      </c>
      <c r="K20" s="629">
        <v>553448</v>
      </c>
      <c r="L20" s="12"/>
      <c r="M20" s="292" t="s">
        <v>466</v>
      </c>
      <c r="N20" s="292" t="s">
        <v>466</v>
      </c>
      <c r="O20" s="292" t="s">
        <v>466</v>
      </c>
    </row>
    <row r="21" spans="1:15" s="292" customFormat="1" ht="14.25" customHeight="1" x14ac:dyDescent="0.2">
      <c r="A21" s="292" t="s">
        <v>305</v>
      </c>
      <c r="B21" s="277" t="s">
        <v>145</v>
      </c>
      <c r="D21" s="610" t="s">
        <v>465</v>
      </c>
      <c r="E21" s="449">
        <v>49.44</v>
      </c>
      <c r="F21" s="292">
        <v>141</v>
      </c>
      <c r="G21" s="12"/>
      <c r="H21" s="324">
        <f t="shared" si="0"/>
        <v>141</v>
      </c>
      <c r="I21" s="325">
        <v>42599.382280092592</v>
      </c>
      <c r="J21" s="325">
        <v>42600.312939814816</v>
      </c>
      <c r="K21" s="629">
        <v>553493</v>
      </c>
      <c r="L21" s="12"/>
      <c r="M21" s="292" t="s">
        <v>466</v>
      </c>
      <c r="N21" s="292" t="s">
        <v>466</v>
      </c>
      <c r="O21" s="292" t="s">
        <v>466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TICKETS</vt:lpstr>
      <vt:lpstr>Preview</vt:lpstr>
      <vt:lpstr>Quality</vt:lpstr>
      <vt:lpstr>Avlita</vt:lpstr>
      <vt:lpstr>STT-MMK</vt:lpstr>
      <vt:lpstr>STT-SRZ</vt:lpstr>
      <vt:lpstr>Kherson</vt:lpstr>
      <vt:lpstr>Kherson-2</vt:lpstr>
      <vt:lpstr>TIS</vt:lpstr>
      <vt:lpstr>Odesa</vt:lpstr>
      <vt:lpstr>Novoaleks</vt:lpstr>
      <vt:lpstr>DSSK</vt:lpstr>
      <vt:lpstr>Report</vt:lpstr>
      <vt:lpstr>12_09</vt:lpstr>
      <vt:lpstr>09_09</vt:lpstr>
      <vt:lpstr>08_09</vt:lpstr>
      <vt:lpstr>Nika-Tera</vt:lpstr>
      <vt:lpstr>Borivazh</vt:lpstr>
      <vt:lpstr>07_09</vt:lpstr>
      <vt:lpstr>06_09</vt:lpstr>
      <vt:lpstr>05_09</vt:lpstr>
      <vt:lpstr>01_09</vt:lpstr>
      <vt:lpstr>31_08</vt:lpstr>
      <vt:lpstr>30_08</vt:lpstr>
      <vt:lpstr>29_08</vt:lpstr>
      <vt:lpstr>26_08</vt:lpstr>
      <vt:lpstr>25_08</vt:lpstr>
      <vt:lpstr>23_08</vt:lpstr>
      <vt:lpstr>20_08</vt:lpstr>
      <vt:lpstr>19_08</vt:lpstr>
      <vt:lpstr>18_08</vt:lpstr>
      <vt:lpstr>Borivazh!Print_Area</vt:lpstr>
      <vt:lpstr>DSSK!Print_Area</vt:lpstr>
      <vt:lpstr>'Nika-Tera'!Print_Area</vt:lpstr>
      <vt:lpstr>'STT-SRZ'!Print_Area</vt:lpstr>
    </vt:vector>
  </TitlesOfParts>
  <Company>Noble Resources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Noble Resources SA</dc:creator>
  <cp:lastModifiedBy>Elena Zavarzina</cp:lastModifiedBy>
  <cp:lastPrinted>2016-08-19T11:34:35Z</cp:lastPrinted>
  <dcterms:created xsi:type="dcterms:W3CDTF">2008-07-24T08:10:12Z</dcterms:created>
  <dcterms:modified xsi:type="dcterms:W3CDTF">2016-11-15T09:57:18Z</dcterms:modified>
</cp:coreProperties>
</file>